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phique" sheetId="1" r:id="rId4"/>
    <sheet state="visible" name="Classement RPL PMPC" sheetId="2" r:id="rId5"/>
    <sheet state="hidden" name="Résultats des tournois" sheetId="3" r:id="rId6"/>
    <sheet state="hidden" name="Feuil1" sheetId="4" r:id="rId7"/>
    <sheet state="hidden" name="K dynamique" sheetId="5" r:id="rId8"/>
  </sheets>
  <definedNames>
    <definedName hidden="1" localSheetId="2" name="_xlnm._FilterDatabase">'Résultats des tournois'!$A$3:$AZ$3</definedName>
  </definedNames>
  <calcPr/>
</workbook>
</file>

<file path=xl/sharedStrings.xml><?xml version="1.0" encoding="utf-8"?>
<sst xmlns="http://schemas.openxmlformats.org/spreadsheetml/2006/main" count="282" uniqueCount="130">
  <si>
    <t>Pseudo -&gt;</t>
  </si>
  <si>
    <t>Breizhkanaki</t>
  </si>
  <si>
    <t>Présentation du classement ou qu'est ce que le classement RPL adapté au Poker -&gt; Présentation du Classement RPL adapté au Club de Poker</t>
  </si>
  <si>
    <t>🧮 Échelle RPL du PMPC</t>
  </si>
  <si>
    <t>Niveau</t>
  </si>
  <si>
    <t>RPL estimé</t>
  </si>
  <si>
    <t>% de victoire attendu vs RPL du club (1588)</t>
  </si>
  <si>
    <t>Description</t>
  </si>
  <si>
    <t>Débutant du club</t>
  </si>
  <si>
    <t>&lt; 1470</t>
  </si>
  <si>
    <t>~35 %</t>
  </si>
  <si>
    <t>Découvre encore les dynamiques du poker live : tailles de mise, lecture des adversaires, discipline préflop. Beaucoup d’enthousiasme, mais encore des erreurs structurelles. Objectif : acquérir patience et rigueur.</t>
  </si>
  <si>
    <t>Joueur en apprentissage</t>
  </si>
  <si>
    <t>1470–1530</t>
  </si>
  <si>
    <t>40–46 %</t>
  </si>
  <si>
    <t>Commence à comprendre les bases stratégiques (position, ranges, cotes). Peut briller par moments, mais manque encore de constance. Gagne surtout sur la surprise.</t>
  </si>
  <si>
    <t>Joueur intermédiaire</t>
  </si>
  <si>
    <t>1530–1590</t>
  </si>
  <si>
    <t>47–53 %</t>
  </si>
  <si>
    <t>Solide, comprend la plupart des situations standards. Ses performances deviennent prévisibles et régulières. Peut parfois manquer de prise d’initiative ou d’agressivité calculée.</t>
  </si>
  <si>
    <t>Bon joueur du club</t>
  </si>
  <si>
    <t>1590–1660</t>
  </si>
  <si>
    <t>54–60 %</t>
  </si>
  <si>
    <t>Structure de jeu claire, gestion de tapis cohérente, meilleure lecture des tells et des rythmes. Commence à adapter son jeu selon le type de table.</t>
  </si>
  <si>
    <t>Joueur confirmé</t>
  </si>
  <si>
    <t>1660–1730</t>
  </si>
  <si>
    <t>61–68 %</t>
  </si>
  <si>
    <t>Vision stratégique complète, maîtrise de la pression et du mental. Constamment dangereux. Souvent dans les phases finales ou dans le top 5.</t>
  </si>
  <si>
    <t>Excellent joueur du club</t>
  </si>
  <si>
    <t>1730–1780</t>
  </si>
  <si>
    <t>70–76 %</t>
  </si>
  <si>
    <t>Régulier, réfléchi, patient. Comprend intuitivement la dynamique de table. Difficile à bluffer. Capable d’analyser froidement chaque situation.</t>
  </si>
  <si>
    <t>Joueur dominant</t>
  </si>
  <si>
    <t>1780–1850</t>
  </si>
  <si>
    <t>77–83 %</t>
  </si>
  <si>
    <t>Très grande stabilité mentale, lecture des ranges précises, compréhension fine des probabilités. Influence la table par sa simple présence. Peut affronter des pros.</t>
  </si>
  <si>
    <t>Joueur exceptionnel</t>
  </si>
  <si>
    <t>1850–1900</t>
  </si>
  <si>
    <t>84–88 %</t>
  </si>
  <si>
    <t>Combine technique, psychologie et discipline. Capable d’affronter des pros et de tenir la cadence sur le long terme. C’est la passerelle naturelle vers les circuits compétitifs.</t>
  </si>
  <si>
    <t>Limite théorique (~1980)</t>
  </si>
  <si>
    <t>1900+</t>
  </si>
  <si>
    <t>89–92 %</t>
  </si>
  <si>
    <t>Domination quasi totale dans le contexte du club. Pour continuer à progresser, il faut se confronter à un field plus relevé (tournois régionaux, pros, circuits officiels).</t>
  </si>
  <si>
    <t>RPL du club</t>
  </si>
  <si>
    <t>CLASSEMENT</t>
  </si>
  <si>
    <t>PSEUDO</t>
  </si>
  <si>
    <t>RPL</t>
  </si>
  <si>
    <r>
      <rPr>
        <rFont val="Calibri"/>
        <color theme="1"/>
        <sz val="11.0"/>
      </rPr>
      <t xml:space="preserve">Nouveau RPL = </t>
    </r>
    <r>
      <rPr>
        <rFont val="Calibri"/>
        <b/>
        <color theme="1"/>
        <sz val="11.0"/>
      </rPr>
      <t>R+K×(S−E)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R</t>
    </r>
    <r>
      <rPr>
        <rFont val="Calibri"/>
        <color theme="1"/>
        <sz val="11.0"/>
      </rPr>
      <t xml:space="preserve"> = ancien RPL du joueur
</t>
    </r>
    <r>
      <rPr>
        <rFont val="Calibri"/>
        <b/>
        <color theme="1"/>
        <sz val="11.0"/>
      </rPr>
      <t>K</t>
    </r>
    <r>
      <rPr>
        <rFont val="Calibri"/>
        <color theme="1"/>
        <sz val="11.0"/>
      </rPr>
      <t xml:space="preserve"> = constante de progression (32, 24 ou 16 selon le nbr de parties)
</t>
    </r>
    <r>
      <rPr>
        <rFont val="Calibri"/>
        <b/>
        <color theme="1"/>
        <sz val="11.0"/>
      </rPr>
      <t>S</t>
    </r>
    <r>
      <rPr>
        <rFont val="Calibri"/>
        <color theme="1"/>
        <sz val="11.0"/>
      </rPr>
      <t xml:space="preserve"> = √(Nb_Joueurs + 1) / Position -&gt; score réel (place dans le tournoi)
</t>
    </r>
    <r>
      <rPr>
        <rFont val="Calibri"/>
        <b/>
        <color theme="1"/>
        <sz val="11.0"/>
      </rPr>
      <t>E</t>
    </r>
    <r>
      <rPr>
        <rFont val="Calibri"/>
        <color theme="1"/>
        <sz val="11.0"/>
      </rPr>
      <t xml:space="preserve"> = 1 / (1 + 10^((RPL_Du_Club - RPL_Precedent)/400)) -&gt; score attendu</t>
    </r>
  </si>
  <si>
    <r>
      <rPr>
        <rFont val="Calibri"/>
        <b/>
        <color theme="1"/>
        <sz val="11.0"/>
      </rPr>
      <t>Formule :</t>
    </r>
    <r>
      <rPr>
        <rFont val="Calibri"/>
        <color theme="1"/>
        <sz val="11.0"/>
      </rPr>
      <t xml:space="preserve"> Nouveau RPL = RPL_Precedent + K * (√(Nb_Joueurs + 1) / Position - 1 / (1 + 10^((RPL_Du_Club - RPL_Precedent)/400)))
</t>
    </r>
  </si>
  <si>
    <t>Saison 25/26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</si>
  <si>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</si>
  <si>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</si>
  <si>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</si>
  <si>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</si>
  <si>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</si>
  <si>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</si>
  <si>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</si>
  <si>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</si>
  <si>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</si>
  <si>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</si>
  <si>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</si>
  <si>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</si>
  <si>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</si>
  <si>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</si>
  <si>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</si>
  <si>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</si>
  <si>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</si>
  <si>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</si>
  <si>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</si>
  <si>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</si>
  <si>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</si>
  <si>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</si>
  <si>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</si>
  <si>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</si>
  <si>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</si>
  <si>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</si>
  <si>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</si>
  <si>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</si>
  <si>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</si>
  <si>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</si>
  <si>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</si>
  <si>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</si>
  <si>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</si>
  <si>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</si>
  <si>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</si>
  <si>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</si>
  <si>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</si>
  <si>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</si>
  <si>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</si>
  <si>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</si>
  <si>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</si>
  <si>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</si>
  <si>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</si>
  <si>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</si>
  <si>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</si>
  <si>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</si>
  <si>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</si>
  <si>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</si>
  <si>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</si>
  <si>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Nbr de Joueurs -&gt;</t>
  </si>
  <si>
    <t>Nom du joueur</t>
  </si>
  <si>
    <t>Classement</t>
  </si>
  <si>
    <t>Nbr de parties jouées</t>
  </si>
  <si>
    <t>K dynamique</t>
  </si>
  <si>
    <t>Cat</t>
  </si>
  <si>
    <t>Gnaffron</t>
  </si>
  <si>
    <t>Gwen</t>
  </si>
  <si>
    <t>Howie</t>
  </si>
  <si>
    <t>Hyppo</t>
  </si>
  <si>
    <t>Loucas</t>
  </si>
  <si>
    <t>Mat</t>
  </si>
  <si>
    <t>Meruem</t>
  </si>
  <si>
    <t>Micky</t>
  </si>
  <si>
    <t>MinnieLoucas</t>
  </si>
  <si>
    <t>Nicolas</t>
  </si>
  <si>
    <t>Patrice</t>
  </si>
  <si>
    <t>Phoenix</t>
  </si>
  <si>
    <t>Ronkout</t>
  </si>
  <si>
    <t>Schirou</t>
  </si>
  <si>
    <t>Falzarr</t>
  </si>
  <si>
    <t>PikaJul</t>
  </si>
  <si>
    <t>Teddy</t>
  </si>
  <si>
    <t>Benoît</t>
  </si>
  <si>
    <t>Popa'akatuki</t>
  </si>
  <si>
    <t>Jerem</t>
  </si>
  <si>
    <r>
      <rPr>
        <rFont val="Calibri"/>
        <color theme="1"/>
        <sz val="11.0"/>
      </rPr>
      <t xml:space="preserve">Nouveau Elo = </t>
    </r>
    <r>
      <rPr>
        <rFont val="Calibri"/>
        <b/>
        <color theme="1"/>
        <sz val="11.0"/>
      </rPr>
      <t>R+K×(S−E)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R</t>
    </r>
    <r>
      <rPr>
        <rFont val="Calibri"/>
        <color theme="1"/>
        <sz val="11.0"/>
      </rPr>
      <t xml:space="preserve"> = ancien ELO du joueur
</t>
    </r>
    <r>
      <rPr>
        <rFont val="Calibri"/>
        <b/>
        <color theme="1"/>
        <sz val="11.0"/>
      </rPr>
      <t>K</t>
    </r>
    <r>
      <rPr>
        <rFont val="Calibri"/>
        <color theme="1"/>
        <sz val="11.0"/>
      </rPr>
      <t xml:space="preserve"> = constante de progression (par ex. 32 ou 24 selon la préférence)
</t>
    </r>
    <r>
      <rPr>
        <rFont val="Calibri"/>
        <b/>
        <color theme="1"/>
        <sz val="11.0"/>
      </rPr>
      <t>S</t>
    </r>
    <r>
      <rPr>
        <rFont val="Calibri"/>
        <color theme="1"/>
        <sz val="11.0"/>
      </rPr>
      <t xml:space="preserve"> = √(Nb_Joueurs + 1) / Position -&gt; score réel (place dans le tournoi)
</t>
    </r>
    <r>
      <rPr>
        <rFont val="Calibri"/>
        <b/>
        <color theme="1"/>
        <sz val="11.0"/>
      </rPr>
      <t>E</t>
    </r>
    <r>
      <rPr>
        <rFont val="Calibri"/>
        <color theme="1"/>
        <sz val="11.0"/>
      </rPr>
      <t xml:space="preserve"> = 1 / (1 + 10^((Elo_Moyen - Elo_Precedent)/400)) -&gt; score attendu</t>
    </r>
  </si>
  <si>
    <r>
      <rPr>
        <rFont val="Calibri"/>
        <b/>
        <color theme="1"/>
        <sz val="11.0"/>
      </rPr>
      <t>Formule :</t>
    </r>
    <r>
      <rPr>
        <rFont val="Calibri"/>
        <color theme="1"/>
        <sz val="11.0"/>
      </rPr>
      <t xml:space="preserve"> Nouveau ELO = Elo_Precedent + K * (√(Nb_Joueurs + 1) / Position - 1 / (1 + 10^((Elo_Moyen - Elo_Precedent)/400)))
</t>
    </r>
  </si>
  <si>
    <t>Elo de départ</t>
  </si>
  <si>
    <t>Classement ELO actuel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</si>
</sst>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4">
    <font>
      <sz val="11.0"/>
      <color theme="1"/>
      <name val="Calibri"/>
      <scheme val="minor"/>
    </font>
    <font>
      <b/>
      <i/>
      <sz val="16.0"/>
      <color theme="1"/>
      <name val="Calibri"/>
    </font>
    <font>
      <b/>
      <sz val="18.0"/>
      <color rgb="FF000000"/>
      <name val="Calibri"/>
    </font>
    <font>
      <u/>
      <color theme="1"/>
      <name val="Calibri"/>
      <scheme val="minor"/>
    </font>
    <font>
      <sz val="11.0"/>
      <color theme="1"/>
      <name val="Calibri"/>
    </font>
    <font>
      <b/>
      <sz val="24.0"/>
      <color rgb="FFFF0000"/>
      <name val="Calibri"/>
    </font>
    <font>
      <b/>
      <sz val="24.0"/>
      <color rgb="FF00B0F0"/>
      <name val="Calibri"/>
    </font>
    <font>
      <b/>
      <sz val="18.0"/>
      <color theme="1"/>
      <name val="Calibri"/>
      <scheme val="minor"/>
    </font>
    <font>
      <b/>
      <sz val="14.0"/>
      <color theme="1"/>
      <name val="Calibri"/>
      <scheme val="minor"/>
    </font>
    <font>
      <sz val="12.0"/>
      <color theme="1"/>
      <name val="Calibri"/>
      <scheme val="minor"/>
    </font>
    <font>
      <color theme="1"/>
      <name val="Calibri"/>
      <scheme val="minor"/>
    </font>
    <font>
      <b/>
      <sz val="12.0"/>
      <color theme="0"/>
      <name val="Calibri"/>
    </font>
    <font>
      <b/>
      <sz val="12.0"/>
      <color rgb="FFFFFFFF"/>
      <name val="Calibri"/>
    </font>
    <font>
      <b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00B0F0"/>
        <bgColor rgb="FF00B0F0"/>
      </patternFill>
    </fill>
    <fill>
      <patternFill patternType="solid">
        <fgColor rgb="FFD8D8D8"/>
        <bgColor rgb="FFD8D8D8"/>
      </patternFill>
    </fill>
    <fill>
      <patternFill patternType="solid">
        <fgColor rgb="FFF4B083"/>
        <bgColor rgb="FFF4B083"/>
      </patternFill>
    </fill>
    <fill>
      <patternFill patternType="solid">
        <fgColor rgb="FF99FF99"/>
        <bgColor rgb="FF99FF99"/>
      </patternFill>
    </fill>
  </fills>
  <borders count="5">
    <border/>
    <border>
      <left/>
      <right/>
      <top/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readingOrder="0"/>
    </xf>
    <xf borderId="0" fillId="0" fontId="3" numFmtId="0" xfId="0" applyAlignment="1" applyFont="1">
      <alignment readingOrder="0" vertical="center"/>
    </xf>
    <xf borderId="0" fillId="0" fontId="4" numFmtId="1" xfId="0" applyFont="1" applyNumberFormat="1"/>
    <xf borderId="0" fillId="3" fontId="5" numFmtId="1" xfId="0" applyAlignment="1" applyFill="1" applyFont="1" applyNumberFormat="1">
      <alignment horizontal="left"/>
    </xf>
    <xf borderId="0" fillId="3" fontId="4" numFmtId="1" xfId="0" applyFont="1" applyNumberFormat="1"/>
    <xf borderId="0" fillId="3" fontId="6" numFmtId="1" xfId="0" applyFont="1" applyNumberFormat="1"/>
    <xf borderId="0" fillId="0" fontId="7" numFmtId="1" xfId="0" applyAlignment="1" applyFont="1" applyNumberFormat="1">
      <alignment readingOrder="0"/>
    </xf>
    <xf borderId="2" fillId="0" fontId="7" numFmtId="1" xfId="0" applyAlignment="1" applyBorder="1" applyFont="1" applyNumberFormat="1">
      <alignment horizontal="center" readingOrder="0" vertical="center"/>
    </xf>
    <xf borderId="2" fillId="0" fontId="7" numFmtId="1" xfId="0" applyAlignment="1" applyBorder="1" applyFont="1" applyNumberFormat="1">
      <alignment horizontal="center" readingOrder="0" shrinkToFit="0" vertical="center" wrapText="1"/>
    </xf>
    <xf borderId="2" fillId="0" fontId="8" numFmtId="1" xfId="0" applyAlignment="1" applyBorder="1" applyFont="1" applyNumberFormat="1">
      <alignment readingOrder="0" vertical="center"/>
    </xf>
    <xf borderId="2" fillId="0" fontId="8" numFmtId="1" xfId="0" applyAlignment="1" applyBorder="1" applyFont="1" applyNumberFormat="1">
      <alignment horizontal="center" readingOrder="0" vertical="center"/>
    </xf>
    <xf borderId="2" fillId="0" fontId="9" numFmtId="1" xfId="0" applyAlignment="1" applyBorder="1" applyFont="1" applyNumberFormat="1">
      <alignment readingOrder="0" shrinkToFit="0" wrapText="1"/>
    </xf>
    <xf borderId="0" fillId="0" fontId="4" numFmtId="1" xfId="0" applyAlignment="1" applyFont="1" applyNumberFormat="1">
      <alignment readingOrder="0"/>
    </xf>
    <xf borderId="0" fillId="0" fontId="10" numFmtId="0" xfId="0" applyFont="1"/>
    <xf borderId="0" fillId="0" fontId="10" numFmtId="0" xfId="0" applyAlignment="1" applyFont="1">
      <alignment readingOrder="0"/>
    </xf>
    <xf borderId="3" fillId="4" fontId="11" numFmtId="0" xfId="0" applyAlignment="1" applyBorder="1" applyFill="1" applyFont="1">
      <alignment horizontal="center" vertical="center"/>
    </xf>
    <xf borderId="3" fillId="4" fontId="12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 shrinkToFit="0" vertical="top" wrapText="1"/>
    </xf>
    <xf borderId="3" fillId="2" fontId="13" numFmtId="0" xfId="0" applyAlignment="1" applyBorder="1" applyFont="1">
      <alignment horizontal="center" vertical="center"/>
    </xf>
    <xf borderId="3" fillId="2" fontId="13" numFmtId="1" xfId="0" applyAlignment="1" applyBorder="1" applyFont="1" applyNumberFormat="1">
      <alignment horizontal="center" vertical="center"/>
    </xf>
    <xf borderId="0" fillId="0" fontId="4" numFmtId="0" xfId="0" applyAlignment="1" applyFont="1">
      <alignment readingOrder="0"/>
    </xf>
    <xf borderId="3" fillId="5" fontId="13" numFmtId="0" xfId="0" applyAlignment="1" applyBorder="1" applyFill="1" applyFont="1">
      <alignment horizontal="center" vertical="center"/>
    </xf>
    <xf borderId="3" fillId="5" fontId="13" numFmtId="1" xfId="0" applyAlignment="1" applyBorder="1" applyFont="1" applyNumberFormat="1">
      <alignment horizontal="center" vertical="center"/>
    </xf>
    <xf borderId="3" fillId="6" fontId="13" numFmtId="0" xfId="0" applyAlignment="1" applyBorder="1" applyFill="1" applyFont="1">
      <alignment horizontal="center" vertical="center"/>
    </xf>
    <xf borderId="3" fillId="6" fontId="13" numFmtId="1" xfId="0" applyAlignment="1" applyBorder="1" applyFont="1" applyNumberFormat="1">
      <alignment horizontal="center" vertical="center"/>
    </xf>
    <xf borderId="3" fillId="7" fontId="13" numFmtId="0" xfId="0" applyAlignment="1" applyBorder="1" applyFill="1" applyFont="1">
      <alignment horizontal="center" vertical="center"/>
    </xf>
    <xf borderId="3" fillId="7" fontId="13" numFmtId="1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4" fillId="0" fontId="4" numFmtId="0" xfId="0" applyBorder="1" applyFont="1"/>
    <xf borderId="4" fillId="0" fontId="4" numFmtId="164" xfId="0" applyAlignment="1" applyBorder="1" applyFont="1" applyNumberFormat="1">
      <alignment readingOrder="0"/>
    </xf>
    <xf borderId="4" fillId="0" fontId="4" numFmtId="1" xfId="0" applyBorder="1" applyFont="1" applyNumberFormat="1"/>
    <xf borderId="0" fillId="0" fontId="4" numFmtId="0" xfId="0" applyFont="1"/>
    <xf borderId="4" fillId="0" fontId="4" numFmtId="1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190500</xdr:rowOff>
    </xdr:from>
    <xdr:ext cx="13916025" cy="5648325"/>
    <xdr:pic>
      <xdr:nvPicPr>
        <xdr:cNvPr id="834811400" name="Chart1" title="Graphiqu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695325</xdr:colOff>
      <xdr:row>2</xdr:row>
      <xdr:rowOff>152400</xdr:rowOff>
    </xdr:from>
    <xdr:ext cx="11115675" cy="4371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_GwuTZA6urY5fv1WS-5_KIm0S_91NLzZ2aLIVPp3LY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3.43"/>
    <col customWidth="1" min="3" max="18" width="10.71"/>
    <col customWidth="1" min="19" max="19" width="28.57"/>
    <col customWidth="1" min="20" max="20" width="16.86"/>
    <col customWidth="1" min="21" max="21" width="32.57"/>
    <col customWidth="1" min="22" max="22" width="88.71"/>
    <col customWidth="1" min="23" max="53" width="10.71"/>
  </cols>
  <sheetData>
    <row r="1" ht="14.25" customHeight="1">
      <c r="A1" s="1" t="s">
        <v>0</v>
      </c>
      <c r="B1" s="2" t="s">
        <v>1</v>
      </c>
      <c r="D1" s="3" t="s">
        <v>2</v>
      </c>
    </row>
    <row r="2" ht="14.25" customHeight="1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 ht="14.25" customHeight="1">
      <c r="A3" s="5" t="str">
        <f>BA48</f>
        <v>RPL actuel : 1512</v>
      </c>
      <c r="B3" s="6"/>
      <c r="C3" s="7" t="str">
        <f>BA49</f>
        <v>RPL du club : 1575</v>
      </c>
      <c r="D3" s="6"/>
      <c r="E3" s="6"/>
      <c r="F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ht="14.25" customHeight="1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8" t="s">
        <v>3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ht="14.25" customHeigh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9" t="s">
        <v>4</v>
      </c>
      <c r="T5" s="9" t="s">
        <v>5</v>
      </c>
      <c r="U5" s="10" t="s">
        <v>6</v>
      </c>
      <c r="V5" s="9" t="s">
        <v>7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</row>
    <row r="6" ht="14.25" customHeight="1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11" t="s">
        <v>8</v>
      </c>
      <c r="T6" s="11" t="s">
        <v>9</v>
      </c>
      <c r="U6" s="12" t="s">
        <v>10</v>
      </c>
      <c r="V6" s="13" t="s">
        <v>11</v>
      </c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</row>
    <row r="7" ht="14.25" customHeight="1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1" t="s">
        <v>12</v>
      </c>
      <c r="T7" s="11" t="s">
        <v>13</v>
      </c>
      <c r="U7" s="12" t="s">
        <v>14</v>
      </c>
      <c r="V7" s="13" t="s">
        <v>15</v>
      </c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</row>
    <row r="8" ht="14.25" customHeight="1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11" t="s">
        <v>16</v>
      </c>
      <c r="T8" s="11" t="s">
        <v>17</v>
      </c>
      <c r="U8" s="12" t="s">
        <v>18</v>
      </c>
      <c r="V8" s="13" t="s">
        <v>19</v>
      </c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</row>
    <row r="9" ht="14.25" customHeight="1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11" t="s">
        <v>20</v>
      </c>
      <c r="T9" s="11" t="s">
        <v>21</v>
      </c>
      <c r="U9" s="12" t="s">
        <v>22</v>
      </c>
      <c r="V9" s="13" t="s">
        <v>23</v>
      </c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</row>
    <row r="10" ht="14.25" customHeight="1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11" t="s">
        <v>24</v>
      </c>
      <c r="T10" s="11" t="s">
        <v>25</v>
      </c>
      <c r="U10" s="12" t="s">
        <v>26</v>
      </c>
      <c r="V10" s="13" t="s">
        <v>27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</row>
    <row r="11" ht="14.25" customHeight="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11" t="s">
        <v>28</v>
      </c>
      <c r="T11" s="11" t="s">
        <v>29</v>
      </c>
      <c r="U11" s="12" t="s">
        <v>30</v>
      </c>
      <c r="V11" s="13" t="s">
        <v>31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</row>
    <row r="12" ht="14.25" customHeight="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11" t="s">
        <v>32</v>
      </c>
      <c r="T12" s="11" t="s">
        <v>33</v>
      </c>
      <c r="U12" s="12" t="s">
        <v>34</v>
      </c>
      <c r="V12" s="13" t="s">
        <v>35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</row>
    <row r="13" ht="14.25" customHeight="1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11" t="s">
        <v>36</v>
      </c>
      <c r="T13" s="11" t="s">
        <v>37</v>
      </c>
      <c r="U13" s="12" t="s">
        <v>38</v>
      </c>
      <c r="V13" s="13" t="s">
        <v>39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</row>
    <row r="14" ht="14.25" customHeight="1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11" t="s">
        <v>40</v>
      </c>
      <c r="T14" s="11" t="s">
        <v>41</v>
      </c>
      <c r="U14" s="12" t="s">
        <v>42</v>
      </c>
      <c r="V14" s="13" t="s">
        <v>43</v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</row>
    <row r="15" ht="14.25" customHeight="1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</row>
    <row r="16" ht="14.25" customHeight="1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</row>
    <row r="17" ht="14.25" customHeight="1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</row>
    <row r="18" ht="14.25" customHeight="1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</row>
    <row r="19" ht="14.25" customHeight="1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</row>
    <row r="20" ht="14.25" customHeight="1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</row>
    <row r="21" ht="14.25" customHeight="1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</row>
    <row r="22" ht="14.25" customHeight="1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</row>
    <row r="23" ht="14.25" customHeight="1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</row>
    <row r="24" ht="14.25" customHeight="1">
      <c r="B24" s="4"/>
      <c r="C24" s="4"/>
      <c r="D24" s="4"/>
      <c r="E24" s="4"/>
      <c r="F24" s="4"/>
      <c r="G24" s="4"/>
      <c r="H24" s="4"/>
      <c r="I24" s="1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</row>
    <row r="25" ht="14.25" customHeight="1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</row>
    <row r="26" ht="14.25" customHeight="1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</row>
    <row r="27" ht="14.25" customHeight="1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</row>
    <row r="28" ht="14.25" customHeight="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</row>
    <row r="29" ht="14.25" customHeight="1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</row>
    <row r="30" ht="14.25" customHeight="1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</row>
    <row r="31" ht="14.25" customHeight="1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</row>
    <row r="32" ht="14.25" customHeight="1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</row>
    <row r="33" ht="14.25" customHeight="1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</row>
    <row r="34" ht="14.25" customHeight="1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</row>
    <row r="35" ht="14.25" customHeight="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</row>
    <row r="36" ht="14.25" customHeight="1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</row>
    <row r="37" ht="14.25" customHeight="1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</row>
    <row r="38" ht="14.25" customHeight="1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</row>
    <row r="39" ht="14.25" customHeight="1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</row>
    <row r="40" ht="14.25" customHeight="1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</row>
    <row r="41" ht="14.25" customHeight="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</row>
    <row r="42" ht="14.25" customHeight="1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</row>
    <row r="43" ht="14.25" customHeight="1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</row>
    <row r="44" ht="14.25" customHeight="1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</row>
    <row r="45" ht="14.25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</row>
    <row r="46" ht="14.25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</row>
    <row r="47" ht="14.25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</row>
    <row r="48" ht="14.25" customHeight="1">
      <c r="B48" s="4">
        <f t="array" ref="B48">IF(INDEX(Feuil1!$B$4:$AY$103, MATCH($B$1, Feuil1!$A$4:$A$103,0), COLUMN()-1)="", NA(), INDEX(Feuil1!$B$4:$AY$103, MATCH($B$1, Feuil1!$A$4:$A$103,0), COLUMN()-1))</f>
        <v>1500</v>
      </c>
      <c r="C48" s="4">
        <f t="array" ref="C48">IF(INDEX(Feuil1!$B$4:$AY$103, MATCH($B$1, Feuil1!$A$4:$A$103,0), COLUMN()-1)="", NA(), INDEX(Feuil1!$B$4:$AY$103, MATCH($B$1, Feuil1!$A$4:$A$103,0), COLUMN()-1))</f>
        <v>1507.946607</v>
      </c>
      <c r="D48" s="4">
        <f t="array" ref="D48">IF(INDEX(Feuil1!$B$4:$AY$103, MATCH($B$1, Feuil1!$A$4:$A$103,0), COLUMN()-1)="", NA(), INDEX(Feuil1!$B$4:$AY$103, MATCH($B$1, Feuil1!$A$4:$A$103,0), COLUMN()-1))</f>
        <v>1502.270036</v>
      </c>
      <c r="E48" s="4">
        <f t="array" ref="E48">IF(INDEX(Feuil1!$B$4:$AY$103, MATCH($B$1, Feuil1!$A$4:$A$103,0), COLUMN()-1)="", NA(), INDEX(Feuil1!$B$4:$AY$103, MATCH($B$1, Feuil1!$A$4:$A$103,0), COLUMN()-1))</f>
        <v>1499.649282</v>
      </c>
      <c r="F48" s="4">
        <f t="array" ref="F48">IF(INDEX(Feuil1!$B$4:$AY$103, MATCH($B$1, Feuil1!$A$4:$A$103,0), COLUMN()-1)="", NA(), INDEX(Feuil1!$B$4:$AY$103, MATCH($B$1, Feuil1!$A$4:$A$103,0), COLUMN()-1))</f>
        <v>1498.989705</v>
      </c>
      <c r="G48" s="4">
        <f t="array" ref="G48">IF(INDEX(Feuil1!$B$4:$AY$103, MATCH($B$1, Feuil1!$A$4:$A$103,0), COLUMN()-1)="", NA(), INDEX(Feuil1!$B$4:$AY$103, MATCH($B$1, Feuil1!$A$4:$A$103,0), COLUMN()-1))</f>
        <v>1498.989705</v>
      </c>
      <c r="H48" s="4">
        <f t="array" ref="H48">IF(INDEX(Feuil1!$B$4:$AY$103, MATCH($B$1, Feuil1!$A$4:$A$103,0), COLUMN()-1)="", NA(), INDEX(Feuil1!$B$4:$AY$103, MATCH($B$1, Feuil1!$A$4:$A$103,0), COLUMN()-1))</f>
        <v>1504.493979</v>
      </c>
      <c r="I48" s="4">
        <f t="array" ref="I48">IF(INDEX(Feuil1!$B$4:$AY$103, MATCH($B$1, Feuil1!$A$4:$A$103,0), COLUMN()-1)="", NA(), INDEX(Feuil1!$B$4:$AY$103, MATCH($B$1, Feuil1!$A$4:$A$103,0), COLUMN()-1))</f>
        <v>1513.791624</v>
      </c>
      <c r="J48" s="4">
        <f t="array" ref="J48">IF(INDEX(Feuil1!$B$4:$AY$103, MATCH($B$1, Feuil1!$A$4:$A$103,0), COLUMN()-1)="", NA(), INDEX(Feuil1!$B$4:$AY$103, MATCH($B$1, Feuil1!$A$4:$A$103,0), COLUMN()-1))</f>
        <v>1512.097119</v>
      </c>
      <c r="K48" s="4">
        <f t="array" ref="K48">IF(INDEX(Feuil1!$B$4:$AY$103, MATCH($B$1, Feuil1!$A$4:$A$103,0), COLUMN()-1)="", NA(), INDEX(Feuil1!$B$4:$AY$103, MATCH($B$1, Feuil1!$A$4:$A$103,0), COLUMN()-1))</f>
        <v>1512.097119</v>
      </c>
      <c r="L48" s="4">
        <f t="array" ref="L48">IF(INDEX(Feuil1!$B$4:$AY$103, MATCH($B$1, Feuil1!$A$4:$A$103,0), COLUMN()-1)="", NA(), INDEX(Feuil1!$B$4:$AY$103, MATCH($B$1, Feuil1!$A$4:$A$103,0), COLUMN()-1))</f>
        <v>1512.097119</v>
      </c>
      <c r="M48" s="4">
        <f t="array" ref="M48">IF(INDEX(Feuil1!$B$4:$AY$103, MATCH($B$1, Feuil1!$A$4:$A$103,0), COLUMN()-1)="", NA(), INDEX(Feuil1!$B$4:$AY$103, MATCH($B$1, Feuil1!$A$4:$A$103,0), COLUMN()-1))</f>
        <v>1512.097119</v>
      </c>
      <c r="N48" s="4" t="str">
        <f t="array" ref="N48">IF(INDEX(Feuil1!$B$4:$AY$103, MATCH($B$1, Feuil1!$A$4:$A$103,0), COLUMN()-1)="", NA(), INDEX(Feuil1!$B$4:$AY$103, MATCH($B$1, Feuil1!$A$4:$A$103,0), COLUMN()-1))</f>
        <v>#N/A</v>
      </c>
      <c r="O48" s="4" t="str">
        <f t="array" ref="O48">IF(INDEX(Feuil1!$B$4:$AY$103, MATCH($B$1, Feuil1!$A$4:$A$103,0), COLUMN()-1)="", NA(), INDEX(Feuil1!$B$4:$AY$103, MATCH($B$1, Feuil1!$A$4:$A$103,0), COLUMN()-1))</f>
        <v>#N/A</v>
      </c>
      <c r="P48" s="4" t="str">
        <f t="array" ref="P48">IF(INDEX(Feuil1!$B$4:$AY$103, MATCH($B$1, Feuil1!$A$4:$A$103,0), COLUMN()-1)="", NA(), INDEX(Feuil1!$B$4:$AY$103, MATCH($B$1, Feuil1!$A$4:$A$103,0), COLUMN()-1))</f>
        <v>#N/A</v>
      </c>
      <c r="Q48" s="4" t="str">
        <f t="array" ref="Q48">IF(INDEX(Feuil1!$B$4:$AY$103, MATCH($B$1, Feuil1!$A$4:$A$103,0), COLUMN()-1)="", NA(), INDEX(Feuil1!$B$4:$AY$103, MATCH($B$1, Feuil1!$A$4:$A$103,0), COLUMN()-1))</f>
        <v>#N/A</v>
      </c>
      <c r="R48" s="4" t="str">
        <f t="array" ref="R48">IF(INDEX(Feuil1!$B$4:$AY$103, MATCH($B$1, Feuil1!$A$4:$A$103,0), COLUMN()-1)="", NA(), INDEX(Feuil1!$B$4:$AY$103, MATCH($B$1, Feuil1!$A$4:$A$103,0), COLUMN()-1))</f>
        <v>#N/A</v>
      </c>
      <c r="S48" s="4" t="str">
        <f t="array" ref="S48">IF(INDEX(Feuil1!$B$4:$AY$103, MATCH($B$1, Feuil1!$A$4:$A$103,0), COLUMN()-1)="", NA(), INDEX(Feuil1!$B$4:$AY$103, MATCH($B$1, Feuil1!$A$4:$A$103,0), COLUMN()-1))</f>
        <v>#N/A</v>
      </c>
      <c r="T48" s="4" t="str">
        <f t="array" ref="T48">IF(INDEX(Feuil1!$B$4:$AY$103, MATCH($B$1, Feuil1!$A$4:$A$103,0), COLUMN()-1)="", NA(), INDEX(Feuil1!$B$4:$AY$103, MATCH($B$1, Feuil1!$A$4:$A$103,0), COLUMN()-1))</f>
        <v>#N/A</v>
      </c>
      <c r="U48" s="4" t="str">
        <f t="array" ref="U48">IF(INDEX(Feuil1!$B$4:$AY$103, MATCH($B$1, Feuil1!$A$4:$A$103,0), COLUMN()-1)="", NA(), INDEX(Feuil1!$B$4:$AY$103, MATCH($B$1, Feuil1!$A$4:$A$103,0), COLUMN()-1))</f>
        <v>#N/A</v>
      </c>
      <c r="V48" s="4" t="str">
        <f t="array" ref="V48">IF(INDEX(Feuil1!$B$4:$AY$103, MATCH($B$1, Feuil1!$A$4:$A$103,0), COLUMN()-1)="", NA(), INDEX(Feuil1!$B$4:$AY$103, MATCH($B$1, Feuil1!$A$4:$A$103,0), COLUMN()-1))</f>
        <v>#N/A</v>
      </c>
      <c r="W48" s="4" t="str">
        <f t="array" ref="W48">IF(INDEX(Feuil1!$B$4:$AY$103, MATCH($B$1, Feuil1!$A$4:$A$103,0), COLUMN()-1)="", NA(), INDEX(Feuil1!$B$4:$AY$103, MATCH($B$1, Feuil1!$A$4:$A$103,0), COLUMN()-1))</f>
        <v>#N/A</v>
      </c>
      <c r="X48" s="4" t="str">
        <f t="array" ref="X48">IF(INDEX(Feuil1!$B$4:$AY$103, MATCH($B$1, Feuil1!$A$4:$A$103,0), COLUMN()-1)="", NA(), INDEX(Feuil1!$B$4:$AY$103, MATCH($B$1, Feuil1!$A$4:$A$103,0), COLUMN()-1))</f>
        <v>#N/A</v>
      </c>
      <c r="Y48" s="4" t="str">
        <f t="array" ref="Y48">IF(INDEX(Feuil1!$B$4:$AY$103, MATCH($B$1, Feuil1!$A$4:$A$103,0), COLUMN()-1)="", NA(), INDEX(Feuil1!$B$4:$AY$103, MATCH($B$1, Feuil1!$A$4:$A$103,0), COLUMN()-1))</f>
        <v>#N/A</v>
      </c>
      <c r="Z48" s="4" t="str">
        <f t="array" ref="Z48">IF(INDEX(Feuil1!$B$4:$AY$103, MATCH($B$1, Feuil1!$A$4:$A$103,0), COLUMN()-1)="", NA(), INDEX(Feuil1!$B$4:$AY$103, MATCH($B$1, Feuil1!$A$4:$A$103,0), COLUMN()-1))</f>
        <v>#N/A</v>
      </c>
      <c r="AA48" s="4" t="str">
        <f t="array" ref="AA48">IF(INDEX(Feuil1!$B$4:$AY$103, MATCH($B$1, Feuil1!$A$4:$A$103,0), COLUMN()-1)="", NA(), INDEX(Feuil1!$B$4:$AY$103, MATCH($B$1, Feuil1!$A$4:$A$103,0), COLUMN()-1))</f>
        <v>#N/A</v>
      </c>
      <c r="AB48" s="4" t="str">
        <f t="array" ref="AB48">IF(INDEX(Feuil1!$B$4:$AY$103, MATCH($B$1, Feuil1!$A$4:$A$103,0), COLUMN()-1)="", NA(), INDEX(Feuil1!$B$4:$AY$103, MATCH($B$1, Feuil1!$A$4:$A$103,0), COLUMN()-1))</f>
        <v>#N/A</v>
      </c>
      <c r="AC48" s="4" t="str">
        <f t="array" ref="AC48">IF(INDEX(Feuil1!$B$4:$AY$103, MATCH($B$1, Feuil1!$A$4:$A$103,0), COLUMN()-1)="", NA(), INDEX(Feuil1!$B$4:$AY$103, MATCH($B$1, Feuil1!$A$4:$A$103,0), COLUMN()-1))</f>
        <v>#N/A</v>
      </c>
      <c r="AD48" s="4" t="str">
        <f t="array" ref="AD48">IF(INDEX(Feuil1!$B$4:$AY$103, MATCH($B$1, Feuil1!$A$4:$A$103,0), COLUMN()-1)="", NA(), INDEX(Feuil1!$B$4:$AY$103, MATCH($B$1, Feuil1!$A$4:$A$103,0), COLUMN()-1))</f>
        <v>#N/A</v>
      </c>
      <c r="AE48" s="4" t="str">
        <f t="array" ref="AE48">IF(INDEX(Feuil1!$B$4:$AY$103, MATCH($B$1, Feuil1!$A$4:$A$103,0), COLUMN()-1)="", NA(), INDEX(Feuil1!$B$4:$AY$103, MATCH($B$1, Feuil1!$A$4:$A$103,0), COLUMN()-1))</f>
        <v>#N/A</v>
      </c>
      <c r="AF48" s="4" t="str">
        <f t="array" ref="AF48">IF(INDEX(Feuil1!$B$4:$AY$103, MATCH($B$1, Feuil1!$A$4:$A$103,0), COLUMN()-1)="", NA(), INDEX(Feuil1!$B$4:$AY$103, MATCH($B$1, Feuil1!$A$4:$A$103,0), COLUMN()-1))</f>
        <v>#N/A</v>
      </c>
      <c r="AG48" s="4" t="str">
        <f t="array" ref="AG48">IF(INDEX(Feuil1!$B$4:$AY$103, MATCH($B$1, Feuil1!$A$4:$A$103,0), COLUMN()-1)="", NA(), INDEX(Feuil1!$B$4:$AY$103, MATCH($B$1, Feuil1!$A$4:$A$103,0), COLUMN()-1))</f>
        <v>#N/A</v>
      </c>
      <c r="AH48" s="4" t="str">
        <f t="array" ref="AH48">IF(INDEX(Feuil1!$B$4:$AY$103, MATCH($B$1, Feuil1!$A$4:$A$103,0), COLUMN()-1)="", NA(), INDEX(Feuil1!$B$4:$AY$103, MATCH($B$1, Feuil1!$A$4:$A$103,0), COLUMN()-1))</f>
        <v>#N/A</v>
      </c>
      <c r="AI48" s="4" t="str">
        <f t="array" ref="AI48">IF(INDEX(Feuil1!$B$4:$AY$103, MATCH($B$1, Feuil1!$A$4:$A$103,0), COLUMN()-1)="", NA(), INDEX(Feuil1!$B$4:$AY$103, MATCH($B$1, Feuil1!$A$4:$A$103,0), COLUMN()-1))</f>
        <v>#N/A</v>
      </c>
      <c r="AJ48" s="4" t="str">
        <f t="array" ref="AJ48">IF(INDEX(Feuil1!$B$4:$AY$103, MATCH($B$1, Feuil1!$A$4:$A$103,0), COLUMN()-1)="", NA(), INDEX(Feuil1!$B$4:$AY$103, MATCH($B$1, Feuil1!$A$4:$A$103,0), COLUMN()-1))</f>
        <v>#N/A</v>
      </c>
      <c r="AK48" s="4" t="str">
        <f t="array" ref="AK48">IF(INDEX(Feuil1!$B$4:$AY$103, MATCH($B$1, Feuil1!$A$4:$A$103,0), COLUMN()-1)="", NA(), INDEX(Feuil1!$B$4:$AY$103, MATCH($B$1, Feuil1!$A$4:$A$103,0), COLUMN()-1))</f>
        <v>#N/A</v>
      </c>
      <c r="AL48" s="4" t="str">
        <f t="array" ref="AL48">IF(INDEX(Feuil1!$B$4:$AY$103, MATCH($B$1, Feuil1!$A$4:$A$103,0), COLUMN()-1)="", NA(), INDEX(Feuil1!$B$4:$AY$103, MATCH($B$1, Feuil1!$A$4:$A$103,0), COLUMN()-1))</f>
        <v>#N/A</v>
      </c>
      <c r="AM48" s="4" t="str">
        <f t="array" ref="AM48">IF(INDEX(Feuil1!$B$4:$AY$103, MATCH($B$1, Feuil1!$A$4:$A$103,0), COLUMN()-1)="", NA(), INDEX(Feuil1!$B$4:$AY$103, MATCH($B$1, Feuil1!$A$4:$A$103,0), COLUMN()-1))</f>
        <v>#N/A</v>
      </c>
      <c r="AN48" s="4" t="str">
        <f t="array" ref="AN48">IF(INDEX(Feuil1!$B$4:$AY$103, MATCH($B$1, Feuil1!$A$4:$A$103,0), COLUMN()-1)="", NA(), INDEX(Feuil1!$B$4:$AY$103, MATCH($B$1, Feuil1!$A$4:$A$103,0), COLUMN()-1))</f>
        <v>#N/A</v>
      </c>
      <c r="AO48" s="4" t="str">
        <f t="array" ref="AO48">IF(INDEX(Feuil1!$B$4:$AY$103, MATCH($B$1, Feuil1!$A$4:$A$103,0), COLUMN()-1)="", NA(), INDEX(Feuil1!$B$4:$AY$103, MATCH($B$1, Feuil1!$A$4:$A$103,0), COLUMN()-1))</f>
        <v>#N/A</v>
      </c>
      <c r="AP48" s="4" t="str">
        <f t="array" ref="AP48">IF(INDEX(Feuil1!$B$4:$AY$103, MATCH($B$1, Feuil1!$A$4:$A$103,0), COLUMN()-1)="", NA(), INDEX(Feuil1!$B$4:$AY$103, MATCH($B$1, Feuil1!$A$4:$A$103,0), COLUMN()-1))</f>
        <v>#N/A</v>
      </c>
      <c r="AQ48" s="4" t="str">
        <f t="array" ref="AQ48">IF(INDEX(Feuil1!$B$4:$AY$103, MATCH($B$1, Feuil1!$A$4:$A$103,0), COLUMN()-1)="", NA(), INDEX(Feuil1!$B$4:$AY$103, MATCH($B$1, Feuil1!$A$4:$A$103,0), COLUMN()-1))</f>
        <v>#N/A</v>
      </c>
      <c r="AR48" s="4" t="str">
        <f t="array" ref="AR48">IF(INDEX(Feuil1!$B$4:$AY$103, MATCH($B$1, Feuil1!$A$4:$A$103,0), COLUMN()-1)="", NA(), INDEX(Feuil1!$B$4:$AY$103, MATCH($B$1, Feuil1!$A$4:$A$103,0), COLUMN()-1))</f>
        <v>#N/A</v>
      </c>
      <c r="AS48" s="4" t="str">
        <f t="array" ref="AS48">IF(INDEX(Feuil1!$B$4:$AY$103, MATCH($B$1, Feuil1!$A$4:$A$103,0), COLUMN()-1)="", NA(), INDEX(Feuil1!$B$4:$AY$103, MATCH($B$1, Feuil1!$A$4:$A$103,0), COLUMN()-1))</f>
        <v>#N/A</v>
      </c>
      <c r="AT48" s="4" t="str">
        <f t="array" ref="AT48">IF(INDEX(Feuil1!$B$4:$AY$103, MATCH($B$1, Feuil1!$A$4:$A$103,0), COLUMN()-1)="", NA(), INDEX(Feuil1!$B$4:$AY$103, MATCH($B$1, Feuil1!$A$4:$A$103,0), COLUMN()-1))</f>
        <v>#N/A</v>
      </c>
      <c r="AU48" s="4" t="str">
        <f t="array" ref="AU48">IF(INDEX(Feuil1!$B$4:$AY$103, MATCH($B$1, Feuil1!$A$4:$A$103,0), COLUMN()-1)="", NA(), INDEX(Feuil1!$B$4:$AY$103, MATCH($B$1, Feuil1!$A$4:$A$103,0), COLUMN()-1))</f>
        <v>#N/A</v>
      </c>
      <c r="AV48" s="4" t="str">
        <f t="array" ref="AV48">IF(INDEX(Feuil1!$B$4:$AY$103, MATCH($B$1, Feuil1!$A$4:$A$103,0), COLUMN()-1)="", NA(), INDEX(Feuil1!$B$4:$AY$103, MATCH($B$1, Feuil1!$A$4:$A$103,0), COLUMN()-1))</f>
        <v>#N/A</v>
      </c>
      <c r="AW48" s="4" t="str">
        <f t="array" ref="AW48">IF(INDEX(Feuil1!$B$4:$AY$103, MATCH($B$1, Feuil1!$A$4:$A$103,0), COLUMN()-1)="", NA(), INDEX(Feuil1!$B$4:$AY$103, MATCH($B$1, Feuil1!$A$4:$A$103,0), COLUMN()-1))</f>
        <v>#N/A</v>
      </c>
      <c r="AX48" s="4" t="str">
        <f t="array" ref="AX48">IF(INDEX(Feuil1!$B$4:$AY$103, MATCH($B$1, Feuil1!$A$4:$A$103,0), COLUMN()-1)="", NA(), INDEX(Feuil1!$B$4:$AY$103, MATCH($B$1, Feuil1!$A$4:$A$103,0), COLUMN()-1))</f>
        <v>#N/A</v>
      </c>
      <c r="AY48" s="4" t="str">
        <f t="array" ref="AY48">IF(INDEX(Feuil1!$B$4:$AY$103, MATCH($B$1, Feuil1!$A$4:$A$103,0), COLUMN()-1)="", NA(), INDEX(Feuil1!$B$4:$AY$103, MATCH($B$1, Feuil1!$A$4:$A$103,0), COLUMN()-1))</f>
        <v>#N/A</v>
      </c>
      <c r="AZ48" s="4">
        <f>IFERROR(__xludf.DUMMYFUNCTION("INDEX(FILTER($B48:AY48, ISNUMBER($B48:AY48)), COUNTA(FILTER($B48:AY48, ISNUMBER($B48:AY48))))"),1512.09711887037)</f>
        <v>1512.097119</v>
      </c>
      <c r="BA48" s="15" t="str">
        <f>"RPL actuel : "&amp;ROUND(AZ48,0)</f>
        <v>RPL actuel : 1512</v>
      </c>
    </row>
    <row r="49" ht="14.25" customHeight="1">
      <c r="A49" s="16" t="s">
        <v>44</v>
      </c>
      <c r="B49" s="4">
        <f t="array" ref="B49">IF(INDEX(Feuil1!$B$4:$AY$103, MATCH($A$49, Feuil1!$A$4:$A$103,0), COLUMN()-1)="", NA(), INDEX(Feuil1!$B$4:$AY$103, MATCH($A$49, Feuil1!$A$4:$A$103,0), COLUMN()-1))</f>
        <v>1500</v>
      </c>
      <c r="C49" s="4">
        <f t="array" ref="C49">IF(INDEX(Feuil1!$B$4:$AY$103, MATCH($A$49, Feuil1!$A$4:$A$103,0), COLUMN()-1)="", NA(), INDEX(Feuil1!$B$4:$AY$103, MATCH($A$49, Feuil1!$A$4:$A$103,0), COLUMN()-1))</f>
        <v>1513.289775</v>
      </c>
      <c r="D49" s="4">
        <f t="array" ref="D49">IF(INDEX(Feuil1!$B$4:$AY$103, MATCH($A$49, Feuil1!$A$4:$A$103,0), COLUMN()-1)="", NA(), INDEX(Feuil1!$B$4:$AY$103, MATCH($A$49, Feuil1!$A$4:$A$103,0), COLUMN()-1))</f>
        <v>1523.701364</v>
      </c>
      <c r="E49" s="4">
        <f t="array" ref="E49">IF(INDEX(Feuil1!$B$4:$AY$103, MATCH($A$49, Feuil1!$A$4:$A$103,0), COLUMN()-1)="", NA(), INDEX(Feuil1!$B$4:$AY$103, MATCH($A$49, Feuil1!$A$4:$A$103,0), COLUMN()-1))</f>
        <v>1531.967167</v>
      </c>
      <c r="F49" s="4">
        <f t="array" ref="F49">IF(INDEX(Feuil1!$B$4:$AY$103, MATCH($A$49, Feuil1!$A$4:$A$103,0), COLUMN()-1)="", NA(), INDEX(Feuil1!$B$4:$AY$103, MATCH($A$49, Feuil1!$A$4:$A$103,0), COLUMN()-1))</f>
        <v>1541.59441</v>
      </c>
      <c r="G49" s="4">
        <f t="array" ref="G49">IF(INDEX(Feuil1!$B$4:$AY$103, MATCH($A$49, Feuil1!$A$4:$A$103,0), COLUMN()-1)="", NA(), INDEX(Feuil1!$B$4:$AY$103, MATCH($A$49, Feuil1!$A$4:$A$103,0), COLUMN()-1))</f>
        <v>1548.720346</v>
      </c>
      <c r="H49" s="4">
        <f t="array" ref="H49">IF(INDEX(Feuil1!$B$4:$AY$103, MATCH($A$49, Feuil1!$A$4:$A$103,0), COLUMN()-1)="", NA(), INDEX(Feuil1!$B$4:$AY$103, MATCH($A$49, Feuil1!$A$4:$A$103,0), COLUMN()-1))</f>
        <v>1548.349953</v>
      </c>
      <c r="I49" s="4">
        <f t="array" ref="I49">IF(INDEX(Feuil1!$B$4:$AY$103, MATCH($A$49, Feuil1!$A$4:$A$103,0), COLUMN()-1)="", NA(), INDEX(Feuil1!$B$4:$AY$103, MATCH($A$49, Feuil1!$A$4:$A$103,0), COLUMN()-1))</f>
        <v>1556.307569</v>
      </c>
      <c r="J49" s="4">
        <f t="array" ref="J49">IF(INDEX(Feuil1!$B$4:$AY$103, MATCH($A$49, Feuil1!$A$4:$A$103,0), COLUMN()-1)="", NA(), INDEX(Feuil1!$B$4:$AY$103, MATCH($A$49, Feuil1!$A$4:$A$103,0), COLUMN()-1))</f>
        <v>1561.527966</v>
      </c>
      <c r="K49" s="4">
        <f t="array" ref="K49">IF(INDEX(Feuil1!$B$4:$AY$103, MATCH($A$49, Feuil1!$A$4:$A$103,0), COLUMN()-1)="", NA(), INDEX(Feuil1!$B$4:$AY$103, MATCH($A$49, Feuil1!$A$4:$A$103,0), COLUMN()-1))</f>
        <v>1569.684388</v>
      </c>
      <c r="L49" s="4">
        <f t="array" ref="L49">IF(INDEX(Feuil1!$B$4:$AY$103, MATCH($A$49, Feuil1!$A$4:$A$103,0), COLUMN()-1)="", NA(), INDEX(Feuil1!$B$4:$AY$103, MATCH($A$49, Feuil1!$A$4:$A$103,0), COLUMN()-1))</f>
        <v>1573.212952</v>
      </c>
      <c r="M49" s="4">
        <f t="array" ref="M49">IF(INDEX(Feuil1!$B$4:$AY$103, MATCH($A$49, Feuil1!$A$4:$A$103,0), COLUMN()-1)="", NA(), INDEX(Feuil1!$B$4:$AY$103, MATCH($A$49, Feuil1!$A$4:$A$103,0), COLUMN()-1))</f>
        <v>1574.889522</v>
      </c>
      <c r="N49" s="4" t="str">
        <f t="array" ref="N49">IF(INDEX(Feuil1!$B$4:$AY$103, MATCH($A$49, Feuil1!$A$4:$A$103,0), COLUMN()-1)="", NA(), INDEX(Feuil1!$B$4:$AY$103, MATCH($A$49, Feuil1!$A$4:$A$103,0), COLUMN()-1))</f>
        <v>#N/A</v>
      </c>
      <c r="O49" s="4" t="str">
        <f t="array" ref="O49">IF(INDEX(Feuil1!$B$4:$AY$103, MATCH($A$49, Feuil1!$A$4:$A$103,0), COLUMN()-1)="", NA(), INDEX(Feuil1!$B$4:$AY$103, MATCH($A$49, Feuil1!$A$4:$A$103,0), COLUMN()-1))</f>
        <v>#N/A</v>
      </c>
      <c r="P49" s="4" t="str">
        <f t="array" ref="P49">IF(INDEX(Feuil1!$B$4:$AY$103, MATCH($A$49, Feuil1!$A$4:$A$103,0), COLUMN()-1)="", NA(), INDEX(Feuil1!$B$4:$AY$103, MATCH($A$49, Feuil1!$A$4:$A$103,0), COLUMN()-1))</f>
        <v>#N/A</v>
      </c>
      <c r="Q49" s="4" t="str">
        <f t="array" ref="Q49">IF(INDEX(Feuil1!$B$4:$AY$103, MATCH($A$49, Feuil1!$A$4:$A$103,0), COLUMN()-1)="", NA(), INDEX(Feuil1!$B$4:$AY$103, MATCH($A$49, Feuil1!$A$4:$A$103,0), COLUMN()-1))</f>
        <v>#N/A</v>
      </c>
      <c r="R49" s="4" t="str">
        <f t="array" ref="R49">IF(INDEX(Feuil1!$B$4:$AY$103, MATCH($A$49, Feuil1!$A$4:$A$103,0), COLUMN()-1)="", NA(), INDEX(Feuil1!$B$4:$AY$103, MATCH($A$49, Feuil1!$A$4:$A$103,0), COLUMN()-1))</f>
        <v>#N/A</v>
      </c>
      <c r="S49" s="4" t="str">
        <f t="array" ref="S49">IF(INDEX(Feuil1!$B$4:$AY$103, MATCH($A$49, Feuil1!$A$4:$A$103,0), COLUMN()-1)="", NA(), INDEX(Feuil1!$B$4:$AY$103, MATCH($A$49, Feuil1!$A$4:$A$103,0), COLUMN()-1))</f>
        <v>#N/A</v>
      </c>
      <c r="T49" s="4" t="str">
        <f t="array" ref="T49">IF(INDEX(Feuil1!$B$4:$AY$103, MATCH($A$49, Feuil1!$A$4:$A$103,0), COLUMN()-1)="", NA(), INDEX(Feuil1!$B$4:$AY$103, MATCH($A$49, Feuil1!$A$4:$A$103,0), COLUMN()-1))</f>
        <v>#N/A</v>
      </c>
      <c r="U49" s="4" t="str">
        <f t="array" ref="U49">IF(INDEX(Feuil1!$B$4:$AY$103, MATCH($A$49, Feuil1!$A$4:$A$103,0), COLUMN()-1)="", NA(), INDEX(Feuil1!$B$4:$AY$103, MATCH($A$49, Feuil1!$A$4:$A$103,0), COLUMN()-1))</f>
        <v>#N/A</v>
      </c>
      <c r="V49" s="4" t="str">
        <f t="array" ref="V49">IF(INDEX(Feuil1!$B$4:$AY$103, MATCH($A$49, Feuil1!$A$4:$A$103,0), COLUMN()-1)="", NA(), INDEX(Feuil1!$B$4:$AY$103, MATCH($A$49, Feuil1!$A$4:$A$103,0), COLUMN()-1))</f>
        <v>#N/A</v>
      </c>
      <c r="W49" s="4" t="str">
        <f t="array" ref="W49">IF(INDEX(Feuil1!$B$4:$AY$103, MATCH($A$49, Feuil1!$A$4:$A$103,0), COLUMN()-1)="", NA(), INDEX(Feuil1!$B$4:$AY$103, MATCH($A$49, Feuil1!$A$4:$A$103,0), COLUMN()-1))</f>
        <v>#N/A</v>
      </c>
      <c r="X49" s="4" t="str">
        <f t="array" ref="X49">IF(INDEX(Feuil1!$B$4:$AY$103, MATCH($A$49, Feuil1!$A$4:$A$103,0), COLUMN()-1)="", NA(), INDEX(Feuil1!$B$4:$AY$103, MATCH($A$49, Feuil1!$A$4:$A$103,0), COLUMN()-1))</f>
        <v>#N/A</v>
      </c>
      <c r="Y49" s="4" t="str">
        <f t="array" ref="Y49">IF(INDEX(Feuil1!$B$4:$AY$103, MATCH($A$49, Feuil1!$A$4:$A$103,0), COLUMN()-1)="", NA(), INDEX(Feuil1!$B$4:$AY$103, MATCH($A$49, Feuil1!$A$4:$A$103,0), COLUMN()-1))</f>
        <v>#N/A</v>
      </c>
      <c r="Z49" s="4" t="str">
        <f t="array" ref="Z49">IF(INDEX(Feuil1!$B$4:$AY$103, MATCH($A$49, Feuil1!$A$4:$A$103,0), COLUMN()-1)="", NA(), INDEX(Feuil1!$B$4:$AY$103, MATCH($A$49, Feuil1!$A$4:$A$103,0), COLUMN()-1))</f>
        <v>#N/A</v>
      </c>
      <c r="AA49" s="4" t="str">
        <f t="array" ref="AA49">IF(INDEX(Feuil1!$B$4:$AY$103, MATCH($A$49, Feuil1!$A$4:$A$103,0), COLUMN()-1)="", NA(), INDEX(Feuil1!$B$4:$AY$103, MATCH($A$49, Feuil1!$A$4:$A$103,0), COLUMN()-1))</f>
        <v>#N/A</v>
      </c>
      <c r="AB49" s="4" t="str">
        <f t="array" ref="AB49">IF(INDEX(Feuil1!$B$4:$AY$103, MATCH($A$49, Feuil1!$A$4:$A$103,0), COLUMN()-1)="", NA(), INDEX(Feuil1!$B$4:$AY$103, MATCH($A$49, Feuil1!$A$4:$A$103,0), COLUMN()-1))</f>
        <v>#N/A</v>
      </c>
      <c r="AC49" s="4" t="str">
        <f t="array" ref="AC49">IF(INDEX(Feuil1!$B$4:$AY$103, MATCH($A$49, Feuil1!$A$4:$A$103,0), COLUMN()-1)="", NA(), INDEX(Feuil1!$B$4:$AY$103, MATCH($A$49, Feuil1!$A$4:$A$103,0), COLUMN()-1))</f>
        <v>#N/A</v>
      </c>
      <c r="AD49" s="4" t="str">
        <f t="array" ref="AD49">IF(INDEX(Feuil1!$B$4:$AY$103, MATCH($A$49, Feuil1!$A$4:$A$103,0), COLUMN()-1)="", NA(), INDEX(Feuil1!$B$4:$AY$103, MATCH($A$49, Feuil1!$A$4:$A$103,0), COLUMN()-1))</f>
        <v>#N/A</v>
      </c>
      <c r="AE49" s="4" t="str">
        <f t="array" ref="AE49">IF(INDEX(Feuil1!$B$4:$AY$103, MATCH($A$49, Feuil1!$A$4:$A$103,0), COLUMN()-1)="", NA(), INDEX(Feuil1!$B$4:$AY$103, MATCH($A$49, Feuil1!$A$4:$A$103,0), COLUMN()-1))</f>
        <v>#N/A</v>
      </c>
      <c r="AF49" s="4" t="str">
        <f t="array" ref="AF49">IF(INDEX(Feuil1!$B$4:$AY$103, MATCH($A$49, Feuil1!$A$4:$A$103,0), COLUMN()-1)="", NA(), INDEX(Feuil1!$B$4:$AY$103, MATCH($A$49, Feuil1!$A$4:$A$103,0), COLUMN()-1))</f>
        <v>#N/A</v>
      </c>
      <c r="AG49" s="4" t="str">
        <f t="array" ref="AG49">IF(INDEX(Feuil1!$B$4:$AY$103, MATCH($A$49, Feuil1!$A$4:$A$103,0), COLUMN()-1)="", NA(), INDEX(Feuil1!$B$4:$AY$103, MATCH($A$49, Feuil1!$A$4:$A$103,0), COLUMN()-1))</f>
        <v>#N/A</v>
      </c>
      <c r="AH49" s="4" t="str">
        <f t="array" ref="AH49">IF(INDEX(Feuil1!$B$4:$AY$103, MATCH($A$49, Feuil1!$A$4:$A$103,0), COLUMN()-1)="", NA(), INDEX(Feuil1!$B$4:$AY$103, MATCH($A$49, Feuil1!$A$4:$A$103,0), COLUMN()-1))</f>
        <v>#N/A</v>
      </c>
      <c r="AI49" s="4" t="str">
        <f t="array" ref="AI49">IF(INDEX(Feuil1!$B$4:$AY$103, MATCH($A$49, Feuil1!$A$4:$A$103,0), COLUMN()-1)="", NA(), INDEX(Feuil1!$B$4:$AY$103, MATCH($A$49, Feuil1!$A$4:$A$103,0), COLUMN()-1))</f>
        <v>#N/A</v>
      </c>
      <c r="AJ49" s="4" t="str">
        <f t="array" ref="AJ49">IF(INDEX(Feuil1!$B$4:$AY$103, MATCH($A$49, Feuil1!$A$4:$A$103,0), COLUMN()-1)="", NA(), INDEX(Feuil1!$B$4:$AY$103, MATCH($A$49, Feuil1!$A$4:$A$103,0), COLUMN()-1))</f>
        <v>#N/A</v>
      </c>
      <c r="AK49" s="4" t="str">
        <f t="array" ref="AK49">IF(INDEX(Feuil1!$B$4:$AY$103, MATCH($A$49, Feuil1!$A$4:$A$103,0), COLUMN()-1)="", NA(), INDEX(Feuil1!$B$4:$AY$103, MATCH($A$49, Feuil1!$A$4:$A$103,0), COLUMN()-1))</f>
        <v>#N/A</v>
      </c>
      <c r="AL49" s="4" t="str">
        <f t="array" ref="AL49">IF(INDEX(Feuil1!$B$4:$AY$103, MATCH($A$49, Feuil1!$A$4:$A$103,0), COLUMN()-1)="", NA(), INDEX(Feuil1!$B$4:$AY$103, MATCH($A$49, Feuil1!$A$4:$A$103,0), COLUMN()-1))</f>
        <v>#N/A</v>
      </c>
      <c r="AM49" s="4" t="str">
        <f t="array" ref="AM49">IF(INDEX(Feuil1!$B$4:$AY$103, MATCH($A$49, Feuil1!$A$4:$A$103,0), COLUMN()-1)="", NA(), INDEX(Feuil1!$B$4:$AY$103, MATCH($A$49, Feuil1!$A$4:$A$103,0), COLUMN()-1))</f>
        <v>#N/A</v>
      </c>
      <c r="AN49" s="4" t="str">
        <f t="array" ref="AN49">IF(INDEX(Feuil1!$B$4:$AY$103, MATCH($A$49, Feuil1!$A$4:$A$103,0), COLUMN()-1)="", NA(), INDEX(Feuil1!$B$4:$AY$103, MATCH($A$49, Feuil1!$A$4:$A$103,0), COLUMN()-1))</f>
        <v>#N/A</v>
      </c>
      <c r="AO49" s="4" t="str">
        <f t="array" ref="AO49">IF(INDEX(Feuil1!$B$4:$AY$103, MATCH($A$49, Feuil1!$A$4:$A$103,0), COLUMN()-1)="", NA(), INDEX(Feuil1!$B$4:$AY$103, MATCH($A$49, Feuil1!$A$4:$A$103,0), COLUMN()-1))</f>
        <v>#N/A</v>
      </c>
      <c r="AP49" s="4" t="str">
        <f t="array" ref="AP49">IF(INDEX(Feuil1!$B$4:$AY$103, MATCH($A$49, Feuil1!$A$4:$A$103,0), COLUMN()-1)="", NA(), INDEX(Feuil1!$B$4:$AY$103, MATCH($A$49, Feuil1!$A$4:$A$103,0), COLUMN()-1))</f>
        <v>#N/A</v>
      </c>
      <c r="AQ49" s="4" t="str">
        <f t="array" ref="AQ49">IF(INDEX(Feuil1!$B$4:$AY$103, MATCH($A$49, Feuil1!$A$4:$A$103,0), COLUMN()-1)="", NA(), INDEX(Feuil1!$B$4:$AY$103, MATCH($A$49, Feuil1!$A$4:$A$103,0), COLUMN()-1))</f>
        <v>#N/A</v>
      </c>
      <c r="AR49" s="4" t="str">
        <f t="array" ref="AR49">IF(INDEX(Feuil1!$B$4:$AY$103, MATCH($A$49, Feuil1!$A$4:$A$103,0), COLUMN()-1)="", NA(), INDEX(Feuil1!$B$4:$AY$103, MATCH($A$49, Feuil1!$A$4:$A$103,0), COLUMN()-1))</f>
        <v>#N/A</v>
      </c>
      <c r="AS49" s="4" t="str">
        <f t="array" ref="AS49">IF(INDEX(Feuil1!$B$4:$AY$103, MATCH($A$49, Feuil1!$A$4:$A$103,0), COLUMN()-1)="", NA(), INDEX(Feuil1!$B$4:$AY$103, MATCH($A$49, Feuil1!$A$4:$A$103,0), COLUMN()-1))</f>
        <v>#N/A</v>
      </c>
      <c r="AT49" s="4" t="str">
        <f t="array" ref="AT49">IF(INDEX(Feuil1!$B$4:$AY$103, MATCH($A$49, Feuil1!$A$4:$A$103,0), COLUMN()-1)="", NA(), INDEX(Feuil1!$B$4:$AY$103, MATCH($A$49, Feuil1!$A$4:$A$103,0), COLUMN()-1))</f>
        <v>#N/A</v>
      </c>
      <c r="AU49" s="4" t="str">
        <f t="array" ref="AU49">IF(INDEX(Feuil1!$B$4:$AY$103, MATCH($A$49, Feuil1!$A$4:$A$103,0), COLUMN()-1)="", NA(), INDEX(Feuil1!$B$4:$AY$103, MATCH($A$49, Feuil1!$A$4:$A$103,0), COLUMN()-1))</f>
        <v>#N/A</v>
      </c>
      <c r="AV49" s="4" t="str">
        <f t="array" ref="AV49">IF(INDEX(Feuil1!$B$4:$AY$103, MATCH($A$49, Feuil1!$A$4:$A$103,0), COLUMN()-1)="", NA(), INDEX(Feuil1!$B$4:$AY$103, MATCH($A$49, Feuil1!$A$4:$A$103,0), COLUMN()-1))</f>
        <v>#N/A</v>
      </c>
      <c r="AW49" s="4" t="str">
        <f t="array" ref="AW49">IF(INDEX(Feuil1!$B$4:$AY$103, MATCH($A$49, Feuil1!$A$4:$A$103,0), COLUMN()-1)="", NA(), INDEX(Feuil1!$B$4:$AY$103, MATCH($A$49, Feuil1!$A$4:$A$103,0), COLUMN()-1))</f>
        <v>#N/A</v>
      </c>
      <c r="AX49" s="4" t="str">
        <f t="array" ref="AX49">IF(INDEX(Feuil1!$B$4:$AY$103, MATCH($A$49, Feuil1!$A$4:$A$103,0), COLUMN()-1)="", NA(), INDEX(Feuil1!$B$4:$AY$103, MATCH($A$49, Feuil1!$A$4:$A$103,0), COLUMN()-1))</f>
        <v>#N/A</v>
      </c>
      <c r="AY49" s="4" t="str">
        <f t="array" ref="AY49">IF(INDEX(Feuil1!$B$4:$AY$103, MATCH($A$49, Feuil1!$A$4:$A$103,0), COLUMN()-1)="", NA(), INDEX(Feuil1!$B$4:$AY$103, MATCH($A$49, Feuil1!$A$4:$A$103,0), COLUMN()-1))</f>
        <v>#N/A</v>
      </c>
      <c r="AZ49" s="4">
        <f>IFERROR(__xludf.DUMMYFUNCTION("INDEX(FILTER(Feuil1!C103:AY103, ISNUMBER(Feuil1!C103:AY103)), COUNTA(FILTER(Feuil1!C103:AY103, ISNUMBER(Feuil1!C103:AY103))))"),1574.889521695299)</f>
        <v>1574.889522</v>
      </c>
      <c r="BA49" s="15" t="str">
        <f>"RPL du club : "&amp;ROUND(AZ49,0)</f>
        <v>RPL du club : 1575</v>
      </c>
    </row>
    <row r="50" ht="14.25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</row>
    <row r="51" ht="14.25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</row>
    <row r="52" ht="14.25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</row>
    <row r="53" ht="14.25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</row>
    <row r="54" ht="14.25" customHeight="1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</row>
    <row r="55" ht="14.25" customHeight="1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</row>
    <row r="56" ht="14.25" customHeight="1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</row>
    <row r="57" ht="14.25" customHeight="1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</row>
    <row r="58" ht="14.25" customHeight="1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</row>
    <row r="59" ht="14.25" customHeight="1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</row>
    <row r="60" ht="14.25" customHeight="1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</row>
    <row r="61" ht="14.25" customHeight="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</row>
    <row r="62" ht="14.25" customHeight="1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</row>
    <row r="63" ht="14.25" customHeight="1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</row>
    <row r="64" ht="14.25" customHeight="1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</row>
    <row r="65" ht="14.25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</row>
    <row r="66" ht="14.25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</row>
    <row r="67" ht="14.25" customHeight="1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</row>
    <row r="68" ht="14.25" customHeight="1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</row>
    <row r="69" ht="14.25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</row>
    <row r="70" ht="14.25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</row>
    <row r="71" ht="14.25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</row>
    <row r="72" ht="14.25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</row>
    <row r="73" ht="14.25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</row>
    <row r="74" ht="14.25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</row>
    <row r="75" ht="14.25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</row>
    <row r="76" ht="14.25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</row>
    <row r="77" ht="14.25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</row>
    <row r="78" ht="14.25" customHeight="1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</row>
    <row r="79" ht="14.25" customHeight="1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</row>
    <row r="80" ht="14.25" customHeight="1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</row>
    <row r="81" ht="14.25" customHeight="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</row>
    <row r="82" ht="14.25" customHeight="1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</row>
    <row r="83" ht="14.25" customHeight="1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</row>
    <row r="84" ht="14.2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</row>
    <row r="85" ht="14.2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</row>
    <row r="86" ht="14.25" customHeight="1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</row>
    <row r="87" ht="14.25" customHeight="1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</row>
    <row r="88" ht="14.25" customHeight="1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</row>
    <row r="89" ht="14.25" customHeight="1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</row>
    <row r="90" ht="14.2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</row>
    <row r="91" ht="14.2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</row>
    <row r="92" ht="14.2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</row>
    <row r="93" ht="14.2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</row>
    <row r="94" ht="14.25" customHeight="1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</row>
    <row r="95" ht="14.2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</row>
    <row r="96" ht="14.2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</row>
    <row r="97" ht="14.25" customHeight="1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</row>
    <row r="98" ht="14.25" customHeight="1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</row>
    <row r="99" ht="14.25" customHeight="1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</row>
    <row r="100" ht="14.25" customHeight="1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</row>
    <row r="101" ht="14.25" customHeight="1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</row>
    <row r="102" ht="14.25" customHeight="1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</row>
    <row r="103" ht="14.25" customHeight="1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</row>
    <row r="104" ht="14.25" customHeight="1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</row>
    <row r="105" ht="14.25" customHeight="1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</row>
    <row r="106" ht="14.2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</row>
    <row r="107" ht="14.2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</row>
    <row r="108" ht="14.2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</row>
    <row r="109" ht="14.2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</row>
    <row r="110" ht="14.2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1:Q1"/>
  </mergeCells>
  <dataValidations>
    <dataValidation type="list" allowBlank="1" showErrorMessage="1" sqref="B1">
      <formula1>Feuil1!$A$4:$A$103</formula1>
    </dataValidation>
  </dataValidations>
  <hyperlinks>
    <hyperlink r:id="rId1" ref="D1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3.29"/>
    <col customWidth="1" min="3" max="3" width="14.0"/>
    <col customWidth="1" min="4" max="4" width="10.71"/>
    <col customWidth="1" hidden="1" min="5" max="5" width="61.14"/>
    <col customWidth="1" min="6" max="26" width="10.71"/>
  </cols>
  <sheetData>
    <row r="1" ht="14.25" customHeight="1">
      <c r="A1" s="17" t="s">
        <v>45</v>
      </c>
      <c r="B1" s="17" t="s">
        <v>46</v>
      </c>
      <c r="C1" s="18" t="s">
        <v>47</v>
      </c>
      <c r="E1" s="19" t="s">
        <v>48</v>
      </c>
    </row>
    <row r="2" ht="14.25" customHeight="1">
      <c r="A2" s="20">
        <v>1.0</v>
      </c>
      <c r="B2" s="20" t="str">
        <f t="array" ref="B2">IFERROR(INDEX(Feuil1!A$4:A$102,MATCH('Classement RPL PMPC'!A2,Feuil1!BA$4:BA$102,0)),"")</f>
        <v>Meruem</v>
      </c>
      <c r="C2" s="21">
        <f>IFERROR(LARGE(Feuil1!AZ$4:AZ$102, ROWS('Classement RPL PMPC'!C$1:C1)),"")</f>
        <v>1722.793803</v>
      </c>
      <c r="E2" s="22" t="s">
        <v>49</v>
      </c>
    </row>
    <row r="3" ht="14.25" customHeight="1">
      <c r="A3" s="23">
        <v>2.0</v>
      </c>
      <c r="B3" s="23" t="str">
        <f t="array" ref="B3">IFERROR(INDEX(Feuil1!A$4:A$102,MATCH('Classement RPL PMPC'!A3,Feuil1!BA$4:BA$102,0)),"")</f>
        <v>MinnieLoucas</v>
      </c>
      <c r="C3" s="24">
        <f>IFERROR(LARGE(Feuil1!AZ$4:AZ$102, ROWS('Classement RPL PMPC'!C$1:C2)),"")</f>
        <v>1687.948822</v>
      </c>
    </row>
    <row r="4" ht="14.25" customHeight="1">
      <c r="A4" s="25">
        <v>3.0</v>
      </c>
      <c r="B4" s="25" t="str">
        <f t="array" ref="B4">IFERROR(INDEX(Feuil1!A$4:A$102,MATCH('Classement RPL PMPC'!A4,Feuil1!BA$4:BA$102,0)),"")</f>
        <v>Loucas</v>
      </c>
      <c r="C4" s="26">
        <f>IFERROR(LARGE(Feuil1!AZ$4:AZ$102, ROWS('Classement RPL PMPC'!C$1:C3)),"")</f>
        <v>1659.638953</v>
      </c>
    </row>
    <row r="5" ht="14.25" customHeight="1">
      <c r="A5" s="27">
        <v>4.0</v>
      </c>
      <c r="B5" s="27" t="str">
        <f t="array" ref="B5">IFERROR(INDEX(Feuil1!A$4:A$102,MATCH('Classement RPL PMPC'!A5,Feuil1!BA$4:BA$102,0)),"")</f>
        <v>Ronkout</v>
      </c>
      <c r="C5" s="28">
        <f>IFERROR(LARGE(Feuil1!AZ$4:AZ$102, ROWS('Classement RPL PMPC'!C$1:C4)),"")</f>
        <v>1659.503858</v>
      </c>
    </row>
    <row r="6" ht="14.25" customHeight="1">
      <c r="A6" s="27">
        <v>5.0</v>
      </c>
      <c r="B6" s="27" t="str">
        <f t="array" ref="B6">IFERROR(INDEX(Feuil1!A$4:A$102,MATCH('Classement RPL PMPC'!A6,Feuil1!BA$4:BA$102,0)),"")</f>
        <v>Gnaffron</v>
      </c>
      <c r="C6" s="28">
        <f>IFERROR(LARGE(Feuil1!AZ$4:AZ$102, ROWS('Classement RPL PMPC'!C$1:C5)),"")</f>
        <v>1640.884125</v>
      </c>
    </row>
    <row r="7" ht="14.25" customHeight="1">
      <c r="A7" s="27">
        <v>6.0</v>
      </c>
      <c r="B7" s="27" t="str">
        <f t="array" ref="B7">IFERROR(INDEX(Feuil1!A$4:A$102,MATCH('Classement RPL PMPC'!A7,Feuil1!BA$4:BA$102,0)),"")</f>
        <v>PikaJul</v>
      </c>
      <c r="C7" s="28">
        <f>IFERROR(LARGE(Feuil1!AZ$4:AZ$102, ROWS('Classement RPL PMPC'!C$1:C6)),"")</f>
        <v>1626.476928</v>
      </c>
    </row>
    <row r="8" ht="14.25" customHeight="1">
      <c r="A8" s="27">
        <v>7.0</v>
      </c>
      <c r="B8" s="27" t="str">
        <f t="array" ref="B8">IFERROR(INDEX(Feuil1!A$4:A$102,MATCH('Classement RPL PMPC'!A8,Feuil1!BA$4:BA$102,0)),"")</f>
        <v>Patrice</v>
      </c>
      <c r="C8" s="28">
        <f>IFERROR(LARGE(Feuil1!AZ$4:AZ$102, ROWS('Classement RPL PMPC'!C$1:C7)),"")</f>
        <v>1613.352443</v>
      </c>
    </row>
    <row r="9" ht="14.25" customHeight="1">
      <c r="A9" s="27">
        <v>8.0</v>
      </c>
      <c r="B9" s="27" t="str">
        <f t="array" ref="B9">IFERROR(INDEX(Feuil1!A$4:A$102,MATCH('Classement RPL PMPC'!A9,Feuil1!BA$4:BA$102,0)),"")</f>
        <v>Schirou</v>
      </c>
      <c r="C9" s="28">
        <f>IFERROR(LARGE(Feuil1!AZ$4:AZ$102, ROWS('Classement RPL PMPC'!C$1:C8)),"")</f>
        <v>1610.391592</v>
      </c>
    </row>
    <row r="10" ht="14.25" customHeight="1">
      <c r="A10" s="27">
        <v>9.0</v>
      </c>
      <c r="B10" s="27" t="str">
        <f t="array" ref="B10">IFERROR(INDEX(Feuil1!A$4:A$102,MATCH('Classement RPL PMPC'!A10,Feuil1!BA$4:BA$102,0)),"")</f>
        <v>Gwen</v>
      </c>
      <c r="C10" s="28">
        <f>IFERROR(LARGE(Feuil1!AZ$4:AZ$102, ROWS('Classement RPL PMPC'!C$1:C9)),"")</f>
        <v>1608.347317</v>
      </c>
    </row>
    <row r="11" ht="14.25" customHeight="1">
      <c r="A11" s="27">
        <v>10.0</v>
      </c>
      <c r="B11" s="27" t="str">
        <f t="array" ref="B11">IFERROR(INDEX(Feuil1!A$4:A$102,MATCH('Classement RPL PMPC'!A11,Feuil1!BA$4:BA$102,0)),"")</f>
        <v>Cat</v>
      </c>
      <c r="C11" s="28">
        <f>IFERROR(LARGE(Feuil1!AZ$4:AZ$102, ROWS('Classement RPL PMPC'!C$1:C10)),"")</f>
        <v>1572.867964</v>
      </c>
    </row>
    <row r="12" ht="14.25" customHeight="1">
      <c r="A12" s="27">
        <v>11.0</v>
      </c>
      <c r="B12" s="27" t="str">
        <f t="array" ref="B12">IFERROR(INDEX(Feuil1!A$4:A$102,MATCH('Classement RPL PMPC'!A12,Feuil1!BA$4:BA$102,0)),"")</f>
        <v>Nicolas</v>
      </c>
      <c r="C12" s="28">
        <f>IFERROR(LARGE(Feuil1!AZ$4:AZ$102, ROWS('Classement RPL PMPC'!C$1:C11)),"")</f>
        <v>1564.216355</v>
      </c>
    </row>
    <row r="13" ht="14.25" customHeight="1">
      <c r="A13" s="27">
        <v>12.0</v>
      </c>
      <c r="B13" s="27" t="str">
        <f t="array" ref="B13">IFERROR(INDEX(Feuil1!A$4:A$102,MATCH('Classement RPL PMPC'!A13,Feuil1!BA$4:BA$102,0)),"")</f>
        <v>Teddy</v>
      </c>
      <c r="C13" s="28">
        <f>IFERROR(LARGE(Feuil1!AZ$4:AZ$102, ROWS('Classement RPL PMPC'!C$1:C12)),"")</f>
        <v>1560.375881</v>
      </c>
    </row>
    <row r="14" ht="14.25" customHeight="1">
      <c r="A14" s="27">
        <v>13.0</v>
      </c>
      <c r="B14" s="27" t="str">
        <f t="array" ref="B14">IFERROR(INDEX(Feuil1!A$4:A$102,MATCH('Classement RPL PMPC'!A14,Feuil1!BA$4:BA$102,0)),"")</f>
        <v>Howie</v>
      </c>
      <c r="C14" s="28">
        <f>IFERROR(LARGE(Feuil1!AZ$4:AZ$102, ROWS('Classement RPL PMPC'!C$1:C13)),"")</f>
        <v>1542.430853</v>
      </c>
    </row>
    <row r="15" ht="14.25" customHeight="1">
      <c r="A15" s="27">
        <v>14.0</v>
      </c>
      <c r="B15" s="27" t="str">
        <f t="array" ref="B15">IFERROR(INDEX(Feuil1!A$4:A$102,MATCH('Classement RPL PMPC'!A15,Feuil1!BA$4:BA$102,0)),"")</f>
        <v>Phoenix</v>
      </c>
      <c r="C15" s="28">
        <f>IFERROR(LARGE(Feuil1!AZ$4:AZ$102, ROWS('Classement RPL PMPC'!C$1:C14)),"")</f>
        <v>1528.632009</v>
      </c>
    </row>
    <row r="16" ht="14.25" customHeight="1">
      <c r="A16" s="27">
        <v>15.0</v>
      </c>
      <c r="B16" s="27" t="str">
        <f t="array" ref="B16">IFERROR(INDEX(Feuil1!A$4:A$102,MATCH('Classement RPL PMPC'!A16,Feuil1!BA$4:BA$102,0)),"")</f>
        <v>Popa'akatuki</v>
      </c>
      <c r="C16" s="28">
        <f>IFERROR(LARGE(Feuil1!AZ$4:AZ$102, ROWS('Classement RPL PMPC'!C$1:C15)),"")</f>
        <v>1512.766735</v>
      </c>
    </row>
    <row r="17" ht="14.25" customHeight="1">
      <c r="A17" s="27">
        <v>16.0</v>
      </c>
      <c r="B17" s="27" t="str">
        <f t="array" ref="B17">IFERROR(INDEX(Feuil1!A$4:A$102,MATCH('Classement RPL PMPC'!A17,Feuil1!BA$4:BA$102,0)),"")</f>
        <v>Benoît</v>
      </c>
      <c r="C17" s="28">
        <f>IFERROR(LARGE(Feuil1!AZ$4:AZ$102, ROWS('Classement RPL PMPC'!C$1:C16)),"")</f>
        <v>1512.554862</v>
      </c>
    </row>
    <row r="18">
      <c r="A18" s="27">
        <v>17.0</v>
      </c>
      <c r="B18" s="27" t="str">
        <f t="array" ref="B18">IFERROR(INDEX(Feuil1!A$4:A$102,MATCH('Classement RPL PMPC'!A18,Feuil1!BA$4:BA$102,0)),"")</f>
        <v>Breizhkanaki</v>
      </c>
      <c r="C18" s="28">
        <f>IFERROR(LARGE(Feuil1!AZ$4:AZ$102, ROWS('Classement RPL PMPC'!C$1:C17)),"")</f>
        <v>1512.097119</v>
      </c>
    </row>
    <row r="19" ht="14.25" customHeight="1">
      <c r="A19" s="27">
        <v>18.0</v>
      </c>
      <c r="B19" s="27" t="str">
        <f t="array" ref="B19">IFERROR(INDEX(Feuil1!A$4:A$102,MATCH('Classement RPL PMPC'!A19,Feuil1!BA$4:BA$102,0)),"")</f>
        <v>Hyppo</v>
      </c>
      <c r="C19" s="28">
        <f>IFERROR(LARGE(Feuil1!AZ$4:AZ$102, ROWS('Classement RPL PMPC'!C$1:C18)),"")</f>
        <v>1509.594675</v>
      </c>
    </row>
    <row r="20" ht="14.25" customHeight="1">
      <c r="A20" s="27">
        <v>19.0</v>
      </c>
      <c r="B20" s="27" t="str">
        <f t="array" ref="B20">IFERROR(INDEX(Feuil1!A$4:A$102,MATCH('Classement RPL PMPC'!A20,Feuil1!BA$4:BA$102,0)),"")</f>
        <v>Mat</v>
      </c>
      <c r="C20" s="28">
        <f>IFERROR(LARGE(Feuil1!AZ$4:AZ$102, ROWS('Classement RPL PMPC'!C$1:C19)),"")</f>
        <v>1505.745709</v>
      </c>
    </row>
    <row r="21" ht="14.25" customHeight="1">
      <c r="A21" s="27">
        <v>20.0</v>
      </c>
      <c r="B21" s="27" t="str">
        <f t="array" ref="B21">IFERROR(INDEX(Feuil1!A$4:A$102,MATCH('Classement RPL PMPC'!A21,Feuil1!BA$4:BA$102,0)),"")</f>
        <v>Jerem</v>
      </c>
      <c r="C21" s="28">
        <f>IFERROR(LARGE(Feuil1!AZ$4:AZ$102, ROWS('Classement RPL PMPC'!C$1:C20)),"")</f>
        <v>1503.15844</v>
      </c>
    </row>
    <row r="22" ht="14.25" customHeight="1">
      <c r="A22" s="27">
        <v>21.0</v>
      </c>
      <c r="B22" s="27" t="str">
        <f t="array" ref="B22">IFERROR(INDEX(Feuil1!A$4:A$102,MATCH('Classement RPL PMPC'!A22,Feuil1!BA$4:BA$102,0)),"")</f>
        <v>Micky</v>
      </c>
      <c r="C22" s="28">
        <f>IFERROR(LARGE(Feuil1!AZ$4:AZ$102, ROWS('Classement RPL PMPC'!C$1:C21)),"")</f>
        <v>1497.395763</v>
      </c>
    </row>
    <row r="23" ht="14.25" customHeight="1">
      <c r="A23" s="27">
        <v>22.0</v>
      </c>
      <c r="B23" s="27" t="str">
        <f t="array" ref="B23">IFERROR(INDEX(Feuil1!A$4:A$102,MATCH('Classement RPL PMPC'!A23,Feuil1!BA$4:BA$102,0)),"")</f>
        <v>Falzarr</v>
      </c>
      <c r="C23" s="28">
        <f>IFERROR(LARGE(Feuil1!AZ$4:AZ$102, ROWS('Classement RPL PMPC'!C$1:C22)),"")</f>
        <v>1496.395271</v>
      </c>
    </row>
    <row r="24" ht="14.25" customHeight="1">
      <c r="A24" s="27">
        <v>23.0</v>
      </c>
      <c r="B24" s="27" t="str">
        <f t="array" ref="B24">IFERROR(INDEX(Feuil1!A$4:A$102,MATCH('Classement RPL PMPC'!A24,Feuil1!BA$4:BA$102,0)),"")</f>
        <v/>
      </c>
      <c r="C24" s="28" t="str">
        <f>IFERROR(LARGE(Feuil1!AZ$4:AZ$102, ROWS('Classement RPL PMPC'!C$1:C23)),"")</f>
        <v/>
      </c>
    </row>
    <row r="25" ht="14.25" customHeight="1">
      <c r="A25" s="27">
        <v>24.0</v>
      </c>
      <c r="B25" s="27" t="str">
        <f t="array" ref="B25">IFERROR(INDEX(Feuil1!A$4:A$102,MATCH('Classement RPL PMPC'!A25,Feuil1!BA$4:BA$102,0)),"")</f>
        <v/>
      </c>
      <c r="C25" s="28" t="str">
        <f>IFERROR(LARGE(Feuil1!AZ$4:AZ$102, ROWS('Classement RPL PMPC'!C$1:C24)),"")</f>
        <v/>
      </c>
    </row>
    <row r="26" ht="14.25" customHeight="1">
      <c r="A26" s="27">
        <v>25.0</v>
      </c>
      <c r="B26" s="27" t="str">
        <f t="array" ref="B26">IFERROR(INDEX(Feuil1!A$4:A$102,MATCH('Classement RPL PMPC'!A26,Feuil1!BA$4:BA$102,0)),"")</f>
        <v/>
      </c>
      <c r="C26" s="28" t="str">
        <f>IFERROR(LARGE(Feuil1!AZ$4:AZ$102, ROWS('Classement RPL PMPC'!C$1:C25)),"")</f>
        <v/>
      </c>
    </row>
    <row r="27" ht="14.25" customHeight="1">
      <c r="A27" s="27">
        <v>26.0</v>
      </c>
      <c r="B27" s="27" t="str">
        <f t="array" ref="B27">IFERROR(INDEX(Feuil1!A$4:A$102,MATCH('Classement RPL PMPC'!A27,Feuil1!BA$4:BA$102,0)),"")</f>
        <v/>
      </c>
      <c r="C27" s="28" t="str">
        <f>IFERROR(LARGE(Feuil1!AZ$4:AZ$102, ROWS('Classement RPL PMPC'!C$1:C26)),"")</f>
        <v/>
      </c>
    </row>
    <row r="28" ht="14.25" customHeight="1">
      <c r="A28" s="27">
        <v>27.0</v>
      </c>
      <c r="B28" s="27" t="str">
        <f t="array" ref="B28">IFERROR(INDEX(Feuil1!A$4:A$102,MATCH('Classement RPL PMPC'!A28,Feuil1!BA$4:BA$102,0)),"")</f>
        <v/>
      </c>
      <c r="C28" s="28" t="str">
        <f>IFERROR(LARGE(Feuil1!AZ$4:AZ$102, ROWS('Classement RPL PMPC'!C$1:C27)),"")</f>
        <v/>
      </c>
    </row>
    <row r="29" ht="14.25" customHeight="1">
      <c r="A29" s="27">
        <v>28.0</v>
      </c>
      <c r="B29" s="27" t="str">
        <f t="array" ref="B29">IFERROR(INDEX(Feuil1!A$4:A$102,MATCH('Classement RPL PMPC'!A29,Feuil1!BA$4:BA$102,0)),"")</f>
        <v/>
      </c>
      <c r="C29" s="28" t="str">
        <f>IFERROR(LARGE(Feuil1!AZ$4:AZ$102, ROWS('Classement RPL PMPC'!C$1:C28)),"")</f>
        <v/>
      </c>
    </row>
    <row r="30" ht="14.25" customHeight="1">
      <c r="A30" s="27">
        <v>29.0</v>
      </c>
      <c r="B30" s="27" t="str">
        <f t="array" ref="B30">IFERROR(INDEX(Feuil1!A$4:A$102,MATCH('Classement RPL PMPC'!A30,Feuil1!BA$4:BA$102,0)),"")</f>
        <v/>
      </c>
      <c r="C30" s="28" t="str">
        <f>IFERROR(LARGE(Feuil1!AZ$4:AZ$102, ROWS('Classement RPL PMPC'!C$1:C29)),"")</f>
        <v/>
      </c>
    </row>
    <row r="31" ht="14.25" customHeight="1">
      <c r="A31" s="27">
        <v>30.0</v>
      </c>
      <c r="B31" s="27" t="str">
        <f t="array" ref="B31">IFERROR(INDEX(Feuil1!A$4:A$102,MATCH('Classement RPL PMPC'!A31,Feuil1!BA$4:BA$102,0)),"")</f>
        <v/>
      </c>
      <c r="C31" s="28" t="str">
        <f>IFERROR(LARGE(Feuil1!AZ$4:AZ$102, ROWS('Classement RPL PMPC'!C$1:C30)),"")</f>
        <v/>
      </c>
    </row>
    <row r="32" ht="14.25" customHeight="1">
      <c r="A32" s="27">
        <v>31.0</v>
      </c>
      <c r="B32" s="27" t="str">
        <f t="array" ref="B32">IFERROR(INDEX(Feuil1!A$4:A$102,MATCH('Classement RPL PMPC'!A32,Feuil1!BA$4:BA$102,0)),"")</f>
        <v/>
      </c>
      <c r="C32" s="28" t="str">
        <f>IFERROR(LARGE(Feuil1!AZ$4:AZ$102, ROWS('Classement RPL PMPC'!C$1:C31)),"")</f>
        <v/>
      </c>
    </row>
    <row r="33" ht="14.25" customHeight="1">
      <c r="A33" s="27">
        <v>32.0</v>
      </c>
      <c r="B33" s="27" t="str">
        <f t="array" ref="B33">IFERROR(INDEX(Feuil1!A$4:A$102,MATCH('Classement RPL PMPC'!A33,Feuil1!BA$4:BA$102,0)),"")</f>
        <v/>
      </c>
      <c r="C33" s="28" t="str">
        <f>IFERROR(LARGE(Feuil1!AZ$4:AZ$102, ROWS('Classement RPL PMPC'!C$1:C32)),"")</f>
        <v/>
      </c>
    </row>
    <row r="34" ht="14.25" customHeight="1">
      <c r="A34" s="27">
        <v>33.0</v>
      </c>
      <c r="B34" s="27" t="str">
        <f t="array" ref="B34">IFERROR(INDEX(Feuil1!A$4:A$102,MATCH('Classement RPL PMPC'!A34,Feuil1!BA$4:BA$102,0)),"")</f>
        <v/>
      </c>
      <c r="C34" s="28" t="str">
        <f>IFERROR(LARGE(Feuil1!AZ$4:AZ$102, ROWS('Classement RPL PMPC'!C$1:C33)),"")</f>
        <v/>
      </c>
    </row>
    <row r="35" ht="14.25" customHeight="1">
      <c r="A35" s="27">
        <v>34.0</v>
      </c>
      <c r="B35" s="27" t="str">
        <f t="array" ref="B35">IFERROR(INDEX(Feuil1!A$4:A$102,MATCH('Classement RPL PMPC'!A35,Feuil1!BA$4:BA$102,0)),"")</f>
        <v/>
      </c>
      <c r="C35" s="28" t="str">
        <f>IFERROR(LARGE(Feuil1!AZ$4:AZ$102, ROWS('Classement RPL PMPC'!C$1:C34)),"")</f>
        <v/>
      </c>
    </row>
    <row r="36" ht="14.25" customHeight="1">
      <c r="A36" s="27">
        <v>35.0</v>
      </c>
      <c r="B36" s="27" t="str">
        <f t="array" ref="B36">IFERROR(INDEX(Feuil1!A$4:A$102,MATCH('Classement RPL PMPC'!A36,Feuil1!BA$4:BA$102,0)),"")</f>
        <v/>
      </c>
      <c r="C36" s="28" t="str">
        <f>IFERROR(LARGE(Feuil1!AZ$4:AZ$102, ROWS('Classement RPL PMPC'!C$1:C35)),"")</f>
        <v/>
      </c>
    </row>
    <row r="37" ht="14.25" customHeight="1">
      <c r="A37" s="27">
        <v>36.0</v>
      </c>
      <c r="B37" s="27" t="str">
        <f t="array" ref="B37">IFERROR(INDEX(Feuil1!A$4:A$102,MATCH('Classement RPL PMPC'!A37,Feuil1!BA$4:BA$102,0)),"")</f>
        <v/>
      </c>
      <c r="C37" s="28" t="str">
        <f>IFERROR(LARGE(Feuil1!AZ$4:AZ$102, ROWS('Classement RPL PMPC'!C$1:C36)),"")</f>
        <v/>
      </c>
    </row>
    <row r="38" ht="14.25" customHeight="1">
      <c r="A38" s="27">
        <v>37.0</v>
      </c>
      <c r="B38" s="27" t="str">
        <f t="array" ref="B38">IFERROR(INDEX(Feuil1!A$4:A$102,MATCH('Classement RPL PMPC'!A38,Feuil1!BA$4:BA$102,0)),"")</f>
        <v/>
      </c>
      <c r="C38" s="28" t="str">
        <f>IFERROR(LARGE(Feuil1!AZ$4:AZ$102, ROWS('Classement RPL PMPC'!C$1:C37)),"")</f>
        <v/>
      </c>
    </row>
    <row r="39" ht="14.25" customHeight="1">
      <c r="A39" s="27">
        <v>38.0</v>
      </c>
      <c r="B39" s="27" t="str">
        <f t="array" ref="B39">IFERROR(INDEX(Feuil1!A$4:A$102,MATCH('Classement RPL PMPC'!A39,Feuil1!BA$4:BA$102,0)),"")</f>
        <v/>
      </c>
      <c r="C39" s="28" t="str">
        <f>IFERROR(LARGE(Feuil1!AZ$4:AZ$102, ROWS('Classement RPL PMPC'!C$1:C38)),"")</f>
        <v/>
      </c>
    </row>
    <row r="40" ht="14.25" customHeight="1">
      <c r="A40" s="27">
        <v>39.0</v>
      </c>
      <c r="B40" s="27" t="str">
        <f t="array" ref="B40">IFERROR(INDEX(Feuil1!A$4:A$102,MATCH('Classement RPL PMPC'!A40,Feuil1!BA$4:BA$102,0)),"")</f>
        <v/>
      </c>
      <c r="C40" s="28" t="str">
        <f>IFERROR(LARGE(Feuil1!AZ$4:AZ$102, ROWS('Classement RPL PMPC'!C$1:C39)),"")</f>
        <v/>
      </c>
    </row>
    <row r="41" ht="14.25" customHeight="1">
      <c r="A41" s="27">
        <v>40.0</v>
      </c>
      <c r="B41" s="27" t="str">
        <f t="array" ref="B41">IFERROR(INDEX(Feuil1!A$4:A$102,MATCH('Classement RPL PMPC'!A41,Feuil1!BA$4:BA$102,0)),"")</f>
        <v/>
      </c>
      <c r="C41" s="28" t="str">
        <f>IFERROR(LARGE(Feuil1!AZ$4:AZ$102, ROWS('Classement RPL PMPC'!C$1:C40)),"")</f>
        <v/>
      </c>
    </row>
    <row r="42" ht="14.25" customHeight="1">
      <c r="A42" s="27">
        <v>41.0</v>
      </c>
      <c r="B42" s="27" t="str">
        <f t="array" ref="B42">IFERROR(INDEX(Feuil1!A$4:A$102,MATCH('Classement RPL PMPC'!A42,Feuil1!BA$4:BA$102,0)),"")</f>
        <v/>
      </c>
      <c r="C42" s="28" t="str">
        <f>IFERROR(LARGE(Feuil1!AZ$4:AZ$102, ROWS('Classement RPL PMPC'!C$1:C41)),"")</f>
        <v/>
      </c>
    </row>
    <row r="43" ht="14.25" customHeight="1">
      <c r="A43" s="27">
        <v>42.0</v>
      </c>
      <c r="B43" s="27" t="str">
        <f t="array" ref="B43">IFERROR(INDEX(Feuil1!A$4:A$102,MATCH('Classement RPL PMPC'!A43,Feuil1!BA$4:BA$102,0)),"")</f>
        <v/>
      </c>
      <c r="C43" s="28" t="str">
        <f>IFERROR(LARGE(Feuil1!AZ$4:AZ$102, ROWS('Classement RPL PMPC'!C$1:C42)),"")</f>
        <v/>
      </c>
    </row>
    <row r="44" ht="14.25" customHeight="1">
      <c r="A44" s="27">
        <v>43.0</v>
      </c>
      <c r="B44" s="27" t="str">
        <f t="array" ref="B44">IFERROR(INDEX(Feuil1!A$4:A$102,MATCH('Classement RPL PMPC'!A44,Feuil1!BA$4:BA$102,0)),"")</f>
        <v/>
      </c>
      <c r="C44" s="28" t="str">
        <f>IFERROR(LARGE(Feuil1!AZ$4:AZ$102, ROWS('Classement RPL PMPC'!C$1:C43)),"")</f>
        <v/>
      </c>
    </row>
    <row r="45" ht="14.25" customHeight="1">
      <c r="A45" s="27">
        <v>44.0</v>
      </c>
      <c r="B45" s="27" t="str">
        <f t="array" ref="B45">IFERROR(INDEX(Feuil1!A$4:A$102,MATCH('Classement RPL PMPC'!A45,Feuil1!BA$4:BA$102,0)),"")</f>
        <v/>
      </c>
      <c r="C45" s="28" t="str">
        <f>IFERROR(LARGE(Feuil1!AZ$4:AZ$102, ROWS('Classement RPL PMPC'!C$1:C44)),"")</f>
        <v/>
      </c>
    </row>
    <row r="46" ht="14.25" customHeight="1">
      <c r="A46" s="27">
        <v>45.0</v>
      </c>
      <c r="B46" s="27" t="str">
        <f t="array" ref="B46">IFERROR(INDEX(Feuil1!A$4:A$102,MATCH('Classement RPL PMPC'!A46,Feuil1!BA$4:BA$102,0)),"")</f>
        <v/>
      </c>
      <c r="C46" s="28" t="str">
        <f>IFERROR(LARGE(Feuil1!AZ$4:AZ$102, ROWS('Classement RPL PMPC'!C$1:C45)),"")</f>
        <v/>
      </c>
    </row>
    <row r="47" ht="14.25" customHeight="1">
      <c r="A47" s="27">
        <v>46.0</v>
      </c>
      <c r="B47" s="27" t="str">
        <f t="array" ref="B47">IFERROR(INDEX(Feuil1!A$4:A$102,MATCH('Classement RPL PMPC'!A47,Feuil1!BA$4:BA$102,0)),"")</f>
        <v/>
      </c>
      <c r="C47" s="28" t="str">
        <f>IFERROR(LARGE(Feuil1!AZ$4:AZ$102, ROWS('Classement RPL PMPC'!C$1:C46)),"")</f>
        <v/>
      </c>
    </row>
    <row r="48" ht="14.25" customHeight="1">
      <c r="A48" s="27">
        <v>47.0</v>
      </c>
      <c r="B48" s="27" t="str">
        <f t="array" ref="B48">IFERROR(INDEX(Feuil1!A$4:A$102,MATCH('Classement RPL PMPC'!A48,Feuil1!BA$4:BA$102,0)),"")</f>
        <v/>
      </c>
      <c r="C48" s="28" t="str">
        <f>IFERROR(LARGE(Feuil1!AZ$4:AZ$102, ROWS('Classement RPL PMPC'!C$1:C47)),"")</f>
        <v/>
      </c>
    </row>
    <row r="49" ht="14.25" customHeight="1">
      <c r="A49" s="27">
        <v>48.0</v>
      </c>
      <c r="B49" s="27" t="str">
        <f t="array" ref="B49">IFERROR(INDEX(Feuil1!A$4:A$102,MATCH('Classement RPL PMPC'!A49,Feuil1!BA$4:BA$102,0)),"")</f>
        <v/>
      </c>
      <c r="C49" s="28" t="str">
        <f>IFERROR(LARGE(Feuil1!AZ$4:AZ$102, ROWS('Classement RPL PMPC'!C$1:C48)),"")</f>
        <v/>
      </c>
    </row>
    <row r="50" ht="14.25" customHeight="1">
      <c r="A50" s="27">
        <v>49.0</v>
      </c>
      <c r="B50" s="27" t="str">
        <f t="array" ref="B50">IFERROR(INDEX(Feuil1!A$4:A$102,MATCH('Classement RPL PMPC'!A50,Feuil1!BA$4:BA$102,0)),"")</f>
        <v/>
      </c>
      <c r="C50" s="28" t="str">
        <f>IFERROR(LARGE(Feuil1!AZ$4:AZ$102, ROWS('Classement RPL PMPC'!C$1:C49)),"")</f>
        <v/>
      </c>
    </row>
    <row r="51" ht="14.25" customHeight="1">
      <c r="A51" s="27">
        <v>50.0</v>
      </c>
      <c r="B51" s="27" t="str">
        <f t="array" ref="B51">IFERROR(INDEX(Feuil1!A$4:A$102,MATCH('Classement RPL PMPC'!A51,Feuil1!BA$4:BA$102,0)),"")</f>
        <v/>
      </c>
      <c r="C51" s="28" t="str">
        <f>IFERROR(LARGE(Feuil1!AZ$4:AZ$102, ROWS('Classement RPL PMPC'!C$1:C50)),"")</f>
        <v/>
      </c>
    </row>
    <row r="52" ht="14.25" customHeight="1">
      <c r="A52" s="27">
        <v>51.0</v>
      </c>
      <c r="B52" s="27" t="str">
        <f t="array" ref="B52">IFERROR(INDEX(Feuil1!A$4:A$102,MATCH('Classement RPL PMPC'!A52,Feuil1!BA$4:BA$102,0)),"")</f>
        <v/>
      </c>
      <c r="C52" s="28" t="str">
        <f>IFERROR(LARGE(Feuil1!AZ$4:AZ$102, ROWS('Classement RPL PMPC'!C$1:C51)),"")</f>
        <v/>
      </c>
    </row>
    <row r="53" ht="14.25" customHeight="1">
      <c r="A53" s="27">
        <v>52.0</v>
      </c>
      <c r="B53" s="27" t="str">
        <f t="array" ref="B53">IFERROR(INDEX(Feuil1!A$4:A$102,MATCH('Classement RPL PMPC'!A53,Feuil1!BA$4:BA$102,0)),"")</f>
        <v/>
      </c>
      <c r="C53" s="28" t="str">
        <f>IFERROR(LARGE(Feuil1!AZ$4:AZ$102, ROWS('Classement RPL PMPC'!C$1:C52)),"")</f>
        <v/>
      </c>
    </row>
    <row r="54" ht="14.25" customHeight="1">
      <c r="A54" s="27">
        <v>53.0</v>
      </c>
      <c r="B54" s="27" t="str">
        <f t="array" ref="B54">IFERROR(INDEX(Feuil1!A$4:A$102,MATCH('Classement RPL PMPC'!A54,Feuil1!BA$4:BA$102,0)),"")</f>
        <v/>
      </c>
      <c r="C54" s="28" t="str">
        <f>IFERROR(LARGE(Feuil1!AZ$4:AZ$102, ROWS('Classement RPL PMPC'!C$1:C53)),"")</f>
        <v/>
      </c>
    </row>
    <row r="55" ht="14.25" customHeight="1">
      <c r="A55" s="27">
        <v>54.0</v>
      </c>
      <c r="B55" s="27" t="str">
        <f t="array" ref="B55">IFERROR(INDEX(Feuil1!A$4:A$102,MATCH('Classement RPL PMPC'!A55,Feuil1!BA$4:BA$102,0)),"")</f>
        <v/>
      </c>
      <c r="C55" s="28" t="str">
        <f>IFERROR(LARGE(Feuil1!AZ$4:AZ$102, ROWS('Classement RPL PMPC'!C$1:C54)),"")</f>
        <v/>
      </c>
    </row>
    <row r="56" ht="14.25" customHeight="1">
      <c r="A56" s="27">
        <v>55.0</v>
      </c>
      <c r="B56" s="27" t="str">
        <f t="array" ref="B56">IFERROR(INDEX(Feuil1!A$4:A$102,MATCH('Classement RPL PMPC'!A56,Feuil1!BA$4:BA$102,0)),"")</f>
        <v/>
      </c>
      <c r="C56" s="28" t="str">
        <f>IFERROR(LARGE(Feuil1!AZ$4:AZ$102, ROWS('Classement RPL PMPC'!C$1:C55)),"")</f>
        <v/>
      </c>
    </row>
    <row r="57" ht="14.25" customHeight="1">
      <c r="A57" s="27">
        <v>56.0</v>
      </c>
      <c r="B57" s="27" t="str">
        <f t="array" ref="B57">IFERROR(INDEX(Feuil1!A$4:A$102,MATCH('Classement RPL PMPC'!A57,Feuil1!BA$4:BA$102,0)),"")</f>
        <v/>
      </c>
      <c r="C57" s="28" t="str">
        <f>IFERROR(LARGE(Feuil1!AZ$4:AZ$102, ROWS('Classement RPL PMPC'!C$1:C56)),"")</f>
        <v/>
      </c>
    </row>
    <row r="58" ht="14.25" customHeight="1">
      <c r="A58" s="27">
        <v>57.0</v>
      </c>
      <c r="B58" s="27" t="str">
        <f t="array" ref="B58">IFERROR(INDEX(Feuil1!A$4:A$102,MATCH('Classement RPL PMPC'!A58,Feuil1!BA$4:BA$102,0)),"")</f>
        <v/>
      </c>
      <c r="C58" s="28" t="str">
        <f>IFERROR(LARGE(Feuil1!AZ$4:AZ$102, ROWS('Classement RPL PMPC'!C$1:C57)),"")</f>
        <v/>
      </c>
    </row>
    <row r="59" ht="14.25" customHeight="1">
      <c r="A59" s="27">
        <v>58.0</v>
      </c>
      <c r="B59" s="27" t="str">
        <f t="array" ref="B59">IFERROR(INDEX(Feuil1!A$4:A$102,MATCH('Classement RPL PMPC'!A59,Feuil1!BA$4:BA$102,0)),"")</f>
        <v/>
      </c>
      <c r="C59" s="28" t="str">
        <f>IFERROR(LARGE(Feuil1!AZ$4:AZ$102, ROWS('Classement RPL PMPC'!C$1:C58)),"")</f>
        <v/>
      </c>
    </row>
    <row r="60" ht="14.25" customHeight="1">
      <c r="A60" s="27">
        <v>59.0</v>
      </c>
      <c r="B60" s="27" t="str">
        <f t="array" ref="B60">IFERROR(INDEX(Feuil1!A$4:A$102,MATCH('Classement RPL PMPC'!A60,Feuil1!BA$4:BA$102,0)),"")</f>
        <v/>
      </c>
      <c r="C60" s="28" t="str">
        <f>IFERROR(LARGE(Feuil1!AZ$4:AZ$102, ROWS('Classement RPL PMPC'!C$1:C59)),"")</f>
        <v/>
      </c>
    </row>
    <row r="61" ht="14.25" customHeight="1">
      <c r="A61" s="27">
        <v>60.0</v>
      </c>
      <c r="B61" s="27" t="str">
        <f t="array" ref="B61">IFERROR(INDEX(Feuil1!A$4:A$102,MATCH('Classement RPL PMPC'!A61,Feuil1!BA$4:BA$102,0)),"")</f>
        <v/>
      </c>
      <c r="C61" s="28" t="str">
        <f>IFERROR(LARGE(Feuil1!AZ$4:AZ$102, ROWS('Classement RPL PMPC'!C$1:C60)),"")</f>
        <v/>
      </c>
    </row>
    <row r="62" ht="14.25" customHeight="1">
      <c r="A62" s="27">
        <v>61.0</v>
      </c>
      <c r="B62" s="27" t="str">
        <f t="array" ref="B62">IFERROR(INDEX(Feuil1!A$4:A$102,MATCH('Classement RPL PMPC'!A62,Feuil1!BA$4:BA$102,0)),"")</f>
        <v/>
      </c>
      <c r="C62" s="28" t="str">
        <f>IFERROR(LARGE(Feuil1!AZ$4:AZ$102, ROWS('Classement RPL PMPC'!C$1:C61)),"")</f>
        <v/>
      </c>
    </row>
    <row r="63" ht="14.25" customHeight="1">
      <c r="A63" s="27">
        <v>62.0</v>
      </c>
      <c r="B63" s="27" t="str">
        <f t="array" ref="B63">IFERROR(INDEX(Feuil1!A$4:A$102,MATCH('Classement RPL PMPC'!A63,Feuil1!BA$4:BA$102,0)),"")</f>
        <v/>
      </c>
      <c r="C63" s="28" t="str">
        <f>IFERROR(LARGE(Feuil1!AZ$4:AZ$102, ROWS('Classement RPL PMPC'!C$1:C62)),"")</f>
        <v/>
      </c>
    </row>
    <row r="64" ht="14.25" customHeight="1">
      <c r="A64" s="27">
        <v>63.0</v>
      </c>
      <c r="B64" s="27" t="str">
        <f t="array" ref="B64">IFERROR(INDEX(Feuil1!A$4:A$102,MATCH('Classement RPL PMPC'!A64,Feuil1!BA$4:BA$102,0)),"")</f>
        <v/>
      </c>
      <c r="C64" s="28" t="str">
        <f>IFERROR(LARGE(Feuil1!AZ$4:AZ$102, ROWS('Classement RPL PMPC'!C$1:C63)),"")</f>
        <v/>
      </c>
    </row>
    <row r="65" ht="14.25" customHeight="1">
      <c r="A65" s="27">
        <v>64.0</v>
      </c>
      <c r="B65" s="27" t="str">
        <f t="array" ref="B65">IFERROR(INDEX(Feuil1!A$4:A$102,MATCH('Classement RPL PMPC'!A65,Feuil1!BA$4:BA$102,0)),"")</f>
        <v/>
      </c>
      <c r="C65" s="28" t="str">
        <f>IFERROR(LARGE(Feuil1!AZ$4:AZ$102, ROWS('Classement RPL PMPC'!C$1:C64)),"")</f>
        <v/>
      </c>
    </row>
    <row r="66" ht="14.25" customHeight="1">
      <c r="A66" s="27">
        <v>65.0</v>
      </c>
      <c r="B66" s="27" t="str">
        <f t="array" ref="B66">IFERROR(INDEX(Feuil1!A$4:A$102,MATCH('Classement RPL PMPC'!A66,Feuil1!BA$4:BA$102,0)),"")</f>
        <v/>
      </c>
      <c r="C66" s="28" t="str">
        <f>IFERROR(LARGE(Feuil1!AZ$4:AZ$102, ROWS('Classement RPL PMPC'!C$1:C65)),"")</f>
        <v/>
      </c>
    </row>
    <row r="67" ht="14.25" customHeight="1">
      <c r="A67" s="27">
        <v>66.0</v>
      </c>
      <c r="B67" s="27" t="str">
        <f t="array" ref="B67">IFERROR(INDEX(Feuil1!A$4:A$102,MATCH('Classement RPL PMPC'!A67,Feuil1!BA$4:BA$102,0)),"")</f>
        <v/>
      </c>
      <c r="C67" s="28" t="str">
        <f>IFERROR(LARGE(Feuil1!AZ$4:AZ$102, ROWS('Classement RPL PMPC'!C$1:C66)),"")</f>
        <v/>
      </c>
    </row>
    <row r="68" ht="14.25" customHeight="1">
      <c r="A68" s="27">
        <v>67.0</v>
      </c>
      <c r="B68" s="27" t="str">
        <f t="array" ref="B68">IFERROR(INDEX(Feuil1!A$4:A$102,MATCH('Classement RPL PMPC'!A68,Feuil1!BA$4:BA$102,0)),"")</f>
        <v/>
      </c>
      <c r="C68" s="28" t="str">
        <f>IFERROR(LARGE(Feuil1!AZ$4:AZ$102, ROWS('Classement RPL PMPC'!C$1:C67)),"")</f>
        <v/>
      </c>
    </row>
    <row r="69" ht="14.25" customHeight="1">
      <c r="A69" s="27">
        <v>68.0</v>
      </c>
      <c r="B69" s="27" t="str">
        <f t="array" ref="B69">IFERROR(INDEX(Feuil1!A$4:A$102,MATCH('Classement RPL PMPC'!A69,Feuil1!BA$4:BA$102,0)),"")</f>
        <v/>
      </c>
      <c r="C69" s="28" t="str">
        <f>IFERROR(LARGE(Feuil1!AZ$4:AZ$102, ROWS('Classement RPL PMPC'!C$1:C68)),"")</f>
        <v/>
      </c>
    </row>
    <row r="70" ht="14.25" customHeight="1">
      <c r="A70" s="27">
        <v>69.0</v>
      </c>
      <c r="B70" s="27" t="str">
        <f t="array" ref="B70">IFERROR(INDEX(Feuil1!A$4:A$102,MATCH('Classement RPL PMPC'!A70,Feuil1!BA$4:BA$102,0)),"")</f>
        <v/>
      </c>
      <c r="C70" s="28" t="str">
        <f>IFERROR(LARGE(Feuil1!AZ$4:AZ$102, ROWS('Classement RPL PMPC'!C$1:C69)),"")</f>
        <v/>
      </c>
    </row>
    <row r="71" ht="14.25" customHeight="1">
      <c r="A71" s="27">
        <v>70.0</v>
      </c>
      <c r="B71" s="27" t="str">
        <f t="array" ref="B71">IFERROR(INDEX(Feuil1!A$4:A$102,MATCH('Classement RPL PMPC'!A71,Feuil1!BA$4:BA$102,0)),"")</f>
        <v/>
      </c>
      <c r="C71" s="28" t="str">
        <f>IFERROR(LARGE(Feuil1!AZ$4:AZ$102, ROWS('Classement RPL PMPC'!C$1:C70)),"")</f>
        <v/>
      </c>
    </row>
    <row r="72" ht="14.25" customHeight="1">
      <c r="A72" s="27">
        <v>71.0</v>
      </c>
      <c r="B72" s="27" t="str">
        <f t="array" ref="B72">IFERROR(INDEX(Feuil1!A$4:A$102,MATCH('Classement RPL PMPC'!A72,Feuil1!BA$4:BA$102,0)),"")</f>
        <v/>
      </c>
      <c r="C72" s="28" t="str">
        <f>IFERROR(LARGE(Feuil1!AZ$4:AZ$102, ROWS('Classement RPL PMPC'!C$1:C71)),"")</f>
        <v/>
      </c>
    </row>
    <row r="73" ht="14.25" customHeight="1">
      <c r="A73" s="27">
        <v>72.0</v>
      </c>
      <c r="B73" s="27" t="str">
        <f t="array" ref="B73">IFERROR(INDEX(Feuil1!A$4:A$102,MATCH('Classement RPL PMPC'!A73,Feuil1!BA$4:BA$102,0)),"")</f>
        <v/>
      </c>
      <c r="C73" s="28" t="str">
        <f>IFERROR(LARGE(Feuil1!AZ$4:AZ$102, ROWS('Classement RPL PMPC'!C$1:C72)),"")</f>
        <v/>
      </c>
    </row>
    <row r="74" ht="14.25" customHeight="1">
      <c r="A74" s="27">
        <v>73.0</v>
      </c>
      <c r="B74" s="27" t="str">
        <f t="array" ref="B74">IFERROR(INDEX(Feuil1!A$4:A$102,MATCH('Classement RPL PMPC'!A74,Feuil1!BA$4:BA$102,0)),"")</f>
        <v/>
      </c>
      <c r="C74" s="28" t="str">
        <f>IFERROR(LARGE(Feuil1!AZ$4:AZ$102, ROWS('Classement RPL PMPC'!C$1:C73)),"")</f>
        <v/>
      </c>
    </row>
    <row r="75" ht="14.25" customHeight="1">
      <c r="A75" s="27">
        <v>74.0</v>
      </c>
      <c r="B75" s="27" t="str">
        <f t="array" ref="B75">IFERROR(INDEX(Feuil1!A$4:A$102,MATCH('Classement RPL PMPC'!A75,Feuil1!BA$4:BA$102,0)),"")</f>
        <v/>
      </c>
      <c r="C75" s="28" t="str">
        <f>IFERROR(LARGE(Feuil1!AZ$4:AZ$102, ROWS('Classement RPL PMPC'!C$1:C74)),"")</f>
        <v/>
      </c>
    </row>
    <row r="76" ht="14.25" customHeight="1">
      <c r="A76" s="27">
        <v>75.0</v>
      </c>
      <c r="B76" s="27" t="str">
        <f t="array" ref="B76">IFERROR(INDEX(Feuil1!A$4:A$102,MATCH('Classement RPL PMPC'!A76,Feuil1!BA$4:BA$102,0)),"")</f>
        <v/>
      </c>
      <c r="C76" s="28" t="str">
        <f>IFERROR(LARGE(Feuil1!AZ$4:AZ$102, ROWS('Classement RPL PMPC'!C$1:C75)),"")</f>
        <v/>
      </c>
    </row>
    <row r="77" ht="14.25" customHeight="1">
      <c r="A77" s="27">
        <v>76.0</v>
      </c>
      <c r="B77" s="27" t="str">
        <f t="array" ref="B77">IFERROR(INDEX(Feuil1!A$4:A$102,MATCH('Classement RPL PMPC'!A77,Feuil1!BA$4:BA$102,0)),"")</f>
        <v/>
      </c>
      <c r="C77" s="28" t="str">
        <f>IFERROR(LARGE(Feuil1!AZ$4:AZ$102, ROWS('Classement RPL PMPC'!C$1:C76)),"")</f>
        <v/>
      </c>
    </row>
    <row r="78" ht="14.25" customHeight="1">
      <c r="A78" s="27">
        <v>77.0</v>
      </c>
      <c r="B78" s="27" t="str">
        <f t="array" ref="B78">IFERROR(INDEX(Feuil1!A$4:A$102,MATCH('Classement RPL PMPC'!A78,Feuil1!BA$4:BA$102,0)),"")</f>
        <v/>
      </c>
      <c r="C78" s="28" t="str">
        <f>IFERROR(LARGE(Feuil1!AZ$4:AZ$102, ROWS('Classement RPL PMPC'!C$1:C77)),"")</f>
        <v/>
      </c>
    </row>
    <row r="79" ht="14.25" customHeight="1">
      <c r="A79" s="27">
        <v>78.0</v>
      </c>
      <c r="B79" s="27" t="str">
        <f t="array" ref="B79">IFERROR(INDEX(Feuil1!A$4:A$102,MATCH('Classement RPL PMPC'!A79,Feuil1!BA$4:BA$102,0)),"")</f>
        <v/>
      </c>
      <c r="C79" s="28" t="str">
        <f>IFERROR(LARGE(Feuil1!AZ$4:AZ$102, ROWS('Classement RPL PMPC'!C$1:C78)),"")</f>
        <v/>
      </c>
    </row>
    <row r="80" ht="14.25" customHeight="1">
      <c r="A80" s="27">
        <v>79.0</v>
      </c>
      <c r="B80" s="27" t="str">
        <f t="array" ref="B80">IFERROR(INDEX(Feuil1!A$4:A$102,MATCH('Classement RPL PMPC'!A80,Feuil1!BA$4:BA$102,0)),"")</f>
        <v/>
      </c>
      <c r="C80" s="28" t="str">
        <f>IFERROR(LARGE(Feuil1!AZ$4:AZ$102, ROWS('Classement RPL PMPC'!C$1:C79)),"")</f>
        <v/>
      </c>
    </row>
    <row r="81" ht="14.25" customHeight="1">
      <c r="A81" s="27">
        <v>80.0</v>
      </c>
      <c r="B81" s="27" t="str">
        <f t="array" ref="B81">IFERROR(INDEX(Feuil1!A$4:A$102,MATCH('Classement RPL PMPC'!A81,Feuil1!BA$4:BA$102,0)),"")</f>
        <v/>
      </c>
      <c r="C81" s="28" t="str">
        <f>IFERROR(LARGE(Feuil1!AZ$4:AZ$102, ROWS('Classement RPL PMPC'!C$1:C80)),"")</f>
        <v/>
      </c>
    </row>
    <row r="82" ht="14.25" customHeight="1">
      <c r="A82" s="27">
        <v>81.0</v>
      </c>
      <c r="B82" s="27" t="str">
        <f t="array" ref="B82">IFERROR(INDEX(Feuil1!A$4:A$102,MATCH('Classement RPL PMPC'!A82,Feuil1!BA$4:BA$102,0)),"")</f>
        <v/>
      </c>
      <c r="C82" s="28" t="str">
        <f>IFERROR(LARGE(Feuil1!AZ$4:AZ$102, ROWS('Classement RPL PMPC'!C$1:C81)),"")</f>
        <v/>
      </c>
    </row>
    <row r="83" ht="14.25" customHeight="1">
      <c r="A83" s="27">
        <v>82.0</v>
      </c>
      <c r="B83" s="27" t="str">
        <f t="array" ref="B83">IFERROR(INDEX(Feuil1!A$4:A$102,MATCH('Classement RPL PMPC'!A83,Feuil1!BA$4:BA$102,0)),"")</f>
        <v/>
      </c>
      <c r="C83" s="28" t="str">
        <f>IFERROR(LARGE(Feuil1!AZ$4:AZ$102, ROWS('Classement RPL PMPC'!C$1:C82)),"")</f>
        <v/>
      </c>
    </row>
    <row r="84" ht="14.25" customHeight="1">
      <c r="A84" s="27">
        <v>83.0</v>
      </c>
      <c r="B84" s="27" t="str">
        <f t="array" ref="B84">IFERROR(INDEX(Feuil1!A$4:A$102,MATCH('Classement RPL PMPC'!A84,Feuil1!BA$4:BA$102,0)),"")</f>
        <v/>
      </c>
      <c r="C84" s="28" t="str">
        <f>IFERROR(LARGE(Feuil1!AZ$4:AZ$102, ROWS('Classement RPL PMPC'!C$1:C83)),"")</f>
        <v/>
      </c>
    </row>
    <row r="85" ht="14.25" customHeight="1">
      <c r="A85" s="27">
        <v>84.0</v>
      </c>
      <c r="B85" s="27" t="str">
        <f t="array" ref="B85">IFERROR(INDEX(Feuil1!A$4:A$102,MATCH('Classement RPL PMPC'!A85,Feuil1!BA$4:BA$102,0)),"")</f>
        <v/>
      </c>
      <c r="C85" s="28" t="str">
        <f>IFERROR(LARGE(Feuil1!AZ$4:AZ$102, ROWS('Classement RPL PMPC'!C$1:C84)),"")</f>
        <v/>
      </c>
    </row>
    <row r="86" ht="14.25" customHeight="1">
      <c r="A86" s="27">
        <v>85.0</v>
      </c>
      <c r="B86" s="27" t="str">
        <f t="array" ref="B86">IFERROR(INDEX(Feuil1!A$4:A$102,MATCH('Classement RPL PMPC'!A86,Feuil1!BA$4:BA$102,0)),"")</f>
        <v/>
      </c>
      <c r="C86" s="28" t="str">
        <f>IFERROR(LARGE(Feuil1!AZ$4:AZ$102, ROWS('Classement RPL PMPC'!C$1:C85)),"")</f>
        <v/>
      </c>
    </row>
    <row r="87" ht="14.25" customHeight="1">
      <c r="A87" s="27">
        <v>86.0</v>
      </c>
      <c r="B87" s="27" t="str">
        <f t="array" ref="B87">IFERROR(INDEX(Feuil1!A$4:A$102,MATCH('Classement RPL PMPC'!A87,Feuil1!BA$4:BA$102,0)),"")</f>
        <v/>
      </c>
      <c r="C87" s="28" t="str">
        <f>IFERROR(LARGE(Feuil1!AZ$4:AZ$102, ROWS('Classement RPL PMPC'!C$1:C86)),"")</f>
        <v/>
      </c>
    </row>
    <row r="88" ht="14.25" customHeight="1">
      <c r="A88" s="27">
        <v>87.0</v>
      </c>
      <c r="B88" s="27" t="str">
        <f t="array" ref="B88">IFERROR(INDEX(Feuil1!A$4:A$102,MATCH('Classement RPL PMPC'!A88,Feuil1!BA$4:BA$102,0)),"")</f>
        <v/>
      </c>
      <c r="C88" s="28" t="str">
        <f>IFERROR(LARGE(Feuil1!AZ$4:AZ$102, ROWS('Classement RPL PMPC'!C$1:C87)),"")</f>
        <v/>
      </c>
    </row>
    <row r="89" ht="14.25" customHeight="1">
      <c r="A89" s="27">
        <v>88.0</v>
      </c>
      <c r="B89" s="27" t="str">
        <f t="array" ref="B89">IFERROR(INDEX(Feuil1!A$4:A$102,MATCH('Classement RPL PMPC'!A89,Feuil1!BA$4:BA$102,0)),"")</f>
        <v/>
      </c>
      <c r="C89" s="28" t="str">
        <f>IFERROR(LARGE(Feuil1!AZ$4:AZ$102, ROWS('Classement RPL PMPC'!C$1:C88)),"")</f>
        <v/>
      </c>
    </row>
    <row r="90" ht="14.25" customHeight="1">
      <c r="A90" s="27">
        <v>89.0</v>
      </c>
      <c r="B90" s="27" t="str">
        <f t="array" ref="B90">IFERROR(INDEX(Feuil1!A$4:A$102,MATCH('Classement RPL PMPC'!A90,Feuil1!BA$4:BA$102,0)),"")</f>
        <v/>
      </c>
      <c r="C90" s="28" t="str">
        <f>IFERROR(LARGE(Feuil1!AZ$4:AZ$102, ROWS('Classement RPL PMPC'!C$1:C89)),"")</f>
        <v/>
      </c>
    </row>
    <row r="91" ht="14.25" customHeight="1">
      <c r="A91" s="27">
        <v>90.0</v>
      </c>
      <c r="B91" s="27" t="str">
        <f t="array" ref="B91">IFERROR(INDEX(Feuil1!A$4:A$102,MATCH('Classement RPL PMPC'!A91,Feuil1!BA$4:BA$102,0)),"")</f>
        <v/>
      </c>
      <c r="C91" s="28" t="str">
        <f>IFERROR(LARGE(Feuil1!AZ$4:AZ$102, ROWS('Classement RPL PMPC'!C$1:C90)),"")</f>
        <v/>
      </c>
    </row>
    <row r="92" ht="14.25" customHeight="1">
      <c r="A92" s="27">
        <v>91.0</v>
      </c>
      <c r="B92" s="27" t="str">
        <f t="array" ref="B92">IFERROR(INDEX(Feuil1!A$4:A$102,MATCH('Classement RPL PMPC'!A92,Feuil1!BA$4:BA$102,0)),"")</f>
        <v/>
      </c>
      <c r="C92" s="28" t="str">
        <f>IFERROR(LARGE(Feuil1!AZ$4:AZ$102, ROWS('Classement RPL PMPC'!C$1:C91)),"")</f>
        <v/>
      </c>
    </row>
    <row r="93" ht="14.25" customHeight="1">
      <c r="A93" s="27">
        <v>92.0</v>
      </c>
      <c r="B93" s="27" t="str">
        <f t="array" ref="B93">IFERROR(INDEX(Feuil1!A$4:A$102,MATCH('Classement RPL PMPC'!A93,Feuil1!BA$4:BA$102,0)),"")</f>
        <v/>
      </c>
      <c r="C93" s="28" t="str">
        <f>IFERROR(LARGE(Feuil1!AZ$4:AZ$102, ROWS('Classement RPL PMPC'!C$1:C92)),"")</f>
        <v/>
      </c>
    </row>
    <row r="94" ht="14.25" customHeight="1">
      <c r="A94" s="27">
        <v>93.0</v>
      </c>
      <c r="B94" s="27" t="str">
        <f t="array" ref="B94">IFERROR(INDEX(Feuil1!A$4:A$102,MATCH('Classement RPL PMPC'!A94,Feuil1!BA$4:BA$102,0)),"")</f>
        <v/>
      </c>
      <c r="C94" s="28" t="str">
        <f>IFERROR(LARGE(Feuil1!AZ$4:AZ$102, ROWS('Classement RPL PMPC'!C$1:C93)),"")</f>
        <v/>
      </c>
    </row>
    <row r="95" ht="14.25" customHeight="1">
      <c r="A95" s="27">
        <v>94.0</v>
      </c>
      <c r="B95" s="27" t="str">
        <f t="array" ref="B95">IFERROR(INDEX(Feuil1!A$4:A$102,MATCH('Classement RPL PMPC'!A95,Feuil1!BA$4:BA$102,0)),"")</f>
        <v/>
      </c>
      <c r="C95" s="28" t="str">
        <f>IFERROR(LARGE(Feuil1!AZ$4:AZ$102, ROWS('Classement RPL PMPC'!C$1:C94)),"")</f>
        <v/>
      </c>
    </row>
    <row r="96" ht="14.25" customHeight="1">
      <c r="A96" s="27">
        <v>95.0</v>
      </c>
      <c r="B96" s="27" t="str">
        <f t="array" ref="B96">IFERROR(INDEX(Feuil1!A$4:A$102,MATCH('Classement RPL PMPC'!A96,Feuil1!BA$4:BA$102,0)),"")</f>
        <v/>
      </c>
      <c r="C96" s="28" t="str">
        <f>IFERROR(LARGE(Feuil1!AZ$4:AZ$102, ROWS('Classement RPL PMPC'!C$1:C95)),"")</f>
        <v/>
      </c>
    </row>
    <row r="97" ht="14.25" customHeight="1">
      <c r="A97" s="27">
        <v>96.0</v>
      </c>
      <c r="B97" s="27" t="str">
        <f t="array" ref="B97">IFERROR(INDEX(Feuil1!A$4:A$102,MATCH('Classement RPL PMPC'!A97,Feuil1!BA$4:BA$102,0)),"")</f>
        <v/>
      </c>
      <c r="C97" s="28" t="str">
        <f>IFERROR(LARGE(Feuil1!AZ$4:AZ$102, ROWS('Classement RPL PMPC'!C$1:C96)),"")</f>
        <v/>
      </c>
    </row>
    <row r="98" ht="14.25" customHeight="1">
      <c r="A98" s="27">
        <v>97.0</v>
      </c>
      <c r="B98" s="27" t="str">
        <f t="array" ref="B98">IFERROR(INDEX(Feuil1!A$4:A$102,MATCH('Classement RPL PMPC'!A98,Feuil1!BA$4:BA$102,0)),"")</f>
        <v/>
      </c>
      <c r="C98" s="28" t="str">
        <f>IFERROR(LARGE(Feuil1!AZ$4:AZ$102, ROWS('Classement RPL PMPC'!C$1:C97)),"")</f>
        <v/>
      </c>
    </row>
    <row r="99" ht="14.25" customHeight="1">
      <c r="A99" s="27">
        <v>98.0</v>
      </c>
      <c r="B99" s="27" t="str">
        <f t="array" ref="B99">IFERROR(INDEX(Feuil1!A$4:A$102,MATCH('Classement RPL PMPC'!A99,Feuil1!BA$4:BA$102,0)),"")</f>
        <v/>
      </c>
      <c r="C99" s="28" t="str">
        <f>IFERROR(LARGE(Feuil1!AZ$4:AZ$102, ROWS('Classement RPL PMPC'!C$1:C98)),"")</f>
        <v/>
      </c>
    </row>
    <row r="100" ht="14.25" customHeight="1">
      <c r="A100" s="27">
        <v>99.0</v>
      </c>
      <c r="B100" s="27" t="str">
        <f t="array" ref="B100">IFERROR(INDEX(Feuil1!A$4:A$102,MATCH('Classement RPL PMPC'!A100,Feuil1!BA$4:BA$102,0)),"")</f>
        <v/>
      </c>
      <c r="C100" s="28" t="str">
        <f>IFERROR(LARGE(Feuil1!AZ$4:AZ$102, ROWS('Classement RPL PMPC'!C$1:C99)),"")</f>
        <v/>
      </c>
    </row>
    <row r="101" ht="14.25" customHeight="1">
      <c r="A101" s="27">
        <v>100.0</v>
      </c>
      <c r="B101" s="27" t="str">
        <f t="array" ref="B101">IFERROR(INDEX(Feuil1!A$4:A$102,MATCH('Classement RPL PMPC'!A101,Feuil1!BA$4:BA$102,0)),"")</f>
        <v/>
      </c>
      <c r="C101" s="28" t="str">
        <f>IFERROR(LARGE(Feuil1!AZ$4:AZ$102, ROWS('Classement RPL PMPC'!C$1:C100)),"")</f>
        <v/>
      </c>
    </row>
    <row r="102" ht="14.25" customHeight="1">
      <c r="A102" s="29"/>
      <c r="B102" s="29"/>
      <c r="C102" s="29"/>
    </row>
    <row r="103" ht="14.25" customHeight="1">
      <c r="A103" s="29"/>
      <c r="B103" s="29"/>
      <c r="C103" s="29"/>
    </row>
    <row r="104" ht="14.25" customHeight="1">
      <c r="A104" s="29"/>
      <c r="B104" s="29"/>
      <c r="C104" s="29"/>
    </row>
    <row r="105" ht="14.25" customHeight="1">
      <c r="A105" s="29"/>
      <c r="B105" s="29"/>
      <c r="C105" s="29"/>
    </row>
    <row r="106" ht="14.25" customHeight="1">
      <c r="A106" s="29"/>
      <c r="B106" s="29"/>
      <c r="C106" s="29"/>
    </row>
    <row r="107" ht="14.25" customHeight="1">
      <c r="A107" s="29"/>
      <c r="B107" s="29"/>
      <c r="C107" s="29"/>
    </row>
    <row r="108" ht="14.25" customHeight="1">
      <c r="A108" s="29"/>
      <c r="B108" s="29"/>
      <c r="C108" s="29"/>
    </row>
    <row r="109" ht="14.25" customHeight="1">
      <c r="A109" s="29"/>
      <c r="B109" s="29"/>
      <c r="C109" s="29"/>
    </row>
    <row r="110" ht="14.25" customHeight="1">
      <c r="A110" s="29"/>
      <c r="B110" s="29"/>
      <c r="C110" s="29"/>
    </row>
    <row r="111" ht="14.25" customHeight="1">
      <c r="A111" s="29"/>
      <c r="B111" s="29"/>
      <c r="C111" s="29"/>
    </row>
    <row r="112" ht="14.25" customHeight="1">
      <c r="A112" s="29"/>
      <c r="B112" s="29"/>
      <c r="C112" s="29"/>
    </row>
    <row r="113" ht="14.25" customHeight="1">
      <c r="A113" s="29"/>
      <c r="B113" s="29"/>
      <c r="C113" s="29"/>
    </row>
    <row r="114" ht="14.25" customHeight="1">
      <c r="A114" s="29"/>
      <c r="B114" s="29"/>
      <c r="C114" s="29"/>
    </row>
    <row r="115" ht="14.25" customHeight="1">
      <c r="A115" s="29"/>
      <c r="B115" s="29"/>
      <c r="C115" s="29"/>
    </row>
    <row r="116" ht="14.25" customHeight="1">
      <c r="A116" s="29"/>
      <c r="B116" s="29"/>
      <c r="C116" s="29"/>
    </row>
    <row r="117" ht="14.25" customHeight="1">
      <c r="A117" s="29"/>
      <c r="B117" s="29"/>
      <c r="C117" s="29"/>
    </row>
    <row r="118" ht="14.25" customHeight="1">
      <c r="A118" s="29"/>
      <c r="B118" s="29"/>
      <c r="C118" s="29"/>
    </row>
    <row r="119" ht="14.25" customHeight="1">
      <c r="A119" s="29"/>
      <c r="B119" s="29"/>
      <c r="C119" s="29"/>
    </row>
    <row r="120" ht="14.25" customHeight="1">
      <c r="A120" s="29"/>
      <c r="B120" s="29"/>
      <c r="C120" s="29"/>
    </row>
    <row r="121" ht="14.25" customHeight="1">
      <c r="A121" s="29"/>
      <c r="B121" s="29"/>
      <c r="C121" s="29"/>
    </row>
    <row r="122" ht="14.25" customHeight="1">
      <c r="A122" s="29"/>
      <c r="B122" s="29"/>
      <c r="C122" s="29"/>
    </row>
    <row r="123" ht="14.25" customHeight="1">
      <c r="A123" s="29"/>
      <c r="B123" s="29"/>
      <c r="C123" s="29"/>
    </row>
    <row r="124" ht="14.25" customHeight="1">
      <c r="A124" s="29"/>
      <c r="B124" s="29"/>
      <c r="C124" s="29"/>
    </row>
    <row r="125" ht="14.25" customHeight="1">
      <c r="A125" s="29"/>
      <c r="B125" s="29"/>
      <c r="C125" s="29"/>
    </row>
    <row r="126" ht="14.25" customHeight="1">
      <c r="A126" s="29"/>
      <c r="B126" s="29"/>
      <c r="C126" s="29"/>
    </row>
    <row r="127" ht="14.25" customHeight="1">
      <c r="A127" s="29"/>
      <c r="B127" s="29"/>
      <c r="C127" s="29"/>
    </row>
    <row r="128" ht="14.25" customHeight="1">
      <c r="A128" s="29"/>
      <c r="B128" s="29"/>
      <c r="C128" s="29"/>
    </row>
    <row r="129" ht="14.25" customHeight="1">
      <c r="A129" s="29"/>
      <c r="B129" s="29"/>
      <c r="C129" s="29"/>
    </row>
    <row r="130" ht="14.25" customHeight="1">
      <c r="A130" s="29"/>
      <c r="B130" s="29"/>
      <c r="C130" s="29"/>
    </row>
    <row r="131" ht="14.25" customHeight="1">
      <c r="A131" s="29"/>
      <c r="B131" s="29"/>
      <c r="C131" s="29"/>
    </row>
    <row r="132" ht="14.25" customHeight="1">
      <c r="A132" s="29"/>
      <c r="B132" s="29"/>
      <c r="C132" s="29"/>
    </row>
    <row r="133" ht="14.25" customHeight="1">
      <c r="A133" s="29"/>
      <c r="B133" s="29"/>
      <c r="C133" s="29"/>
    </row>
    <row r="134" ht="14.25" customHeight="1">
      <c r="A134" s="29"/>
      <c r="B134" s="29"/>
      <c r="C134" s="29"/>
    </row>
    <row r="135" ht="14.25" customHeight="1">
      <c r="A135" s="29"/>
      <c r="B135" s="29"/>
      <c r="C135" s="29"/>
    </row>
    <row r="136" ht="14.25" customHeight="1">
      <c r="A136" s="29"/>
      <c r="B136" s="29"/>
      <c r="C136" s="29"/>
    </row>
    <row r="137" ht="14.25" customHeight="1">
      <c r="A137" s="29"/>
      <c r="B137" s="29"/>
      <c r="C137" s="29"/>
    </row>
    <row r="138" ht="14.25" customHeight="1">
      <c r="A138" s="29"/>
      <c r="B138" s="29"/>
      <c r="C138" s="29"/>
    </row>
    <row r="139" ht="14.25" customHeight="1">
      <c r="A139" s="29"/>
      <c r="B139" s="29"/>
      <c r="C139" s="29"/>
    </row>
    <row r="140" ht="14.25" customHeight="1">
      <c r="A140" s="29"/>
      <c r="B140" s="29"/>
      <c r="C140" s="29"/>
    </row>
    <row r="141" ht="14.25" customHeight="1">
      <c r="A141" s="29"/>
      <c r="B141" s="29"/>
      <c r="C141" s="29"/>
    </row>
    <row r="142" ht="14.25" customHeight="1">
      <c r="A142" s="29"/>
      <c r="B142" s="29"/>
      <c r="C142" s="29"/>
    </row>
    <row r="143" ht="14.25" customHeight="1">
      <c r="A143" s="29"/>
      <c r="B143" s="29"/>
      <c r="C143" s="29"/>
    </row>
    <row r="144" ht="14.25" customHeight="1">
      <c r="A144" s="29"/>
      <c r="B144" s="29"/>
      <c r="C144" s="29"/>
    </row>
    <row r="145" ht="14.25" customHeight="1">
      <c r="A145" s="29"/>
      <c r="B145" s="29"/>
      <c r="C145" s="29"/>
    </row>
    <row r="146" ht="14.25" customHeight="1">
      <c r="A146" s="29"/>
      <c r="B146" s="29"/>
      <c r="C146" s="29"/>
    </row>
    <row r="147" ht="14.25" customHeight="1">
      <c r="A147" s="29"/>
      <c r="B147" s="29"/>
      <c r="C147" s="29"/>
    </row>
    <row r="148" ht="14.25" customHeight="1">
      <c r="A148" s="29"/>
      <c r="B148" s="29"/>
      <c r="C148" s="29"/>
    </row>
    <row r="149" ht="14.25" customHeight="1">
      <c r="A149" s="29"/>
      <c r="B149" s="29"/>
      <c r="C149" s="29"/>
    </row>
    <row r="150" ht="14.25" customHeight="1">
      <c r="A150" s="29"/>
      <c r="B150" s="29"/>
      <c r="C150" s="29"/>
    </row>
    <row r="151" ht="14.25" customHeight="1">
      <c r="A151" s="29"/>
      <c r="B151" s="29"/>
      <c r="C151" s="29"/>
    </row>
    <row r="152" ht="14.25" customHeight="1">
      <c r="A152" s="29"/>
      <c r="B152" s="29"/>
      <c r="C152" s="29"/>
    </row>
    <row r="153" ht="14.25" customHeight="1">
      <c r="A153" s="29"/>
      <c r="B153" s="29"/>
      <c r="C153" s="29"/>
    </row>
    <row r="154" ht="14.25" customHeight="1">
      <c r="A154" s="29"/>
      <c r="B154" s="29"/>
      <c r="C154" s="29"/>
    </row>
    <row r="155" ht="14.25" customHeight="1">
      <c r="A155" s="29"/>
      <c r="B155" s="29"/>
      <c r="C155" s="29"/>
    </row>
    <row r="156" ht="14.25" customHeight="1">
      <c r="A156" s="29"/>
      <c r="B156" s="29"/>
      <c r="C156" s="29"/>
    </row>
    <row r="157" ht="14.25" customHeight="1">
      <c r="A157" s="29"/>
      <c r="B157" s="29"/>
      <c r="C157" s="29"/>
    </row>
    <row r="158" ht="14.25" customHeight="1">
      <c r="A158" s="29"/>
      <c r="B158" s="29"/>
      <c r="C158" s="29"/>
    </row>
    <row r="159" ht="14.25" customHeight="1">
      <c r="A159" s="29"/>
      <c r="B159" s="29"/>
      <c r="C159" s="29"/>
    </row>
    <row r="160" ht="14.25" customHeight="1">
      <c r="A160" s="29"/>
      <c r="B160" s="29"/>
      <c r="C160" s="29"/>
    </row>
    <row r="161" ht="14.25" customHeight="1">
      <c r="A161" s="29"/>
      <c r="B161" s="29"/>
      <c r="C161" s="29"/>
    </row>
    <row r="162" ht="14.25" customHeight="1">
      <c r="A162" s="29"/>
      <c r="B162" s="29"/>
      <c r="C162" s="29"/>
    </row>
    <row r="163" ht="14.25" customHeight="1">
      <c r="A163" s="29"/>
      <c r="B163" s="29"/>
      <c r="C163" s="29"/>
    </row>
    <row r="164" ht="14.25" customHeight="1">
      <c r="A164" s="29"/>
      <c r="B164" s="29"/>
      <c r="C164" s="29"/>
    </row>
    <row r="165" ht="14.25" customHeight="1">
      <c r="A165" s="29"/>
      <c r="B165" s="29"/>
      <c r="C165" s="29"/>
    </row>
    <row r="166" ht="14.25" customHeight="1">
      <c r="A166" s="29"/>
      <c r="B166" s="29"/>
      <c r="C166" s="29"/>
    </row>
    <row r="167" ht="14.25" customHeight="1">
      <c r="A167" s="29"/>
      <c r="B167" s="29"/>
      <c r="C167" s="29"/>
    </row>
    <row r="168" ht="14.25" customHeight="1">
      <c r="A168" s="29"/>
      <c r="B168" s="29"/>
      <c r="C168" s="29"/>
    </row>
    <row r="169" ht="14.25" customHeight="1">
      <c r="A169" s="29"/>
      <c r="B169" s="29"/>
      <c r="C169" s="29"/>
    </row>
    <row r="170" ht="14.25" customHeight="1">
      <c r="A170" s="29"/>
      <c r="B170" s="29"/>
      <c r="C170" s="29"/>
    </row>
    <row r="171" ht="14.25" customHeight="1">
      <c r="A171" s="29"/>
      <c r="B171" s="29"/>
      <c r="C171" s="29"/>
    </row>
    <row r="172" ht="14.25" customHeight="1">
      <c r="A172" s="29"/>
      <c r="B172" s="29"/>
      <c r="C172" s="29"/>
    </row>
    <row r="173" ht="14.25" customHeight="1">
      <c r="A173" s="29"/>
      <c r="B173" s="29"/>
      <c r="C173" s="29"/>
    </row>
    <row r="174" ht="14.25" customHeight="1">
      <c r="A174" s="29"/>
      <c r="B174" s="29"/>
      <c r="C174" s="29"/>
    </row>
    <row r="175" ht="14.25" customHeight="1">
      <c r="A175" s="29"/>
      <c r="B175" s="29"/>
      <c r="C175" s="29"/>
    </row>
    <row r="176" ht="14.25" customHeight="1">
      <c r="A176" s="29"/>
      <c r="B176" s="29"/>
      <c r="C176" s="29"/>
    </row>
    <row r="177" ht="14.25" customHeight="1">
      <c r="A177" s="29"/>
      <c r="B177" s="29"/>
      <c r="C177" s="29"/>
    </row>
    <row r="178" ht="14.25" customHeight="1">
      <c r="A178" s="29"/>
      <c r="B178" s="29"/>
      <c r="C178" s="29"/>
    </row>
    <row r="179" ht="14.25" customHeight="1">
      <c r="A179" s="29"/>
      <c r="B179" s="29"/>
      <c r="C179" s="29"/>
    </row>
    <row r="180" ht="14.25" customHeight="1">
      <c r="A180" s="29"/>
      <c r="B180" s="29"/>
      <c r="C180" s="29"/>
    </row>
    <row r="181" ht="14.25" customHeight="1">
      <c r="A181" s="29"/>
      <c r="B181" s="29"/>
      <c r="C181" s="29"/>
    </row>
    <row r="182" ht="14.25" customHeight="1">
      <c r="A182" s="29"/>
      <c r="B182" s="29"/>
      <c r="C182" s="29"/>
    </row>
    <row r="183" ht="14.25" customHeight="1">
      <c r="A183" s="29"/>
      <c r="B183" s="29"/>
      <c r="C183" s="29"/>
    </row>
    <row r="184" ht="14.25" customHeight="1">
      <c r="A184" s="29"/>
      <c r="B184" s="29"/>
      <c r="C184" s="29"/>
    </row>
    <row r="185" ht="14.25" customHeight="1">
      <c r="A185" s="29"/>
      <c r="B185" s="29"/>
      <c r="C185" s="29"/>
    </row>
    <row r="186" ht="14.25" customHeight="1">
      <c r="A186" s="29"/>
      <c r="B186" s="29"/>
      <c r="C186" s="29"/>
    </row>
    <row r="187" ht="14.25" customHeight="1">
      <c r="A187" s="29"/>
      <c r="B187" s="29"/>
      <c r="C187" s="29"/>
    </row>
    <row r="188" ht="14.25" customHeight="1">
      <c r="A188" s="29"/>
      <c r="B188" s="29"/>
      <c r="C188" s="29"/>
    </row>
    <row r="189" ht="14.25" customHeight="1">
      <c r="A189" s="29"/>
      <c r="B189" s="29"/>
      <c r="C189" s="29"/>
    </row>
    <row r="190" ht="14.25" customHeight="1">
      <c r="A190" s="29"/>
      <c r="B190" s="29"/>
      <c r="C190" s="29"/>
    </row>
    <row r="191" ht="14.25" customHeight="1">
      <c r="A191" s="29"/>
      <c r="B191" s="29"/>
      <c r="C191" s="29"/>
    </row>
    <row r="192" ht="14.25" customHeight="1">
      <c r="A192" s="29"/>
      <c r="B192" s="29"/>
      <c r="C192" s="29"/>
    </row>
    <row r="193" ht="14.25" customHeight="1">
      <c r="A193" s="29"/>
      <c r="B193" s="29"/>
      <c r="C193" s="29"/>
    </row>
    <row r="194" ht="14.25" customHeight="1">
      <c r="A194" s="29"/>
      <c r="B194" s="29"/>
      <c r="C194" s="29"/>
    </row>
    <row r="195" ht="14.25" customHeight="1">
      <c r="A195" s="29"/>
      <c r="B195" s="29"/>
      <c r="C195" s="29"/>
    </row>
    <row r="196" ht="14.25" customHeight="1">
      <c r="A196" s="29"/>
      <c r="B196" s="29"/>
      <c r="C196" s="29"/>
    </row>
    <row r="197" ht="14.25" customHeight="1">
      <c r="A197" s="29"/>
      <c r="B197" s="29"/>
      <c r="C197" s="29"/>
    </row>
    <row r="198" ht="14.25" customHeight="1">
      <c r="A198" s="29"/>
      <c r="B198" s="29"/>
      <c r="C198" s="29"/>
    </row>
    <row r="199" ht="14.25" customHeight="1">
      <c r="A199" s="29"/>
      <c r="B199" s="29"/>
      <c r="C199" s="29"/>
    </row>
    <row r="200" ht="14.25" customHeight="1">
      <c r="A200" s="29"/>
      <c r="B200" s="29"/>
      <c r="C200" s="29"/>
    </row>
    <row r="201" ht="14.25" customHeight="1">
      <c r="A201" s="29"/>
      <c r="B201" s="29"/>
      <c r="C201" s="29"/>
    </row>
    <row r="202" ht="14.25" customHeight="1">
      <c r="A202" s="29"/>
      <c r="B202" s="29"/>
      <c r="C202" s="29"/>
    </row>
    <row r="203" ht="14.25" customHeight="1">
      <c r="A203" s="29"/>
      <c r="B203" s="29"/>
      <c r="C203" s="29"/>
    </row>
    <row r="204" ht="14.25" customHeight="1">
      <c r="A204" s="29"/>
      <c r="B204" s="29"/>
      <c r="C204" s="29"/>
    </row>
    <row r="205" ht="14.25" customHeight="1">
      <c r="A205" s="29"/>
      <c r="B205" s="29"/>
      <c r="C205" s="29"/>
    </row>
    <row r="206" ht="14.25" customHeight="1">
      <c r="A206" s="29"/>
      <c r="B206" s="29"/>
      <c r="C206" s="29"/>
    </row>
    <row r="207" ht="14.25" customHeight="1">
      <c r="A207" s="29"/>
      <c r="B207" s="29"/>
      <c r="C207" s="29"/>
    </row>
    <row r="208" ht="14.25" customHeight="1">
      <c r="A208" s="29"/>
      <c r="B208" s="29"/>
      <c r="C208" s="29"/>
    </row>
    <row r="209" ht="14.25" customHeight="1">
      <c r="A209" s="29"/>
      <c r="B209" s="29"/>
      <c r="C209" s="29"/>
    </row>
    <row r="210" ht="14.25" customHeight="1">
      <c r="A210" s="29"/>
      <c r="B210" s="29"/>
      <c r="C210" s="29"/>
    </row>
    <row r="211" ht="14.25" customHeight="1">
      <c r="A211" s="29"/>
      <c r="B211" s="29"/>
      <c r="C211" s="29"/>
    </row>
    <row r="212" ht="14.25" customHeight="1">
      <c r="A212" s="29"/>
      <c r="B212" s="29"/>
      <c r="C212" s="29"/>
    </row>
    <row r="213" ht="14.25" customHeight="1">
      <c r="A213" s="29"/>
      <c r="B213" s="29"/>
      <c r="C213" s="29"/>
    </row>
    <row r="214" ht="14.25" customHeight="1">
      <c r="A214" s="29"/>
      <c r="B214" s="29"/>
      <c r="C214" s="29"/>
    </row>
    <row r="215" ht="14.25" customHeight="1">
      <c r="A215" s="29"/>
      <c r="B215" s="29"/>
      <c r="C215" s="29"/>
    </row>
    <row r="216" ht="14.25" customHeight="1">
      <c r="A216" s="29"/>
      <c r="B216" s="29"/>
      <c r="C216" s="29"/>
    </row>
    <row r="217" ht="14.25" customHeight="1">
      <c r="A217" s="29"/>
      <c r="B217" s="29"/>
      <c r="C217" s="29"/>
    </row>
    <row r="218" ht="14.25" customHeight="1">
      <c r="A218" s="29"/>
      <c r="B218" s="29"/>
      <c r="C218" s="29"/>
    </row>
    <row r="219" ht="14.25" customHeight="1">
      <c r="A219" s="29"/>
      <c r="B219" s="29"/>
      <c r="C219" s="29"/>
    </row>
    <row r="220" ht="14.25" customHeight="1">
      <c r="A220" s="29"/>
      <c r="B220" s="29"/>
      <c r="C220" s="29"/>
    </row>
    <row r="221" ht="14.25" customHeight="1">
      <c r="A221" s="29"/>
      <c r="B221" s="29"/>
      <c r="C221" s="29"/>
    </row>
    <row r="222" ht="14.25" customHeight="1">
      <c r="A222" s="29"/>
      <c r="B222" s="29"/>
      <c r="C222" s="29"/>
    </row>
    <row r="223" ht="14.25" customHeight="1">
      <c r="A223" s="29"/>
      <c r="B223" s="29"/>
      <c r="C223" s="29"/>
    </row>
    <row r="224" ht="14.25" customHeight="1">
      <c r="A224" s="29"/>
      <c r="B224" s="29"/>
      <c r="C224" s="29"/>
    </row>
    <row r="225" ht="14.25" customHeight="1">
      <c r="A225" s="29"/>
      <c r="B225" s="29"/>
      <c r="C225" s="29"/>
    </row>
    <row r="226" ht="14.25" customHeight="1">
      <c r="A226" s="29"/>
      <c r="B226" s="29"/>
      <c r="C226" s="29"/>
    </row>
    <row r="227" ht="14.25" customHeight="1">
      <c r="A227" s="29"/>
      <c r="B227" s="29"/>
      <c r="C227" s="29"/>
    </row>
    <row r="228" ht="14.25" customHeight="1">
      <c r="A228" s="29"/>
      <c r="B228" s="29"/>
      <c r="C228" s="29"/>
    </row>
    <row r="229" ht="14.25" customHeight="1">
      <c r="A229" s="29"/>
      <c r="B229" s="29"/>
      <c r="C229" s="29"/>
    </row>
    <row r="230" ht="14.25" customHeight="1">
      <c r="A230" s="29"/>
      <c r="B230" s="29"/>
      <c r="C230" s="29"/>
    </row>
    <row r="231" ht="14.25" customHeight="1">
      <c r="A231" s="29"/>
      <c r="B231" s="29"/>
      <c r="C231" s="29"/>
    </row>
    <row r="232" ht="14.25" customHeight="1">
      <c r="A232" s="29"/>
      <c r="B232" s="29"/>
      <c r="C232" s="29"/>
    </row>
    <row r="233" ht="14.25" customHeight="1">
      <c r="A233" s="29"/>
      <c r="B233" s="29"/>
      <c r="C233" s="29"/>
    </row>
    <row r="234" ht="14.25" customHeight="1">
      <c r="A234" s="29"/>
      <c r="B234" s="29"/>
      <c r="C234" s="29"/>
    </row>
    <row r="235" ht="14.25" customHeight="1">
      <c r="A235" s="29"/>
      <c r="B235" s="29"/>
      <c r="C235" s="29"/>
    </row>
    <row r="236" ht="14.25" customHeight="1">
      <c r="A236" s="29"/>
      <c r="B236" s="29"/>
      <c r="C236" s="29"/>
    </row>
    <row r="237" ht="14.25" customHeight="1">
      <c r="A237" s="29"/>
      <c r="B237" s="29"/>
      <c r="C237" s="29"/>
    </row>
    <row r="238" ht="14.25" customHeight="1">
      <c r="A238" s="29"/>
      <c r="B238" s="29"/>
      <c r="C238" s="29"/>
    </row>
    <row r="239" ht="14.25" customHeight="1">
      <c r="A239" s="29"/>
      <c r="B239" s="29"/>
      <c r="C239" s="29"/>
    </row>
    <row r="240" ht="14.25" customHeight="1">
      <c r="A240" s="29"/>
      <c r="B240" s="29"/>
      <c r="C240" s="29"/>
    </row>
    <row r="241" ht="14.25" customHeight="1">
      <c r="A241" s="29"/>
      <c r="B241" s="29"/>
      <c r="C241" s="29"/>
    </row>
    <row r="242" ht="14.25" customHeight="1">
      <c r="A242" s="29"/>
      <c r="B242" s="29"/>
      <c r="C242" s="29"/>
    </row>
    <row r="243" ht="14.25" customHeight="1">
      <c r="A243" s="29"/>
      <c r="B243" s="29"/>
      <c r="C243" s="29"/>
    </row>
    <row r="244" ht="14.25" customHeight="1">
      <c r="A244" s="29"/>
      <c r="B244" s="29"/>
      <c r="C244" s="29"/>
    </row>
    <row r="245" ht="14.25" customHeight="1">
      <c r="A245" s="29"/>
      <c r="B245" s="29"/>
      <c r="C245" s="29"/>
    </row>
    <row r="246" ht="14.25" customHeight="1">
      <c r="A246" s="29"/>
      <c r="B246" s="29"/>
      <c r="C246" s="29"/>
    </row>
    <row r="247" ht="14.25" customHeight="1">
      <c r="A247" s="29"/>
      <c r="B247" s="29"/>
      <c r="C247" s="29"/>
    </row>
    <row r="248" ht="14.25" customHeight="1">
      <c r="A248" s="29"/>
      <c r="B248" s="29"/>
      <c r="C248" s="29"/>
    </row>
    <row r="249" ht="14.25" customHeight="1">
      <c r="A249" s="29"/>
      <c r="B249" s="29"/>
      <c r="C249" s="29"/>
    </row>
    <row r="250" ht="14.25" customHeight="1">
      <c r="A250" s="29"/>
      <c r="B250" s="29"/>
      <c r="C250" s="29"/>
    </row>
    <row r="251" ht="14.25" customHeight="1">
      <c r="A251" s="29"/>
      <c r="B251" s="29"/>
      <c r="C251" s="29"/>
    </row>
    <row r="252" ht="14.25" customHeight="1">
      <c r="A252" s="29"/>
      <c r="B252" s="29"/>
      <c r="C252" s="29"/>
    </row>
    <row r="253" ht="14.25" customHeight="1">
      <c r="A253" s="29"/>
      <c r="B253" s="29"/>
      <c r="C253" s="29"/>
    </row>
    <row r="254" ht="14.25" customHeight="1">
      <c r="A254" s="29"/>
      <c r="B254" s="29"/>
      <c r="C254" s="29"/>
    </row>
    <row r="255" ht="14.25" customHeight="1">
      <c r="A255" s="29"/>
      <c r="B255" s="29"/>
      <c r="C255" s="29"/>
    </row>
    <row r="256" ht="14.25" customHeight="1">
      <c r="A256" s="29"/>
      <c r="B256" s="29"/>
      <c r="C256" s="29"/>
    </row>
    <row r="257" ht="14.25" customHeight="1">
      <c r="A257" s="29"/>
      <c r="B257" s="29"/>
      <c r="C257" s="29"/>
    </row>
    <row r="258" ht="14.25" customHeight="1">
      <c r="A258" s="29"/>
      <c r="B258" s="29"/>
      <c r="C258" s="29"/>
    </row>
    <row r="259" ht="14.25" customHeight="1">
      <c r="A259" s="29"/>
      <c r="B259" s="29"/>
      <c r="C259" s="29"/>
    </row>
    <row r="260" ht="14.25" customHeight="1">
      <c r="A260" s="29"/>
      <c r="B260" s="29"/>
      <c r="C260" s="29"/>
    </row>
    <row r="261" ht="14.25" customHeight="1">
      <c r="A261" s="29"/>
      <c r="B261" s="29"/>
      <c r="C261" s="29"/>
    </row>
    <row r="262" ht="14.25" customHeight="1">
      <c r="A262" s="29"/>
      <c r="B262" s="29"/>
      <c r="C262" s="29"/>
    </row>
    <row r="263" ht="14.25" customHeight="1">
      <c r="A263" s="29"/>
      <c r="B263" s="29"/>
      <c r="C263" s="29"/>
    </row>
    <row r="264" ht="14.25" customHeight="1">
      <c r="A264" s="29"/>
      <c r="B264" s="29"/>
      <c r="C264" s="29"/>
    </row>
    <row r="265" ht="14.25" customHeight="1">
      <c r="A265" s="29"/>
      <c r="B265" s="29"/>
      <c r="C265" s="29"/>
    </row>
    <row r="266" ht="14.25" customHeight="1">
      <c r="A266" s="29"/>
      <c r="B266" s="29"/>
      <c r="C266" s="29"/>
    </row>
    <row r="267" ht="14.25" customHeight="1">
      <c r="A267" s="29"/>
      <c r="B267" s="29"/>
      <c r="C267" s="29"/>
    </row>
    <row r="268" ht="14.25" customHeight="1">
      <c r="A268" s="29"/>
      <c r="B268" s="29"/>
      <c r="C268" s="29"/>
    </row>
    <row r="269" ht="14.25" customHeight="1">
      <c r="A269" s="29"/>
      <c r="B269" s="29"/>
      <c r="C269" s="29"/>
    </row>
    <row r="270" ht="14.25" customHeight="1">
      <c r="A270" s="29"/>
      <c r="B270" s="29"/>
      <c r="C270" s="29"/>
    </row>
    <row r="271" ht="14.25" customHeight="1">
      <c r="A271" s="29"/>
      <c r="B271" s="29"/>
      <c r="C271" s="29"/>
    </row>
    <row r="272" ht="14.25" customHeight="1">
      <c r="A272" s="29"/>
      <c r="B272" s="29"/>
      <c r="C272" s="29"/>
    </row>
    <row r="273" ht="14.25" customHeight="1">
      <c r="A273" s="29"/>
      <c r="B273" s="29"/>
      <c r="C273" s="29"/>
    </row>
    <row r="274" ht="14.25" customHeight="1">
      <c r="A274" s="29"/>
      <c r="B274" s="29"/>
      <c r="C274" s="29"/>
    </row>
    <row r="275" ht="14.25" customHeight="1">
      <c r="A275" s="29"/>
      <c r="B275" s="29"/>
      <c r="C275" s="29"/>
    </row>
    <row r="276" ht="14.25" customHeight="1">
      <c r="A276" s="29"/>
      <c r="B276" s="29"/>
      <c r="C276" s="29"/>
    </row>
    <row r="277" ht="14.25" customHeight="1">
      <c r="A277" s="29"/>
      <c r="B277" s="29"/>
      <c r="C277" s="29"/>
    </row>
    <row r="278" ht="14.25" customHeight="1">
      <c r="A278" s="29"/>
      <c r="B278" s="29"/>
      <c r="C278" s="29"/>
    </row>
    <row r="279" ht="14.25" customHeight="1">
      <c r="A279" s="29"/>
      <c r="B279" s="29"/>
      <c r="C279" s="29"/>
    </row>
    <row r="280" ht="14.25" customHeight="1">
      <c r="A280" s="29"/>
      <c r="B280" s="29"/>
      <c r="C280" s="29"/>
    </row>
    <row r="281" ht="14.25" customHeight="1">
      <c r="A281" s="29"/>
      <c r="B281" s="29"/>
      <c r="C281" s="29"/>
    </row>
    <row r="282" ht="14.25" customHeight="1">
      <c r="A282" s="29"/>
      <c r="B282" s="29"/>
      <c r="C282" s="29"/>
    </row>
    <row r="283" ht="14.25" customHeight="1">
      <c r="A283" s="29"/>
      <c r="B283" s="29"/>
      <c r="C283" s="29"/>
    </row>
    <row r="284" ht="14.25" customHeight="1">
      <c r="A284" s="29"/>
      <c r="B284" s="29"/>
      <c r="C284" s="29"/>
    </row>
    <row r="285" ht="14.25" customHeight="1">
      <c r="A285" s="29"/>
      <c r="B285" s="29"/>
      <c r="C285" s="29"/>
    </row>
    <row r="286" ht="14.25" customHeight="1">
      <c r="A286" s="29"/>
      <c r="B286" s="29"/>
      <c r="C286" s="29"/>
    </row>
    <row r="287" ht="14.25" customHeight="1">
      <c r="A287" s="29"/>
      <c r="B287" s="29"/>
      <c r="C287" s="29"/>
    </row>
    <row r="288" ht="14.25" customHeight="1">
      <c r="A288" s="29"/>
      <c r="B288" s="29"/>
      <c r="C288" s="29"/>
    </row>
    <row r="289" ht="14.25" customHeight="1">
      <c r="A289" s="29"/>
      <c r="B289" s="29"/>
      <c r="C289" s="29"/>
    </row>
    <row r="290" ht="14.25" customHeight="1">
      <c r="A290" s="29"/>
      <c r="B290" s="29"/>
      <c r="C290" s="29"/>
    </row>
    <row r="291" ht="14.25" customHeight="1">
      <c r="A291" s="29"/>
      <c r="B291" s="29"/>
      <c r="C291" s="29"/>
    </row>
    <row r="292" ht="14.25" customHeight="1">
      <c r="A292" s="29"/>
      <c r="B292" s="29"/>
      <c r="C292" s="29"/>
    </row>
    <row r="293" ht="14.25" customHeight="1">
      <c r="A293" s="29"/>
      <c r="B293" s="29"/>
      <c r="C293" s="29"/>
    </row>
    <row r="294" ht="14.25" customHeight="1">
      <c r="A294" s="29"/>
      <c r="B294" s="29"/>
      <c r="C294" s="29"/>
    </row>
    <row r="295" ht="14.25" customHeight="1">
      <c r="A295" s="29"/>
      <c r="B295" s="29"/>
      <c r="C295" s="29"/>
    </row>
    <row r="296" ht="14.25" customHeight="1">
      <c r="A296" s="29"/>
      <c r="B296" s="29"/>
      <c r="C296" s="29"/>
    </row>
    <row r="297" ht="14.25" customHeight="1">
      <c r="A297" s="29"/>
      <c r="B297" s="29"/>
      <c r="C297" s="29"/>
    </row>
    <row r="298" ht="14.25" customHeight="1">
      <c r="A298" s="29"/>
      <c r="B298" s="29"/>
      <c r="C298" s="29"/>
    </row>
    <row r="299" ht="14.25" customHeight="1">
      <c r="A299" s="29"/>
      <c r="B299" s="29"/>
      <c r="C299" s="29"/>
    </row>
    <row r="300" ht="14.25" customHeight="1">
      <c r="A300" s="29"/>
      <c r="B300" s="29"/>
      <c r="C300" s="29"/>
    </row>
    <row r="301" ht="14.25" customHeight="1">
      <c r="A301" s="29"/>
      <c r="B301" s="29"/>
      <c r="C301" s="29"/>
    </row>
    <row r="302" ht="14.25" customHeight="1">
      <c r="A302" s="29"/>
      <c r="B302" s="29"/>
      <c r="C302" s="29"/>
    </row>
    <row r="303" ht="14.25" customHeight="1">
      <c r="A303" s="29"/>
      <c r="B303" s="29"/>
      <c r="C303" s="29"/>
    </row>
    <row r="304" ht="14.25" customHeight="1">
      <c r="A304" s="29"/>
      <c r="B304" s="29"/>
      <c r="C304" s="29"/>
    </row>
    <row r="305" ht="14.25" customHeight="1">
      <c r="A305" s="29"/>
      <c r="B305" s="29"/>
      <c r="C305" s="29"/>
    </row>
    <row r="306" ht="14.25" customHeight="1">
      <c r="A306" s="29"/>
      <c r="B306" s="29"/>
      <c r="C306" s="29"/>
    </row>
    <row r="307" ht="14.25" customHeight="1">
      <c r="A307" s="29"/>
      <c r="B307" s="29"/>
      <c r="C307" s="29"/>
    </row>
    <row r="308" ht="14.25" customHeight="1">
      <c r="A308" s="29"/>
      <c r="B308" s="29"/>
      <c r="C308" s="29"/>
    </row>
    <row r="309" ht="14.25" customHeight="1">
      <c r="A309" s="29"/>
      <c r="B309" s="29"/>
      <c r="C309" s="29"/>
    </row>
    <row r="310" ht="14.25" customHeight="1">
      <c r="A310" s="29"/>
      <c r="B310" s="29"/>
      <c r="C310" s="29"/>
    </row>
    <row r="311" ht="14.25" customHeight="1">
      <c r="A311" s="29"/>
      <c r="B311" s="29"/>
      <c r="C311" s="29"/>
    </row>
    <row r="312" ht="14.25" customHeight="1">
      <c r="A312" s="29"/>
      <c r="B312" s="29"/>
      <c r="C312" s="29"/>
    </row>
    <row r="313" ht="14.25" customHeight="1">
      <c r="A313" s="29"/>
      <c r="B313" s="29"/>
      <c r="C313" s="29"/>
    </row>
    <row r="314" ht="14.25" customHeight="1">
      <c r="A314" s="29"/>
      <c r="B314" s="29"/>
      <c r="C314" s="29"/>
    </row>
    <row r="315" ht="14.25" customHeight="1">
      <c r="A315" s="29"/>
      <c r="B315" s="29"/>
      <c r="C315" s="29"/>
    </row>
    <row r="316" ht="14.25" customHeight="1">
      <c r="A316" s="29"/>
      <c r="B316" s="29"/>
      <c r="C316" s="29"/>
    </row>
    <row r="317" ht="14.25" customHeight="1">
      <c r="A317" s="29"/>
      <c r="B317" s="29"/>
      <c r="C317" s="29"/>
    </row>
    <row r="318" ht="14.25" customHeight="1">
      <c r="A318" s="29"/>
      <c r="B318" s="29"/>
      <c r="C318" s="29"/>
    </row>
    <row r="319" ht="14.25" customHeight="1">
      <c r="A319" s="29"/>
      <c r="B319" s="29"/>
      <c r="C319" s="29"/>
    </row>
    <row r="320" ht="14.25" customHeight="1">
      <c r="A320" s="29"/>
      <c r="B320" s="29"/>
      <c r="C320" s="29"/>
    </row>
    <row r="321" ht="14.25" customHeight="1">
      <c r="A321" s="29"/>
      <c r="B321" s="29"/>
      <c r="C321" s="29"/>
    </row>
    <row r="322" ht="14.25" customHeight="1">
      <c r="A322" s="29"/>
      <c r="B322" s="29"/>
      <c r="C322" s="29"/>
    </row>
    <row r="323" ht="14.25" customHeight="1">
      <c r="A323" s="29"/>
      <c r="B323" s="29"/>
      <c r="C323" s="29"/>
    </row>
    <row r="324" ht="14.25" customHeight="1">
      <c r="A324" s="29"/>
      <c r="B324" s="29"/>
      <c r="C324" s="29"/>
    </row>
    <row r="325" ht="14.25" customHeight="1">
      <c r="A325" s="29"/>
      <c r="B325" s="29"/>
      <c r="C325" s="29"/>
    </row>
    <row r="326" ht="14.25" customHeight="1">
      <c r="A326" s="29"/>
      <c r="B326" s="29"/>
      <c r="C326" s="29"/>
    </row>
    <row r="327" ht="14.25" customHeight="1">
      <c r="A327" s="29"/>
      <c r="B327" s="29"/>
      <c r="C327" s="29"/>
    </row>
    <row r="328" ht="14.25" customHeight="1">
      <c r="A328" s="29"/>
      <c r="B328" s="29"/>
      <c r="C328" s="29"/>
    </row>
    <row r="329" ht="14.25" customHeight="1">
      <c r="A329" s="29"/>
      <c r="B329" s="29"/>
      <c r="C329" s="29"/>
    </row>
    <row r="330" ht="14.25" customHeight="1">
      <c r="A330" s="29"/>
      <c r="B330" s="29"/>
      <c r="C330" s="29"/>
    </row>
    <row r="331" ht="14.25" customHeight="1">
      <c r="A331" s="29"/>
      <c r="B331" s="29"/>
      <c r="C331" s="29"/>
    </row>
    <row r="332" ht="14.25" customHeight="1">
      <c r="A332" s="29"/>
      <c r="B332" s="29"/>
      <c r="C332" s="29"/>
    </row>
    <row r="333" ht="14.25" customHeight="1">
      <c r="A333" s="29"/>
      <c r="B333" s="29"/>
      <c r="C333" s="29"/>
    </row>
    <row r="334" ht="14.25" customHeight="1">
      <c r="A334" s="29"/>
      <c r="B334" s="29"/>
      <c r="C334" s="29"/>
    </row>
    <row r="335" ht="14.25" customHeight="1">
      <c r="A335" s="29"/>
      <c r="B335" s="29"/>
      <c r="C335" s="29"/>
    </row>
    <row r="336" ht="14.25" customHeight="1">
      <c r="A336" s="29"/>
      <c r="B336" s="29"/>
      <c r="C336" s="29"/>
    </row>
    <row r="337" ht="14.25" customHeight="1">
      <c r="A337" s="29"/>
      <c r="B337" s="29"/>
      <c r="C337" s="29"/>
    </row>
    <row r="338" ht="14.25" customHeight="1">
      <c r="A338" s="29"/>
      <c r="B338" s="29"/>
      <c r="C338" s="29"/>
    </row>
    <row r="339" ht="14.25" customHeight="1">
      <c r="A339" s="29"/>
      <c r="B339" s="29"/>
      <c r="C339" s="29"/>
    </row>
    <row r="340" ht="14.25" customHeight="1">
      <c r="A340" s="29"/>
      <c r="B340" s="29"/>
      <c r="C340" s="29"/>
    </row>
    <row r="341" ht="14.25" customHeight="1">
      <c r="A341" s="29"/>
      <c r="B341" s="29"/>
      <c r="C341" s="29"/>
    </row>
    <row r="342" ht="14.25" customHeight="1">
      <c r="A342" s="29"/>
      <c r="B342" s="29"/>
      <c r="C342" s="29"/>
    </row>
    <row r="343" ht="14.25" customHeight="1">
      <c r="A343" s="29"/>
      <c r="B343" s="29"/>
      <c r="C343" s="29"/>
    </row>
    <row r="344" ht="14.25" customHeight="1">
      <c r="A344" s="29"/>
      <c r="B344" s="29"/>
      <c r="C344" s="29"/>
    </row>
    <row r="345" ht="14.25" customHeight="1">
      <c r="A345" s="29"/>
      <c r="B345" s="29"/>
      <c r="C345" s="29"/>
    </row>
    <row r="346" ht="14.25" customHeight="1">
      <c r="A346" s="29"/>
      <c r="B346" s="29"/>
      <c r="C346" s="29"/>
    </row>
    <row r="347" ht="14.25" customHeight="1">
      <c r="A347" s="29"/>
      <c r="B347" s="29"/>
      <c r="C347" s="29"/>
    </row>
    <row r="348" ht="14.25" customHeight="1">
      <c r="A348" s="29"/>
      <c r="B348" s="29"/>
      <c r="C348" s="29"/>
    </row>
    <row r="349" ht="14.25" customHeight="1">
      <c r="A349" s="29"/>
      <c r="B349" s="29"/>
      <c r="C349" s="29"/>
    </row>
    <row r="350" ht="14.25" customHeight="1">
      <c r="A350" s="29"/>
      <c r="B350" s="29"/>
      <c r="C350" s="29"/>
    </row>
    <row r="351" ht="14.25" customHeight="1">
      <c r="A351" s="29"/>
      <c r="B351" s="29"/>
      <c r="C351" s="29"/>
    </row>
    <row r="352" ht="14.25" customHeight="1">
      <c r="A352" s="29"/>
      <c r="B352" s="29"/>
      <c r="C352" s="29"/>
    </row>
    <row r="353" ht="14.25" customHeight="1">
      <c r="A353" s="29"/>
      <c r="B353" s="29"/>
      <c r="C353" s="29"/>
    </row>
    <row r="354" ht="14.25" customHeight="1">
      <c r="A354" s="29"/>
      <c r="B354" s="29"/>
      <c r="C354" s="29"/>
    </row>
    <row r="355" ht="14.25" customHeight="1">
      <c r="A355" s="29"/>
      <c r="B355" s="29"/>
      <c r="C355" s="29"/>
    </row>
    <row r="356" ht="14.25" customHeight="1">
      <c r="A356" s="29"/>
      <c r="B356" s="29"/>
      <c r="C356" s="29"/>
    </row>
    <row r="357" ht="14.25" customHeight="1">
      <c r="A357" s="29"/>
      <c r="B357" s="29"/>
      <c r="C357" s="29"/>
    </row>
    <row r="358" ht="14.25" customHeight="1">
      <c r="A358" s="29"/>
      <c r="B358" s="29"/>
      <c r="C358" s="29"/>
    </row>
    <row r="359" ht="14.25" customHeight="1">
      <c r="A359" s="29"/>
      <c r="B359" s="29"/>
      <c r="C359" s="29"/>
    </row>
    <row r="360" ht="14.25" customHeight="1">
      <c r="A360" s="29"/>
      <c r="B360" s="29"/>
      <c r="C360" s="29"/>
    </row>
    <row r="361" ht="14.25" customHeight="1">
      <c r="A361" s="29"/>
      <c r="B361" s="29"/>
      <c r="C361" s="29"/>
    </row>
    <row r="362" ht="14.25" customHeight="1">
      <c r="A362" s="29"/>
      <c r="B362" s="29"/>
      <c r="C362" s="29"/>
    </row>
    <row r="363" ht="14.25" customHeight="1">
      <c r="A363" s="29"/>
      <c r="B363" s="29"/>
      <c r="C363" s="29"/>
    </row>
    <row r="364" ht="14.25" customHeight="1">
      <c r="A364" s="29"/>
      <c r="B364" s="29"/>
      <c r="C364" s="29"/>
    </row>
    <row r="365" ht="14.25" customHeight="1">
      <c r="A365" s="29"/>
      <c r="B365" s="29"/>
      <c r="C365" s="29"/>
    </row>
    <row r="366" ht="14.25" customHeight="1">
      <c r="A366" s="29"/>
      <c r="B366" s="29"/>
      <c r="C366" s="29"/>
    </row>
    <row r="367" ht="14.25" customHeight="1">
      <c r="A367" s="29"/>
      <c r="B367" s="29"/>
      <c r="C367" s="29"/>
    </row>
    <row r="368" ht="14.25" customHeight="1">
      <c r="A368" s="29"/>
      <c r="B368" s="29"/>
      <c r="C368" s="29"/>
    </row>
    <row r="369" ht="14.25" customHeight="1">
      <c r="A369" s="29"/>
      <c r="B369" s="29"/>
      <c r="C369" s="29"/>
    </row>
    <row r="370" ht="14.25" customHeight="1">
      <c r="A370" s="29"/>
      <c r="B370" s="29"/>
      <c r="C370" s="29"/>
    </row>
    <row r="371" ht="14.25" customHeight="1">
      <c r="A371" s="29"/>
      <c r="B371" s="29"/>
      <c r="C371" s="29"/>
    </row>
    <row r="372" ht="14.25" customHeight="1">
      <c r="A372" s="29"/>
      <c r="B372" s="29"/>
      <c r="C372" s="29"/>
    </row>
    <row r="373" ht="14.25" customHeight="1">
      <c r="A373" s="29"/>
      <c r="B373" s="29"/>
      <c r="C373" s="29"/>
    </row>
    <row r="374" ht="14.25" customHeight="1">
      <c r="A374" s="29"/>
      <c r="B374" s="29"/>
      <c r="C374" s="29"/>
    </row>
    <row r="375" ht="14.25" customHeight="1">
      <c r="A375" s="29"/>
      <c r="B375" s="29"/>
      <c r="C375" s="29"/>
    </row>
    <row r="376" ht="14.25" customHeight="1">
      <c r="A376" s="29"/>
      <c r="B376" s="29"/>
      <c r="C376" s="29"/>
    </row>
    <row r="377" ht="14.25" customHeight="1">
      <c r="A377" s="29"/>
      <c r="B377" s="29"/>
      <c r="C377" s="29"/>
    </row>
    <row r="378" ht="14.25" customHeight="1">
      <c r="A378" s="29"/>
      <c r="B378" s="29"/>
      <c r="C378" s="29"/>
    </row>
    <row r="379" ht="14.25" customHeight="1">
      <c r="A379" s="29"/>
      <c r="B379" s="29"/>
      <c r="C379" s="29"/>
    </row>
    <row r="380" ht="14.25" customHeight="1">
      <c r="A380" s="29"/>
      <c r="B380" s="29"/>
      <c r="C380" s="29"/>
    </row>
    <row r="381" ht="14.25" customHeight="1">
      <c r="A381" s="29"/>
      <c r="B381" s="29"/>
      <c r="C381" s="29"/>
    </row>
    <row r="382" ht="14.25" customHeight="1">
      <c r="A382" s="29"/>
      <c r="B382" s="29"/>
      <c r="C382" s="29"/>
    </row>
    <row r="383" ht="14.25" customHeight="1">
      <c r="A383" s="29"/>
      <c r="B383" s="29"/>
      <c r="C383" s="29"/>
    </row>
    <row r="384" ht="14.25" customHeight="1">
      <c r="A384" s="29"/>
      <c r="B384" s="29"/>
      <c r="C384" s="29"/>
    </row>
    <row r="385" ht="14.25" customHeight="1">
      <c r="A385" s="29"/>
      <c r="B385" s="29"/>
      <c r="C385" s="29"/>
    </row>
    <row r="386" ht="14.25" customHeight="1">
      <c r="A386" s="29"/>
      <c r="B386" s="29"/>
      <c r="C386" s="29"/>
    </row>
    <row r="387" ht="14.25" customHeight="1">
      <c r="A387" s="29"/>
      <c r="B387" s="29"/>
      <c r="C387" s="29"/>
    </row>
    <row r="388" ht="14.25" customHeight="1">
      <c r="A388" s="29"/>
      <c r="B388" s="29"/>
      <c r="C388" s="29"/>
    </row>
    <row r="389" ht="14.25" customHeight="1">
      <c r="A389" s="29"/>
      <c r="B389" s="29"/>
      <c r="C389" s="29"/>
    </row>
    <row r="390" ht="14.25" customHeight="1">
      <c r="A390" s="29"/>
      <c r="B390" s="29"/>
      <c r="C390" s="29"/>
    </row>
    <row r="391" ht="14.25" customHeight="1">
      <c r="A391" s="29"/>
      <c r="B391" s="29"/>
      <c r="C391" s="29"/>
    </row>
    <row r="392" ht="14.25" customHeight="1">
      <c r="A392" s="29"/>
      <c r="B392" s="29"/>
      <c r="C392" s="29"/>
    </row>
    <row r="393" ht="14.25" customHeight="1">
      <c r="A393" s="29"/>
      <c r="B393" s="29"/>
      <c r="C393" s="29"/>
    </row>
    <row r="394" ht="14.25" customHeight="1">
      <c r="A394" s="29"/>
      <c r="B394" s="29"/>
      <c r="C394" s="29"/>
    </row>
    <row r="395" ht="14.25" customHeight="1">
      <c r="A395" s="29"/>
      <c r="B395" s="29"/>
      <c r="C395" s="29"/>
    </row>
    <row r="396" ht="14.25" customHeight="1">
      <c r="A396" s="29"/>
      <c r="B396" s="29"/>
      <c r="C396" s="29"/>
    </row>
    <row r="397" ht="14.25" customHeight="1">
      <c r="A397" s="29"/>
      <c r="B397" s="29"/>
      <c r="C397" s="29"/>
    </row>
    <row r="398" ht="14.25" customHeight="1">
      <c r="A398" s="29"/>
      <c r="B398" s="29"/>
      <c r="C398" s="29"/>
    </row>
    <row r="399" ht="14.25" customHeight="1">
      <c r="A399" s="29"/>
      <c r="B399" s="29"/>
      <c r="C399" s="29"/>
    </row>
    <row r="400" ht="14.25" customHeight="1">
      <c r="A400" s="29"/>
      <c r="B400" s="29"/>
      <c r="C400" s="29"/>
    </row>
    <row r="401" ht="14.25" customHeight="1">
      <c r="A401" s="29"/>
      <c r="B401" s="29"/>
      <c r="C401" s="29"/>
    </row>
    <row r="402" ht="14.25" customHeight="1">
      <c r="A402" s="29"/>
      <c r="B402" s="29"/>
      <c r="C402" s="29"/>
    </row>
    <row r="403" ht="14.25" customHeight="1">
      <c r="A403" s="29"/>
      <c r="B403" s="29"/>
      <c r="C403" s="29"/>
    </row>
    <row r="404" ht="14.25" customHeight="1">
      <c r="A404" s="29"/>
      <c r="B404" s="29"/>
      <c r="C404" s="29"/>
    </row>
    <row r="405" ht="14.25" customHeight="1">
      <c r="A405" s="29"/>
      <c r="B405" s="29"/>
      <c r="C405" s="29"/>
    </row>
    <row r="406" ht="14.25" customHeight="1">
      <c r="A406" s="29"/>
      <c r="B406" s="29"/>
      <c r="C406" s="29"/>
    </row>
    <row r="407" ht="14.25" customHeight="1">
      <c r="A407" s="29"/>
      <c r="B407" s="29"/>
      <c r="C407" s="29"/>
    </row>
    <row r="408" ht="14.25" customHeight="1">
      <c r="A408" s="29"/>
      <c r="B408" s="29"/>
      <c r="C408" s="29"/>
    </row>
    <row r="409" ht="14.25" customHeight="1">
      <c r="A409" s="29"/>
      <c r="B409" s="29"/>
      <c r="C409" s="29"/>
    </row>
    <row r="410" ht="14.25" customHeight="1">
      <c r="A410" s="29"/>
      <c r="B410" s="29"/>
      <c r="C410" s="29"/>
    </row>
    <row r="411" ht="14.25" customHeight="1">
      <c r="A411" s="29"/>
      <c r="B411" s="29"/>
      <c r="C411" s="29"/>
    </row>
    <row r="412" ht="14.25" customHeight="1">
      <c r="A412" s="29"/>
      <c r="B412" s="29"/>
      <c r="C412" s="29"/>
    </row>
    <row r="413" ht="14.25" customHeight="1">
      <c r="A413" s="29"/>
      <c r="B413" s="29"/>
      <c r="C413" s="29"/>
    </row>
    <row r="414" ht="14.25" customHeight="1">
      <c r="A414" s="29"/>
      <c r="B414" s="29"/>
      <c r="C414" s="29"/>
    </row>
    <row r="415" ht="14.25" customHeight="1">
      <c r="A415" s="29"/>
      <c r="B415" s="29"/>
      <c r="C415" s="29"/>
    </row>
    <row r="416" ht="14.25" customHeight="1">
      <c r="A416" s="29"/>
      <c r="B416" s="29"/>
      <c r="C416" s="29"/>
    </row>
    <row r="417" ht="14.25" customHeight="1">
      <c r="A417" s="29"/>
      <c r="B417" s="29"/>
      <c r="C417" s="29"/>
    </row>
    <row r="418" ht="14.25" customHeight="1">
      <c r="A418" s="29"/>
      <c r="B418" s="29"/>
      <c r="C418" s="29"/>
    </row>
    <row r="419" ht="14.25" customHeight="1">
      <c r="A419" s="29"/>
      <c r="B419" s="29"/>
      <c r="C419" s="29"/>
    </row>
    <row r="420" ht="14.25" customHeight="1">
      <c r="A420" s="29"/>
      <c r="B420" s="29"/>
      <c r="C420" s="29"/>
    </row>
    <row r="421" ht="14.25" customHeight="1">
      <c r="A421" s="29"/>
      <c r="B421" s="29"/>
      <c r="C421" s="29"/>
    </row>
    <row r="422" ht="14.25" customHeight="1">
      <c r="A422" s="29"/>
      <c r="B422" s="29"/>
      <c r="C422" s="29"/>
    </row>
    <row r="423" ht="14.25" customHeight="1">
      <c r="A423" s="29"/>
      <c r="B423" s="29"/>
      <c r="C423" s="29"/>
    </row>
    <row r="424" ht="14.25" customHeight="1">
      <c r="A424" s="29"/>
      <c r="B424" s="29"/>
      <c r="C424" s="29"/>
    </row>
    <row r="425" ht="14.25" customHeight="1">
      <c r="A425" s="29"/>
      <c r="B425" s="29"/>
      <c r="C425" s="29"/>
    </row>
    <row r="426" ht="14.25" customHeight="1">
      <c r="A426" s="29"/>
      <c r="B426" s="29"/>
      <c r="C426" s="29"/>
    </row>
    <row r="427" ht="14.25" customHeight="1">
      <c r="A427" s="29"/>
      <c r="B427" s="29"/>
      <c r="C427" s="29"/>
    </row>
    <row r="428" ht="14.25" customHeight="1">
      <c r="A428" s="29"/>
      <c r="B428" s="29"/>
      <c r="C428" s="29"/>
    </row>
    <row r="429" ht="14.25" customHeight="1">
      <c r="A429" s="29"/>
      <c r="B429" s="29"/>
      <c r="C429" s="29"/>
    </row>
    <row r="430" ht="14.25" customHeight="1">
      <c r="A430" s="29"/>
      <c r="B430" s="29"/>
      <c r="C430" s="29"/>
    </row>
    <row r="431" ht="14.25" customHeight="1">
      <c r="A431" s="29"/>
      <c r="B431" s="29"/>
      <c r="C431" s="29"/>
    </row>
    <row r="432" ht="14.25" customHeight="1">
      <c r="A432" s="29"/>
      <c r="B432" s="29"/>
      <c r="C432" s="29"/>
    </row>
    <row r="433" ht="14.25" customHeight="1">
      <c r="A433" s="29"/>
      <c r="B433" s="29"/>
      <c r="C433" s="29"/>
    </row>
    <row r="434" ht="14.25" customHeight="1">
      <c r="A434" s="29"/>
      <c r="B434" s="29"/>
      <c r="C434" s="29"/>
    </row>
    <row r="435" ht="14.25" customHeight="1">
      <c r="A435" s="29"/>
      <c r="B435" s="29"/>
      <c r="C435" s="29"/>
    </row>
    <row r="436" ht="14.25" customHeight="1">
      <c r="A436" s="29"/>
      <c r="B436" s="29"/>
      <c r="C436" s="29"/>
    </row>
    <row r="437" ht="14.25" customHeight="1">
      <c r="A437" s="29"/>
      <c r="B437" s="29"/>
      <c r="C437" s="29"/>
    </row>
    <row r="438" ht="14.25" customHeight="1">
      <c r="A438" s="29"/>
      <c r="B438" s="29"/>
      <c r="C438" s="29"/>
    </row>
    <row r="439" ht="14.25" customHeight="1">
      <c r="A439" s="29"/>
      <c r="B439" s="29"/>
      <c r="C439" s="29"/>
    </row>
    <row r="440" ht="14.25" customHeight="1">
      <c r="A440" s="29"/>
      <c r="B440" s="29"/>
      <c r="C440" s="29"/>
    </row>
    <row r="441" ht="14.25" customHeight="1">
      <c r="A441" s="29"/>
      <c r="B441" s="29"/>
      <c r="C441" s="29"/>
    </row>
    <row r="442" ht="14.25" customHeight="1">
      <c r="A442" s="29"/>
      <c r="B442" s="29"/>
      <c r="C442" s="29"/>
    </row>
    <row r="443" ht="14.25" customHeight="1">
      <c r="A443" s="29"/>
      <c r="B443" s="29"/>
      <c r="C443" s="29"/>
    </row>
    <row r="444" ht="14.25" customHeight="1">
      <c r="A444" s="29"/>
      <c r="B444" s="29"/>
      <c r="C444" s="29"/>
    </row>
    <row r="445" ht="14.25" customHeight="1">
      <c r="A445" s="29"/>
      <c r="B445" s="29"/>
      <c r="C445" s="29"/>
    </row>
    <row r="446" ht="14.25" customHeight="1">
      <c r="A446" s="29"/>
      <c r="B446" s="29"/>
      <c r="C446" s="29"/>
    </row>
    <row r="447" ht="14.25" customHeight="1">
      <c r="A447" s="29"/>
      <c r="B447" s="29"/>
      <c r="C447" s="29"/>
    </row>
    <row r="448" ht="14.25" customHeight="1">
      <c r="A448" s="29"/>
      <c r="B448" s="29"/>
      <c r="C448" s="29"/>
    </row>
    <row r="449" ht="14.25" customHeight="1">
      <c r="A449" s="29"/>
      <c r="B449" s="29"/>
      <c r="C449" s="29"/>
    </row>
    <row r="450" ht="14.25" customHeight="1">
      <c r="A450" s="29"/>
      <c r="B450" s="29"/>
      <c r="C450" s="29"/>
    </row>
    <row r="451" ht="14.25" customHeight="1">
      <c r="A451" s="29"/>
      <c r="B451" s="29"/>
      <c r="C451" s="29"/>
    </row>
    <row r="452" ht="14.25" customHeight="1">
      <c r="A452" s="29"/>
      <c r="B452" s="29"/>
      <c r="C452" s="29"/>
    </row>
    <row r="453" ht="14.25" customHeight="1">
      <c r="A453" s="29"/>
      <c r="B453" s="29"/>
      <c r="C453" s="29"/>
    </row>
    <row r="454" ht="14.25" customHeight="1">
      <c r="A454" s="29"/>
      <c r="B454" s="29"/>
      <c r="C454" s="29"/>
    </row>
    <row r="455" ht="14.25" customHeight="1">
      <c r="A455" s="29"/>
      <c r="B455" s="29"/>
      <c r="C455" s="29"/>
    </row>
    <row r="456" ht="14.25" customHeight="1">
      <c r="A456" s="29"/>
      <c r="B456" s="29"/>
      <c r="C456" s="29"/>
    </row>
    <row r="457" ht="14.25" customHeight="1">
      <c r="A457" s="29"/>
      <c r="B457" s="29"/>
      <c r="C457" s="29"/>
    </row>
    <row r="458" ht="14.25" customHeight="1">
      <c r="A458" s="29"/>
      <c r="B458" s="29"/>
      <c r="C458" s="29"/>
    </row>
    <row r="459" ht="14.25" customHeight="1">
      <c r="A459" s="29"/>
      <c r="B459" s="29"/>
      <c r="C459" s="29"/>
    </row>
    <row r="460" ht="14.25" customHeight="1">
      <c r="A460" s="29"/>
      <c r="B460" s="29"/>
      <c r="C460" s="29"/>
    </row>
    <row r="461" ht="14.25" customHeight="1">
      <c r="A461" s="29"/>
      <c r="B461" s="29"/>
      <c r="C461" s="29"/>
    </row>
    <row r="462" ht="14.25" customHeight="1">
      <c r="A462" s="29"/>
      <c r="B462" s="29"/>
      <c r="C462" s="29"/>
    </row>
    <row r="463" ht="14.25" customHeight="1">
      <c r="A463" s="29"/>
      <c r="B463" s="29"/>
      <c r="C463" s="29"/>
    </row>
    <row r="464" ht="14.25" customHeight="1">
      <c r="A464" s="29"/>
      <c r="B464" s="29"/>
      <c r="C464" s="29"/>
    </row>
    <row r="465" ht="14.25" customHeight="1">
      <c r="A465" s="29"/>
      <c r="B465" s="29"/>
      <c r="C465" s="29"/>
    </row>
    <row r="466" ht="14.25" customHeight="1">
      <c r="A466" s="29"/>
      <c r="B466" s="29"/>
      <c r="C466" s="29"/>
    </row>
    <row r="467" ht="14.25" customHeight="1">
      <c r="A467" s="29"/>
      <c r="B467" s="29"/>
      <c r="C467" s="29"/>
    </row>
    <row r="468" ht="14.25" customHeight="1">
      <c r="A468" s="29"/>
      <c r="B468" s="29"/>
      <c r="C468" s="29"/>
    </row>
    <row r="469" ht="14.25" customHeight="1">
      <c r="A469" s="29"/>
      <c r="B469" s="29"/>
      <c r="C469" s="29"/>
    </row>
    <row r="470" ht="14.25" customHeight="1">
      <c r="A470" s="29"/>
      <c r="B470" s="29"/>
      <c r="C470" s="29"/>
    </row>
    <row r="471" ht="14.25" customHeight="1">
      <c r="A471" s="29"/>
      <c r="B471" s="29"/>
      <c r="C471" s="29"/>
    </row>
    <row r="472" ht="14.25" customHeight="1">
      <c r="A472" s="29"/>
      <c r="B472" s="29"/>
      <c r="C472" s="29"/>
    </row>
    <row r="473" ht="14.25" customHeight="1">
      <c r="A473" s="29"/>
      <c r="B473" s="29"/>
      <c r="C473" s="29"/>
    </row>
    <row r="474" ht="14.25" customHeight="1">
      <c r="A474" s="29"/>
      <c r="B474" s="29"/>
      <c r="C474" s="29"/>
    </row>
    <row r="475" ht="14.25" customHeight="1">
      <c r="A475" s="29"/>
      <c r="B475" s="29"/>
      <c r="C475" s="29"/>
    </row>
    <row r="476" ht="14.25" customHeight="1">
      <c r="A476" s="29"/>
      <c r="B476" s="29"/>
      <c r="C476" s="29"/>
    </row>
    <row r="477" ht="14.25" customHeight="1">
      <c r="A477" s="29"/>
      <c r="B477" s="29"/>
      <c r="C477" s="29"/>
    </row>
    <row r="478" ht="14.25" customHeight="1">
      <c r="A478" s="29"/>
      <c r="B478" s="29"/>
      <c r="C478" s="29"/>
    </row>
    <row r="479" ht="14.25" customHeight="1">
      <c r="A479" s="29"/>
      <c r="B479" s="29"/>
      <c r="C479" s="29"/>
    </row>
    <row r="480" ht="14.25" customHeight="1">
      <c r="A480" s="29"/>
      <c r="B480" s="29"/>
      <c r="C480" s="29"/>
    </row>
    <row r="481" ht="14.25" customHeight="1">
      <c r="A481" s="29"/>
      <c r="B481" s="29"/>
      <c r="C481" s="29"/>
    </row>
    <row r="482" ht="14.25" customHeight="1">
      <c r="A482" s="29"/>
      <c r="B482" s="29"/>
      <c r="C482" s="29"/>
    </row>
    <row r="483" ht="14.25" customHeight="1">
      <c r="A483" s="29"/>
      <c r="B483" s="29"/>
      <c r="C483" s="29"/>
    </row>
    <row r="484" ht="14.25" customHeight="1">
      <c r="A484" s="29"/>
      <c r="B484" s="29"/>
      <c r="C484" s="29"/>
    </row>
    <row r="485" ht="14.25" customHeight="1">
      <c r="A485" s="29"/>
      <c r="B485" s="29"/>
      <c r="C485" s="29"/>
    </row>
    <row r="486" ht="14.25" customHeight="1">
      <c r="A486" s="29"/>
      <c r="B486" s="29"/>
      <c r="C486" s="29"/>
    </row>
    <row r="487" ht="14.25" customHeight="1">
      <c r="A487" s="29"/>
      <c r="B487" s="29"/>
      <c r="C487" s="29"/>
    </row>
    <row r="488" ht="14.25" customHeight="1">
      <c r="A488" s="29"/>
      <c r="B488" s="29"/>
      <c r="C488" s="29"/>
    </row>
    <row r="489" ht="14.25" customHeight="1">
      <c r="A489" s="29"/>
      <c r="B489" s="29"/>
      <c r="C489" s="29"/>
    </row>
    <row r="490" ht="14.25" customHeight="1">
      <c r="A490" s="29"/>
      <c r="B490" s="29"/>
      <c r="C490" s="29"/>
    </row>
    <row r="491" ht="14.25" customHeight="1">
      <c r="A491" s="29"/>
      <c r="B491" s="29"/>
      <c r="C491" s="29"/>
    </row>
    <row r="492" ht="14.25" customHeight="1">
      <c r="A492" s="29"/>
      <c r="B492" s="29"/>
      <c r="C492" s="29"/>
    </row>
    <row r="493" ht="14.25" customHeight="1">
      <c r="A493" s="29"/>
      <c r="B493" s="29"/>
      <c r="C493" s="29"/>
    </row>
    <row r="494" ht="14.25" customHeight="1">
      <c r="A494" s="29"/>
      <c r="B494" s="29"/>
      <c r="C494" s="29"/>
    </row>
    <row r="495" ht="14.25" customHeight="1">
      <c r="A495" s="29"/>
      <c r="B495" s="29"/>
      <c r="C495" s="29"/>
    </row>
    <row r="496" ht="14.25" customHeight="1">
      <c r="A496" s="29"/>
      <c r="B496" s="29"/>
      <c r="C496" s="29"/>
    </row>
    <row r="497" ht="14.25" customHeight="1">
      <c r="A497" s="29"/>
      <c r="B497" s="29"/>
      <c r="C497" s="29"/>
    </row>
    <row r="498" ht="14.25" customHeight="1">
      <c r="A498" s="29"/>
      <c r="B498" s="29"/>
      <c r="C498" s="29"/>
    </row>
    <row r="499" ht="14.25" customHeight="1">
      <c r="A499" s="29"/>
      <c r="B499" s="29"/>
      <c r="C499" s="29"/>
    </row>
    <row r="500" ht="14.25" customHeight="1">
      <c r="A500" s="29"/>
      <c r="B500" s="29"/>
      <c r="C500" s="29"/>
    </row>
    <row r="501" ht="14.25" customHeight="1">
      <c r="A501" s="29"/>
      <c r="B501" s="29"/>
      <c r="C501" s="29"/>
    </row>
    <row r="502" ht="14.25" customHeight="1">
      <c r="A502" s="29"/>
      <c r="B502" s="29"/>
      <c r="C502" s="29"/>
    </row>
    <row r="503" ht="14.25" customHeight="1">
      <c r="A503" s="29"/>
      <c r="B503" s="29"/>
      <c r="C503" s="29"/>
    </row>
    <row r="504" ht="14.25" customHeight="1">
      <c r="A504" s="29"/>
      <c r="B504" s="29"/>
      <c r="C504" s="29"/>
    </row>
    <row r="505" ht="14.25" customHeight="1">
      <c r="A505" s="29"/>
      <c r="B505" s="29"/>
      <c r="C505" s="29"/>
    </row>
    <row r="506" ht="14.25" customHeight="1">
      <c r="A506" s="29"/>
      <c r="B506" s="29"/>
      <c r="C506" s="29"/>
    </row>
    <row r="507" ht="14.25" customHeight="1">
      <c r="A507" s="29"/>
      <c r="B507" s="29"/>
      <c r="C507" s="29"/>
    </row>
    <row r="508" ht="14.25" customHeight="1">
      <c r="A508" s="29"/>
      <c r="B508" s="29"/>
      <c r="C508" s="29"/>
    </row>
    <row r="509" ht="14.25" customHeight="1">
      <c r="A509" s="29"/>
      <c r="B509" s="29"/>
      <c r="C509" s="29"/>
    </row>
    <row r="510" ht="14.25" customHeight="1">
      <c r="A510" s="29"/>
      <c r="B510" s="29"/>
      <c r="C510" s="29"/>
    </row>
    <row r="511" ht="14.25" customHeight="1">
      <c r="A511" s="29"/>
      <c r="B511" s="29"/>
      <c r="C511" s="29"/>
    </row>
    <row r="512" ht="14.25" customHeight="1">
      <c r="A512" s="29"/>
      <c r="B512" s="29"/>
      <c r="C512" s="29"/>
    </row>
    <row r="513" ht="14.25" customHeight="1">
      <c r="A513" s="29"/>
      <c r="B513" s="29"/>
      <c r="C513" s="29"/>
    </row>
    <row r="514" ht="14.25" customHeight="1">
      <c r="A514" s="29"/>
      <c r="B514" s="29"/>
      <c r="C514" s="29"/>
    </row>
    <row r="515" ht="14.25" customHeight="1">
      <c r="A515" s="29"/>
      <c r="B515" s="29"/>
      <c r="C515" s="29"/>
    </row>
    <row r="516" ht="14.25" customHeight="1">
      <c r="A516" s="29"/>
      <c r="B516" s="29"/>
      <c r="C516" s="29"/>
    </row>
    <row r="517" ht="14.25" customHeight="1">
      <c r="A517" s="29"/>
      <c r="B517" s="29"/>
      <c r="C517" s="29"/>
    </row>
    <row r="518" ht="14.25" customHeight="1">
      <c r="A518" s="29"/>
      <c r="B518" s="29"/>
      <c r="C518" s="29"/>
    </row>
    <row r="519" ht="14.25" customHeight="1">
      <c r="A519" s="29"/>
      <c r="B519" s="29"/>
      <c r="C519" s="29"/>
    </row>
    <row r="520" ht="14.25" customHeight="1">
      <c r="A520" s="29"/>
      <c r="B520" s="29"/>
      <c r="C520" s="29"/>
    </row>
    <row r="521" ht="14.25" customHeight="1">
      <c r="A521" s="29"/>
      <c r="B521" s="29"/>
      <c r="C521" s="29"/>
    </row>
    <row r="522" ht="14.25" customHeight="1">
      <c r="A522" s="29"/>
      <c r="B522" s="29"/>
      <c r="C522" s="29"/>
    </row>
    <row r="523" ht="14.25" customHeight="1">
      <c r="A523" s="29"/>
      <c r="B523" s="29"/>
      <c r="C523" s="29"/>
    </row>
    <row r="524" ht="14.25" customHeight="1">
      <c r="A524" s="29"/>
      <c r="B524" s="29"/>
      <c r="C524" s="29"/>
    </row>
    <row r="525" ht="14.25" customHeight="1">
      <c r="A525" s="29"/>
      <c r="B525" s="29"/>
      <c r="C525" s="29"/>
    </row>
    <row r="526" ht="14.25" customHeight="1">
      <c r="A526" s="29"/>
      <c r="B526" s="29"/>
      <c r="C526" s="29"/>
    </row>
    <row r="527" ht="14.25" customHeight="1">
      <c r="A527" s="29"/>
      <c r="B527" s="29"/>
      <c r="C527" s="29"/>
    </row>
    <row r="528" ht="14.25" customHeight="1">
      <c r="A528" s="29"/>
      <c r="B528" s="29"/>
      <c r="C528" s="29"/>
    </row>
    <row r="529" ht="14.25" customHeight="1">
      <c r="A529" s="29"/>
      <c r="B529" s="29"/>
      <c r="C529" s="29"/>
    </row>
    <row r="530" ht="14.25" customHeight="1">
      <c r="A530" s="29"/>
      <c r="B530" s="29"/>
      <c r="C530" s="29"/>
    </row>
    <row r="531" ht="14.25" customHeight="1">
      <c r="A531" s="29"/>
      <c r="B531" s="29"/>
      <c r="C531" s="29"/>
    </row>
    <row r="532" ht="14.25" customHeight="1">
      <c r="A532" s="29"/>
      <c r="B532" s="29"/>
      <c r="C532" s="29"/>
    </row>
    <row r="533" ht="14.25" customHeight="1">
      <c r="A533" s="29"/>
      <c r="B533" s="29"/>
      <c r="C533" s="29"/>
    </row>
    <row r="534" ht="14.25" customHeight="1">
      <c r="A534" s="29"/>
      <c r="B534" s="29"/>
      <c r="C534" s="29"/>
    </row>
    <row r="535" ht="14.25" customHeight="1">
      <c r="A535" s="29"/>
      <c r="B535" s="29"/>
      <c r="C535" s="29"/>
    </row>
    <row r="536" ht="14.25" customHeight="1">
      <c r="A536" s="29"/>
      <c r="B536" s="29"/>
      <c r="C536" s="29"/>
    </row>
    <row r="537" ht="14.25" customHeight="1">
      <c r="A537" s="29"/>
      <c r="B537" s="29"/>
      <c r="C537" s="29"/>
    </row>
    <row r="538" ht="14.25" customHeight="1">
      <c r="A538" s="29"/>
      <c r="B538" s="29"/>
      <c r="C538" s="29"/>
    </row>
    <row r="539" ht="14.25" customHeight="1">
      <c r="A539" s="29"/>
      <c r="B539" s="29"/>
      <c r="C539" s="29"/>
    </row>
    <row r="540" ht="14.25" customHeight="1">
      <c r="A540" s="29"/>
      <c r="B540" s="29"/>
      <c r="C540" s="29"/>
    </row>
    <row r="541" ht="14.25" customHeight="1">
      <c r="A541" s="29"/>
      <c r="B541" s="29"/>
      <c r="C541" s="29"/>
    </row>
    <row r="542" ht="14.25" customHeight="1">
      <c r="A542" s="29"/>
      <c r="B542" s="29"/>
      <c r="C542" s="29"/>
    </row>
    <row r="543" ht="14.25" customHeight="1">
      <c r="A543" s="29"/>
      <c r="B543" s="29"/>
      <c r="C543" s="29"/>
    </row>
    <row r="544" ht="14.25" customHeight="1">
      <c r="A544" s="29"/>
      <c r="B544" s="29"/>
      <c r="C544" s="29"/>
    </row>
    <row r="545" ht="14.25" customHeight="1">
      <c r="A545" s="29"/>
      <c r="B545" s="29"/>
      <c r="C545" s="29"/>
    </row>
    <row r="546" ht="14.25" customHeight="1">
      <c r="A546" s="29"/>
      <c r="B546" s="29"/>
      <c r="C546" s="29"/>
    </row>
    <row r="547" ht="14.25" customHeight="1">
      <c r="A547" s="29"/>
      <c r="B547" s="29"/>
      <c r="C547" s="29"/>
    </row>
    <row r="548" ht="14.25" customHeight="1">
      <c r="A548" s="29"/>
      <c r="B548" s="29"/>
      <c r="C548" s="29"/>
    </row>
    <row r="549" ht="14.25" customHeight="1">
      <c r="A549" s="29"/>
      <c r="B549" s="29"/>
      <c r="C549" s="29"/>
    </row>
    <row r="550" ht="14.25" customHeight="1">
      <c r="A550" s="29"/>
      <c r="B550" s="29"/>
      <c r="C550" s="29"/>
    </row>
    <row r="551" ht="14.25" customHeight="1">
      <c r="A551" s="29"/>
      <c r="B551" s="29"/>
      <c r="C551" s="29"/>
    </row>
    <row r="552" ht="14.25" customHeight="1">
      <c r="A552" s="29"/>
      <c r="B552" s="29"/>
      <c r="C552" s="29"/>
    </row>
    <row r="553" ht="14.25" customHeight="1">
      <c r="A553" s="29"/>
      <c r="B553" s="29"/>
      <c r="C553" s="29"/>
    </row>
    <row r="554" ht="14.25" customHeight="1">
      <c r="A554" s="29"/>
      <c r="B554" s="29"/>
      <c r="C554" s="29"/>
    </row>
    <row r="555" ht="14.25" customHeight="1">
      <c r="A555" s="29"/>
      <c r="B555" s="29"/>
      <c r="C555" s="29"/>
    </row>
    <row r="556" ht="14.25" customHeight="1">
      <c r="A556" s="29"/>
      <c r="B556" s="29"/>
      <c r="C556" s="29"/>
    </row>
    <row r="557" ht="14.25" customHeight="1">
      <c r="A557" s="29"/>
      <c r="B557" s="29"/>
      <c r="C557" s="29"/>
    </row>
    <row r="558" ht="14.25" customHeight="1">
      <c r="A558" s="29"/>
      <c r="B558" s="29"/>
      <c r="C558" s="29"/>
    </row>
    <row r="559" ht="14.25" customHeight="1">
      <c r="A559" s="29"/>
      <c r="B559" s="29"/>
      <c r="C559" s="29"/>
    </row>
    <row r="560" ht="14.25" customHeight="1">
      <c r="A560" s="29"/>
      <c r="B560" s="29"/>
      <c r="C560" s="29"/>
    </row>
    <row r="561" ht="14.25" customHeight="1">
      <c r="A561" s="29"/>
      <c r="B561" s="29"/>
      <c r="C561" s="29"/>
    </row>
    <row r="562" ht="14.25" customHeight="1">
      <c r="A562" s="29"/>
      <c r="B562" s="29"/>
      <c r="C562" s="29"/>
    </row>
    <row r="563" ht="14.25" customHeight="1">
      <c r="A563" s="29"/>
      <c r="B563" s="29"/>
      <c r="C563" s="29"/>
    </row>
    <row r="564" ht="14.25" customHeight="1">
      <c r="A564" s="29"/>
      <c r="B564" s="29"/>
      <c r="C564" s="29"/>
    </row>
    <row r="565" ht="14.25" customHeight="1">
      <c r="A565" s="29"/>
      <c r="B565" s="29"/>
      <c r="C565" s="29"/>
    </row>
    <row r="566" ht="14.25" customHeight="1">
      <c r="A566" s="29"/>
      <c r="B566" s="29"/>
      <c r="C566" s="29"/>
    </row>
    <row r="567" ht="14.25" customHeight="1">
      <c r="A567" s="29"/>
      <c r="B567" s="29"/>
      <c r="C567" s="29"/>
    </row>
    <row r="568" ht="14.25" customHeight="1">
      <c r="A568" s="29"/>
      <c r="B568" s="29"/>
      <c r="C568" s="29"/>
    </row>
    <row r="569" ht="14.25" customHeight="1">
      <c r="A569" s="29"/>
      <c r="B569" s="29"/>
      <c r="C569" s="29"/>
    </row>
    <row r="570" ht="14.25" customHeight="1">
      <c r="A570" s="29"/>
      <c r="B570" s="29"/>
      <c r="C570" s="29"/>
    </row>
    <row r="571" ht="14.25" customHeight="1">
      <c r="A571" s="29"/>
      <c r="B571" s="29"/>
      <c r="C571" s="29"/>
    </row>
    <row r="572" ht="14.25" customHeight="1">
      <c r="A572" s="29"/>
      <c r="B572" s="29"/>
      <c r="C572" s="29"/>
    </row>
    <row r="573" ht="14.25" customHeight="1">
      <c r="A573" s="29"/>
      <c r="B573" s="29"/>
      <c r="C573" s="29"/>
    </row>
    <row r="574" ht="14.25" customHeight="1">
      <c r="A574" s="29"/>
      <c r="B574" s="29"/>
      <c r="C574" s="29"/>
    </row>
    <row r="575" ht="14.25" customHeight="1">
      <c r="A575" s="29"/>
      <c r="B575" s="29"/>
      <c r="C575" s="29"/>
    </row>
    <row r="576" ht="14.25" customHeight="1">
      <c r="A576" s="29"/>
      <c r="B576" s="29"/>
      <c r="C576" s="29"/>
    </row>
    <row r="577" ht="14.25" customHeight="1">
      <c r="A577" s="29"/>
      <c r="B577" s="29"/>
      <c r="C577" s="29"/>
    </row>
    <row r="578" ht="14.25" customHeight="1">
      <c r="A578" s="29"/>
      <c r="B578" s="29"/>
      <c r="C578" s="29"/>
    </row>
    <row r="579" ht="14.25" customHeight="1">
      <c r="A579" s="29"/>
      <c r="B579" s="29"/>
      <c r="C579" s="29"/>
    </row>
    <row r="580" ht="14.25" customHeight="1">
      <c r="A580" s="29"/>
      <c r="B580" s="29"/>
      <c r="C580" s="29"/>
    </row>
    <row r="581" ht="14.25" customHeight="1">
      <c r="A581" s="29"/>
      <c r="B581" s="29"/>
      <c r="C581" s="29"/>
    </row>
    <row r="582" ht="14.25" customHeight="1">
      <c r="A582" s="29"/>
      <c r="B582" s="29"/>
      <c r="C582" s="29"/>
    </row>
    <row r="583" ht="14.25" customHeight="1">
      <c r="A583" s="29"/>
      <c r="B583" s="29"/>
      <c r="C583" s="29"/>
    </row>
    <row r="584" ht="14.25" customHeight="1">
      <c r="A584" s="29"/>
      <c r="B584" s="29"/>
      <c r="C584" s="29"/>
    </row>
    <row r="585" ht="14.25" customHeight="1">
      <c r="A585" s="29"/>
      <c r="B585" s="29"/>
      <c r="C585" s="29"/>
    </row>
    <row r="586" ht="14.25" customHeight="1">
      <c r="A586" s="29"/>
      <c r="B586" s="29"/>
      <c r="C586" s="29"/>
    </row>
    <row r="587" ht="14.25" customHeight="1">
      <c r="A587" s="29"/>
      <c r="B587" s="29"/>
      <c r="C587" s="29"/>
    </row>
    <row r="588" ht="14.25" customHeight="1">
      <c r="A588" s="29"/>
      <c r="B588" s="29"/>
      <c r="C588" s="29"/>
    </row>
    <row r="589" ht="14.25" customHeight="1">
      <c r="A589" s="29"/>
      <c r="B589" s="29"/>
      <c r="C589" s="29"/>
    </row>
    <row r="590" ht="14.25" customHeight="1">
      <c r="A590" s="29"/>
      <c r="B590" s="29"/>
      <c r="C590" s="29"/>
    </row>
    <row r="591" ht="14.25" customHeight="1">
      <c r="A591" s="29"/>
      <c r="B591" s="29"/>
      <c r="C591" s="29"/>
    </row>
    <row r="592" ht="14.25" customHeight="1">
      <c r="A592" s="29"/>
      <c r="B592" s="29"/>
      <c r="C592" s="29"/>
    </row>
    <row r="593" ht="14.25" customHeight="1">
      <c r="A593" s="29"/>
      <c r="B593" s="29"/>
      <c r="C593" s="29"/>
    </row>
    <row r="594" ht="14.25" customHeight="1">
      <c r="A594" s="29"/>
      <c r="B594" s="29"/>
      <c r="C594" s="29"/>
    </row>
    <row r="595" ht="14.25" customHeight="1">
      <c r="A595" s="29"/>
      <c r="B595" s="29"/>
      <c r="C595" s="29"/>
    </row>
    <row r="596" ht="14.25" customHeight="1">
      <c r="A596" s="29"/>
      <c r="B596" s="29"/>
      <c r="C596" s="29"/>
    </row>
    <row r="597" ht="14.25" customHeight="1">
      <c r="A597" s="29"/>
      <c r="B597" s="29"/>
      <c r="C597" s="29"/>
    </row>
    <row r="598" ht="14.25" customHeight="1">
      <c r="A598" s="29"/>
      <c r="B598" s="29"/>
      <c r="C598" s="29"/>
    </row>
    <row r="599" ht="14.25" customHeight="1">
      <c r="A599" s="29"/>
      <c r="B599" s="29"/>
      <c r="C599" s="29"/>
    </row>
    <row r="600" ht="14.25" customHeight="1">
      <c r="A600" s="29"/>
      <c r="B600" s="29"/>
      <c r="C600" s="29"/>
    </row>
    <row r="601" ht="14.25" customHeight="1">
      <c r="A601" s="29"/>
      <c r="B601" s="29"/>
      <c r="C601" s="29"/>
    </row>
    <row r="602" ht="14.25" customHeight="1">
      <c r="A602" s="29"/>
      <c r="B602" s="29"/>
      <c r="C602" s="29"/>
    </row>
    <row r="603" ht="14.25" customHeight="1">
      <c r="A603" s="29"/>
      <c r="B603" s="29"/>
      <c r="C603" s="29"/>
    </row>
    <row r="604" ht="14.25" customHeight="1">
      <c r="A604" s="29"/>
      <c r="B604" s="29"/>
      <c r="C604" s="29"/>
    </row>
    <row r="605" ht="14.25" customHeight="1">
      <c r="A605" s="29"/>
      <c r="B605" s="29"/>
      <c r="C605" s="29"/>
    </row>
    <row r="606" ht="14.25" customHeight="1">
      <c r="A606" s="29"/>
      <c r="B606" s="29"/>
      <c r="C606" s="29"/>
    </row>
    <row r="607" ht="14.25" customHeight="1">
      <c r="A607" s="29"/>
      <c r="B607" s="29"/>
      <c r="C607" s="29"/>
    </row>
    <row r="608" ht="14.25" customHeight="1">
      <c r="A608" s="29"/>
      <c r="B608" s="29"/>
      <c r="C608" s="29"/>
    </row>
    <row r="609" ht="14.25" customHeight="1">
      <c r="A609" s="29"/>
      <c r="B609" s="29"/>
      <c r="C609" s="29"/>
    </row>
    <row r="610" ht="14.25" customHeight="1">
      <c r="A610" s="29"/>
      <c r="B610" s="29"/>
      <c r="C610" s="29"/>
    </row>
    <row r="611" ht="14.25" customHeight="1">
      <c r="A611" s="29"/>
      <c r="B611" s="29"/>
      <c r="C611" s="29"/>
    </row>
    <row r="612" ht="14.25" customHeight="1">
      <c r="A612" s="29"/>
      <c r="B612" s="29"/>
      <c r="C612" s="29"/>
    </row>
    <row r="613" ht="14.25" customHeight="1">
      <c r="A613" s="29"/>
      <c r="B613" s="29"/>
      <c r="C613" s="29"/>
    </row>
    <row r="614" ht="14.25" customHeight="1">
      <c r="A614" s="29"/>
      <c r="B614" s="29"/>
      <c r="C614" s="29"/>
    </row>
    <row r="615" ht="14.25" customHeight="1">
      <c r="A615" s="29"/>
      <c r="B615" s="29"/>
      <c r="C615" s="29"/>
    </row>
    <row r="616" ht="14.25" customHeight="1">
      <c r="A616" s="29"/>
      <c r="B616" s="29"/>
      <c r="C616" s="29"/>
    </row>
    <row r="617" ht="14.25" customHeight="1">
      <c r="A617" s="29"/>
      <c r="B617" s="29"/>
      <c r="C617" s="29"/>
    </row>
    <row r="618" ht="14.25" customHeight="1">
      <c r="A618" s="29"/>
      <c r="B618" s="29"/>
      <c r="C618" s="29"/>
    </row>
    <row r="619" ht="14.25" customHeight="1">
      <c r="A619" s="29"/>
      <c r="B619" s="29"/>
      <c r="C619" s="29"/>
    </row>
    <row r="620" ht="14.25" customHeight="1">
      <c r="A620" s="29"/>
      <c r="B620" s="29"/>
      <c r="C620" s="29"/>
    </row>
    <row r="621" ht="14.25" customHeight="1">
      <c r="A621" s="29"/>
      <c r="B621" s="29"/>
      <c r="C621" s="29"/>
    </row>
    <row r="622" ht="14.25" customHeight="1">
      <c r="A622" s="29"/>
      <c r="B622" s="29"/>
      <c r="C622" s="29"/>
    </row>
    <row r="623" ht="14.25" customHeight="1">
      <c r="A623" s="29"/>
      <c r="B623" s="29"/>
      <c r="C623" s="29"/>
    </row>
    <row r="624" ht="14.25" customHeight="1">
      <c r="A624" s="29"/>
      <c r="B624" s="29"/>
      <c r="C624" s="29"/>
    </row>
    <row r="625" ht="14.25" customHeight="1">
      <c r="A625" s="29"/>
      <c r="B625" s="29"/>
      <c r="C625" s="29"/>
    </row>
    <row r="626" ht="14.25" customHeight="1">
      <c r="A626" s="29"/>
      <c r="B626" s="29"/>
      <c r="C626" s="29"/>
    </row>
    <row r="627" ht="14.25" customHeight="1">
      <c r="A627" s="29"/>
      <c r="B627" s="29"/>
      <c r="C627" s="29"/>
    </row>
    <row r="628" ht="14.25" customHeight="1">
      <c r="A628" s="29"/>
      <c r="B628" s="29"/>
      <c r="C628" s="29"/>
    </row>
    <row r="629" ht="14.25" customHeight="1">
      <c r="A629" s="29"/>
      <c r="B629" s="29"/>
      <c r="C629" s="29"/>
    </row>
    <row r="630" ht="14.25" customHeight="1">
      <c r="A630" s="29"/>
      <c r="B630" s="29"/>
      <c r="C630" s="29"/>
    </row>
    <row r="631" ht="14.25" customHeight="1">
      <c r="A631" s="29"/>
      <c r="B631" s="29"/>
      <c r="C631" s="29"/>
    </row>
    <row r="632" ht="14.25" customHeight="1">
      <c r="A632" s="29"/>
      <c r="B632" s="29"/>
      <c r="C632" s="29"/>
    </row>
    <row r="633" ht="14.25" customHeight="1">
      <c r="A633" s="29"/>
      <c r="B633" s="29"/>
      <c r="C633" s="29"/>
    </row>
    <row r="634" ht="14.25" customHeight="1">
      <c r="A634" s="29"/>
      <c r="B634" s="29"/>
      <c r="C634" s="29"/>
    </row>
    <row r="635" ht="14.25" customHeight="1">
      <c r="A635" s="29"/>
      <c r="B635" s="29"/>
      <c r="C635" s="29"/>
    </row>
    <row r="636" ht="14.25" customHeight="1">
      <c r="A636" s="29"/>
      <c r="B636" s="29"/>
      <c r="C636" s="29"/>
    </row>
    <row r="637" ht="14.25" customHeight="1">
      <c r="A637" s="29"/>
      <c r="B637" s="29"/>
      <c r="C637" s="29"/>
    </row>
    <row r="638" ht="14.25" customHeight="1">
      <c r="A638" s="29"/>
      <c r="B638" s="29"/>
      <c r="C638" s="29"/>
    </row>
    <row r="639" ht="14.25" customHeight="1">
      <c r="A639" s="29"/>
      <c r="B639" s="29"/>
      <c r="C639" s="29"/>
    </row>
    <row r="640" ht="14.25" customHeight="1">
      <c r="A640" s="29"/>
      <c r="B640" s="29"/>
      <c r="C640" s="29"/>
    </row>
    <row r="641" ht="14.25" customHeight="1">
      <c r="A641" s="29"/>
      <c r="B641" s="29"/>
      <c r="C641" s="29"/>
    </row>
    <row r="642" ht="14.25" customHeight="1">
      <c r="A642" s="29"/>
      <c r="B642" s="29"/>
      <c r="C642" s="29"/>
    </row>
    <row r="643" ht="14.25" customHeight="1">
      <c r="A643" s="29"/>
      <c r="B643" s="29"/>
      <c r="C643" s="29"/>
    </row>
    <row r="644" ht="14.25" customHeight="1">
      <c r="A644" s="29"/>
      <c r="B644" s="29"/>
      <c r="C644" s="29"/>
    </row>
    <row r="645" ht="14.25" customHeight="1">
      <c r="A645" s="29"/>
      <c r="B645" s="29"/>
      <c r="C645" s="29"/>
    </row>
    <row r="646" ht="14.25" customHeight="1">
      <c r="A646" s="29"/>
      <c r="B646" s="29"/>
      <c r="C646" s="29"/>
    </row>
    <row r="647" ht="14.25" customHeight="1">
      <c r="A647" s="29"/>
      <c r="B647" s="29"/>
      <c r="C647" s="29"/>
    </row>
    <row r="648" ht="14.25" customHeight="1">
      <c r="A648" s="29"/>
      <c r="B648" s="29"/>
      <c r="C648" s="29"/>
    </row>
    <row r="649" ht="14.25" customHeight="1">
      <c r="A649" s="29"/>
      <c r="B649" s="29"/>
      <c r="C649" s="29"/>
    </row>
    <row r="650" ht="14.25" customHeight="1">
      <c r="A650" s="29"/>
      <c r="B650" s="29"/>
      <c r="C650" s="29"/>
    </row>
    <row r="651" ht="14.25" customHeight="1">
      <c r="A651" s="29"/>
      <c r="B651" s="29"/>
      <c r="C651" s="29"/>
    </row>
    <row r="652" ht="14.25" customHeight="1">
      <c r="A652" s="29"/>
      <c r="B652" s="29"/>
      <c r="C652" s="29"/>
    </row>
    <row r="653" ht="14.25" customHeight="1">
      <c r="A653" s="29"/>
      <c r="B653" s="29"/>
      <c r="C653" s="29"/>
    </row>
    <row r="654" ht="14.25" customHeight="1">
      <c r="A654" s="29"/>
      <c r="B654" s="29"/>
      <c r="C654" s="29"/>
    </row>
    <row r="655" ht="14.25" customHeight="1">
      <c r="A655" s="29"/>
      <c r="B655" s="29"/>
      <c r="C655" s="29"/>
    </row>
    <row r="656" ht="14.25" customHeight="1">
      <c r="A656" s="29"/>
      <c r="B656" s="29"/>
      <c r="C656" s="29"/>
    </row>
    <row r="657" ht="14.25" customHeight="1">
      <c r="A657" s="29"/>
      <c r="B657" s="29"/>
      <c r="C657" s="29"/>
    </row>
    <row r="658" ht="14.25" customHeight="1">
      <c r="A658" s="29"/>
      <c r="B658" s="29"/>
      <c r="C658" s="29"/>
    </row>
    <row r="659" ht="14.25" customHeight="1">
      <c r="A659" s="29"/>
      <c r="B659" s="29"/>
      <c r="C659" s="29"/>
    </row>
    <row r="660" ht="14.25" customHeight="1">
      <c r="A660" s="29"/>
      <c r="B660" s="29"/>
      <c r="C660" s="29"/>
    </row>
    <row r="661" ht="14.25" customHeight="1">
      <c r="A661" s="29"/>
      <c r="B661" s="29"/>
      <c r="C661" s="29"/>
    </row>
    <row r="662" ht="14.25" customHeight="1">
      <c r="A662" s="29"/>
      <c r="B662" s="29"/>
      <c r="C662" s="29"/>
    </row>
    <row r="663" ht="14.25" customHeight="1">
      <c r="A663" s="29"/>
      <c r="B663" s="29"/>
      <c r="C663" s="29"/>
    </row>
    <row r="664" ht="14.25" customHeight="1">
      <c r="A664" s="29"/>
      <c r="B664" s="29"/>
      <c r="C664" s="29"/>
    </row>
    <row r="665" ht="14.25" customHeight="1">
      <c r="A665" s="29"/>
      <c r="B665" s="29"/>
      <c r="C665" s="29"/>
    </row>
    <row r="666" ht="14.25" customHeight="1">
      <c r="A666" s="29"/>
      <c r="B666" s="29"/>
      <c r="C666" s="29"/>
    </row>
    <row r="667" ht="14.25" customHeight="1">
      <c r="A667" s="29"/>
      <c r="B667" s="29"/>
      <c r="C667" s="29"/>
    </row>
    <row r="668" ht="14.25" customHeight="1">
      <c r="A668" s="29"/>
      <c r="B668" s="29"/>
      <c r="C668" s="29"/>
    </row>
    <row r="669" ht="14.25" customHeight="1">
      <c r="A669" s="29"/>
      <c r="B669" s="29"/>
      <c r="C669" s="29"/>
    </row>
    <row r="670" ht="14.25" customHeight="1">
      <c r="A670" s="29"/>
      <c r="B670" s="29"/>
      <c r="C670" s="29"/>
    </row>
    <row r="671" ht="14.25" customHeight="1">
      <c r="A671" s="29"/>
      <c r="B671" s="29"/>
      <c r="C671" s="29"/>
    </row>
    <row r="672" ht="14.25" customHeight="1">
      <c r="A672" s="29"/>
      <c r="B672" s="29"/>
      <c r="C672" s="29"/>
    </row>
    <row r="673" ht="14.25" customHeight="1">
      <c r="A673" s="29"/>
      <c r="B673" s="29"/>
      <c r="C673" s="29"/>
    </row>
    <row r="674" ht="14.25" customHeight="1">
      <c r="A674" s="29"/>
      <c r="B674" s="29"/>
      <c r="C674" s="29"/>
    </row>
    <row r="675" ht="14.25" customHeight="1">
      <c r="A675" s="29"/>
      <c r="B675" s="29"/>
      <c r="C675" s="29"/>
    </row>
    <row r="676" ht="14.25" customHeight="1">
      <c r="A676" s="29"/>
      <c r="B676" s="29"/>
      <c r="C676" s="29"/>
    </row>
    <row r="677" ht="14.25" customHeight="1">
      <c r="A677" s="29"/>
      <c r="B677" s="29"/>
      <c r="C677" s="29"/>
    </row>
    <row r="678" ht="14.25" customHeight="1">
      <c r="A678" s="29"/>
      <c r="B678" s="29"/>
      <c r="C678" s="29"/>
    </row>
    <row r="679" ht="14.25" customHeight="1">
      <c r="A679" s="29"/>
      <c r="B679" s="29"/>
      <c r="C679" s="29"/>
    </row>
    <row r="680" ht="14.25" customHeight="1">
      <c r="A680" s="29"/>
      <c r="B680" s="29"/>
      <c r="C680" s="29"/>
    </row>
    <row r="681" ht="14.25" customHeight="1">
      <c r="A681" s="29"/>
      <c r="B681" s="29"/>
      <c r="C681" s="29"/>
    </row>
    <row r="682" ht="14.25" customHeight="1">
      <c r="A682" s="29"/>
      <c r="B682" s="29"/>
      <c r="C682" s="29"/>
    </row>
    <row r="683" ht="14.25" customHeight="1">
      <c r="A683" s="29"/>
      <c r="B683" s="29"/>
      <c r="C683" s="29"/>
    </row>
    <row r="684" ht="14.25" customHeight="1">
      <c r="A684" s="29"/>
      <c r="B684" s="29"/>
      <c r="C684" s="29"/>
    </row>
    <row r="685" ht="14.25" customHeight="1">
      <c r="A685" s="29"/>
      <c r="B685" s="29"/>
      <c r="C685" s="29"/>
    </row>
    <row r="686" ht="14.25" customHeight="1">
      <c r="A686" s="29"/>
      <c r="B686" s="29"/>
      <c r="C686" s="29"/>
    </row>
    <row r="687" ht="14.25" customHeight="1">
      <c r="A687" s="29"/>
      <c r="B687" s="29"/>
      <c r="C687" s="29"/>
    </row>
    <row r="688" ht="14.25" customHeight="1">
      <c r="A688" s="29"/>
      <c r="B688" s="29"/>
      <c r="C688" s="29"/>
    </row>
    <row r="689" ht="14.25" customHeight="1">
      <c r="A689" s="29"/>
      <c r="B689" s="29"/>
      <c r="C689" s="29"/>
    </row>
    <row r="690" ht="14.25" customHeight="1">
      <c r="A690" s="29"/>
      <c r="B690" s="29"/>
      <c r="C690" s="29"/>
    </row>
    <row r="691" ht="14.25" customHeight="1">
      <c r="A691" s="29"/>
      <c r="B691" s="29"/>
      <c r="C691" s="29"/>
    </row>
    <row r="692" ht="14.25" customHeight="1">
      <c r="A692" s="29"/>
      <c r="B692" s="29"/>
      <c r="C692" s="29"/>
    </row>
    <row r="693" ht="14.25" customHeight="1">
      <c r="A693" s="29"/>
      <c r="B693" s="29"/>
      <c r="C693" s="29"/>
    </row>
    <row r="694" ht="14.25" customHeight="1">
      <c r="A694" s="29"/>
      <c r="B694" s="29"/>
      <c r="C694" s="29"/>
    </row>
    <row r="695" ht="14.25" customHeight="1">
      <c r="A695" s="29"/>
      <c r="B695" s="29"/>
      <c r="C695" s="29"/>
    </row>
    <row r="696" ht="14.25" customHeight="1">
      <c r="A696" s="29"/>
      <c r="B696" s="29"/>
      <c r="C696" s="29"/>
    </row>
    <row r="697" ht="14.25" customHeight="1">
      <c r="A697" s="29"/>
      <c r="B697" s="29"/>
      <c r="C697" s="29"/>
    </row>
    <row r="698" ht="14.25" customHeight="1">
      <c r="A698" s="29"/>
      <c r="B698" s="29"/>
      <c r="C698" s="29"/>
    </row>
    <row r="699" ht="14.25" customHeight="1">
      <c r="A699" s="29"/>
      <c r="B699" s="29"/>
      <c r="C699" s="29"/>
    </row>
    <row r="700" ht="14.25" customHeight="1">
      <c r="A700" s="29"/>
      <c r="B700" s="29"/>
      <c r="C700" s="29"/>
    </row>
    <row r="701" ht="14.25" customHeight="1">
      <c r="A701" s="29"/>
      <c r="B701" s="29"/>
      <c r="C701" s="29"/>
    </row>
    <row r="702" ht="14.25" customHeight="1">
      <c r="A702" s="29"/>
      <c r="B702" s="29"/>
      <c r="C702" s="29"/>
    </row>
    <row r="703" ht="14.25" customHeight="1">
      <c r="A703" s="29"/>
      <c r="B703" s="29"/>
      <c r="C703" s="29"/>
    </row>
    <row r="704" ht="14.25" customHeight="1">
      <c r="A704" s="29"/>
      <c r="B704" s="29"/>
      <c r="C704" s="29"/>
    </row>
    <row r="705" ht="14.25" customHeight="1">
      <c r="A705" s="29"/>
      <c r="B705" s="29"/>
      <c r="C705" s="29"/>
    </row>
    <row r="706" ht="14.25" customHeight="1">
      <c r="A706" s="29"/>
      <c r="B706" s="29"/>
      <c r="C706" s="29"/>
    </row>
    <row r="707" ht="14.25" customHeight="1">
      <c r="A707" s="29"/>
      <c r="B707" s="29"/>
      <c r="C707" s="29"/>
    </row>
    <row r="708" ht="14.25" customHeight="1">
      <c r="A708" s="29"/>
      <c r="B708" s="29"/>
      <c r="C708" s="29"/>
    </row>
    <row r="709" ht="14.25" customHeight="1">
      <c r="A709" s="29"/>
      <c r="B709" s="29"/>
      <c r="C709" s="29"/>
    </row>
    <row r="710" ht="14.25" customHeight="1">
      <c r="A710" s="29"/>
      <c r="B710" s="29"/>
      <c r="C710" s="29"/>
    </row>
    <row r="711" ht="14.25" customHeight="1">
      <c r="A711" s="29"/>
      <c r="B711" s="29"/>
      <c r="C711" s="29"/>
    </row>
    <row r="712" ht="14.25" customHeight="1">
      <c r="A712" s="29"/>
      <c r="B712" s="29"/>
      <c r="C712" s="29"/>
    </row>
    <row r="713" ht="14.25" customHeight="1">
      <c r="A713" s="29"/>
      <c r="B713" s="29"/>
      <c r="C713" s="29"/>
    </row>
    <row r="714" ht="14.25" customHeight="1">
      <c r="A714" s="29"/>
      <c r="B714" s="29"/>
      <c r="C714" s="29"/>
    </row>
    <row r="715" ht="14.25" customHeight="1">
      <c r="A715" s="29"/>
      <c r="B715" s="29"/>
      <c r="C715" s="29"/>
    </row>
    <row r="716" ht="14.25" customHeight="1">
      <c r="A716" s="29"/>
      <c r="B716" s="29"/>
      <c r="C716" s="29"/>
    </row>
    <row r="717" ht="14.25" customHeight="1">
      <c r="A717" s="29"/>
      <c r="B717" s="29"/>
      <c r="C717" s="29"/>
    </row>
    <row r="718" ht="14.25" customHeight="1">
      <c r="A718" s="29"/>
      <c r="B718" s="29"/>
      <c r="C718" s="29"/>
    </row>
    <row r="719" ht="14.25" customHeight="1">
      <c r="A719" s="29"/>
      <c r="B719" s="29"/>
      <c r="C719" s="29"/>
    </row>
    <row r="720" ht="14.25" customHeight="1">
      <c r="A720" s="29"/>
      <c r="B720" s="29"/>
      <c r="C720" s="29"/>
    </row>
    <row r="721" ht="14.25" customHeight="1">
      <c r="A721" s="29"/>
      <c r="B721" s="29"/>
      <c r="C721" s="29"/>
    </row>
    <row r="722" ht="14.25" customHeight="1">
      <c r="A722" s="29"/>
      <c r="B722" s="29"/>
      <c r="C722" s="29"/>
    </row>
    <row r="723" ht="14.25" customHeight="1">
      <c r="A723" s="29"/>
      <c r="B723" s="29"/>
      <c r="C723" s="29"/>
    </row>
    <row r="724" ht="14.25" customHeight="1">
      <c r="A724" s="29"/>
      <c r="B724" s="29"/>
      <c r="C724" s="29"/>
    </row>
    <row r="725" ht="14.25" customHeight="1">
      <c r="A725" s="29"/>
      <c r="B725" s="29"/>
      <c r="C725" s="29"/>
    </row>
    <row r="726" ht="14.25" customHeight="1">
      <c r="A726" s="29"/>
      <c r="B726" s="29"/>
      <c r="C726" s="29"/>
    </row>
    <row r="727" ht="14.25" customHeight="1">
      <c r="A727" s="29"/>
      <c r="B727" s="29"/>
      <c r="C727" s="29"/>
    </row>
    <row r="728" ht="14.25" customHeight="1">
      <c r="A728" s="29"/>
      <c r="B728" s="29"/>
      <c r="C728" s="29"/>
    </row>
    <row r="729" ht="14.25" customHeight="1">
      <c r="A729" s="29"/>
      <c r="B729" s="29"/>
      <c r="C729" s="29"/>
    </row>
    <row r="730" ht="14.25" customHeight="1">
      <c r="A730" s="29"/>
      <c r="B730" s="29"/>
      <c r="C730" s="29"/>
    </row>
    <row r="731" ht="14.25" customHeight="1">
      <c r="A731" s="29"/>
      <c r="B731" s="29"/>
      <c r="C731" s="29"/>
    </row>
    <row r="732" ht="14.25" customHeight="1">
      <c r="A732" s="29"/>
      <c r="B732" s="29"/>
      <c r="C732" s="29"/>
    </row>
    <row r="733" ht="14.25" customHeight="1">
      <c r="A733" s="29"/>
      <c r="B733" s="29"/>
      <c r="C733" s="29"/>
    </row>
    <row r="734" ht="14.25" customHeight="1">
      <c r="A734" s="29"/>
      <c r="B734" s="29"/>
      <c r="C734" s="29"/>
    </row>
    <row r="735" ht="14.25" customHeight="1">
      <c r="A735" s="29"/>
      <c r="B735" s="29"/>
      <c r="C735" s="29"/>
    </row>
    <row r="736" ht="14.25" customHeight="1">
      <c r="A736" s="29"/>
      <c r="B736" s="29"/>
      <c r="C736" s="29"/>
    </row>
    <row r="737" ht="14.25" customHeight="1">
      <c r="A737" s="29"/>
      <c r="B737" s="29"/>
      <c r="C737" s="29"/>
    </row>
    <row r="738" ht="14.25" customHeight="1">
      <c r="A738" s="29"/>
      <c r="B738" s="29"/>
      <c r="C738" s="29"/>
    </row>
    <row r="739" ht="14.25" customHeight="1">
      <c r="A739" s="29"/>
      <c r="B739" s="29"/>
      <c r="C739" s="29"/>
    </row>
    <row r="740" ht="14.25" customHeight="1">
      <c r="A740" s="29"/>
      <c r="B740" s="29"/>
      <c r="C740" s="29"/>
    </row>
    <row r="741" ht="14.25" customHeight="1">
      <c r="A741" s="29"/>
      <c r="B741" s="29"/>
      <c r="C741" s="29"/>
    </row>
    <row r="742" ht="14.25" customHeight="1">
      <c r="A742" s="29"/>
      <c r="B742" s="29"/>
      <c r="C742" s="29"/>
    </row>
    <row r="743" ht="14.25" customHeight="1">
      <c r="A743" s="29"/>
      <c r="B743" s="29"/>
      <c r="C743" s="29"/>
    </row>
    <row r="744" ht="14.25" customHeight="1">
      <c r="A744" s="29"/>
      <c r="B744" s="29"/>
      <c r="C744" s="29"/>
    </row>
    <row r="745" ht="14.25" customHeight="1">
      <c r="A745" s="29"/>
      <c r="B745" s="29"/>
      <c r="C745" s="29"/>
    </row>
    <row r="746" ht="14.25" customHeight="1">
      <c r="A746" s="29"/>
      <c r="B746" s="29"/>
      <c r="C746" s="29"/>
    </row>
    <row r="747" ht="14.25" customHeight="1">
      <c r="A747" s="29"/>
      <c r="B747" s="29"/>
      <c r="C747" s="29"/>
    </row>
    <row r="748" ht="14.25" customHeight="1">
      <c r="A748" s="29"/>
      <c r="B748" s="29"/>
      <c r="C748" s="29"/>
    </row>
    <row r="749" ht="14.25" customHeight="1">
      <c r="A749" s="29"/>
      <c r="B749" s="29"/>
      <c r="C749" s="29"/>
    </row>
    <row r="750" ht="14.25" customHeight="1">
      <c r="A750" s="29"/>
      <c r="B750" s="29"/>
      <c r="C750" s="29"/>
    </row>
    <row r="751" ht="14.25" customHeight="1">
      <c r="A751" s="29"/>
      <c r="B751" s="29"/>
      <c r="C751" s="29"/>
    </row>
    <row r="752" ht="14.25" customHeight="1">
      <c r="A752" s="29"/>
      <c r="B752" s="29"/>
      <c r="C752" s="29"/>
    </row>
    <row r="753" ht="14.25" customHeight="1">
      <c r="A753" s="29"/>
      <c r="B753" s="29"/>
      <c r="C753" s="29"/>
    </row>
    <row r="754" ht="14.25" customHeight="1">
      <c r="A754" s="29"/>
      <c r="B754" s="29"/>
      <c r="C754" s="29"/>
    </row>
    <row r="755" ht="14.25" customHeight="1">
      <c r="A755" s="29"/>
      <c r="B755" s="29"/>
      <c r="C755" s="29"/>
    </row>
    <row r="756" ht="14.25" customHeight="1">
      <c r="A756" s="29"/>
      <c r="B756" s="29"/>
      <c r="C756" s="29"/>
    </row>
    <row r="757" ht="14.25" customHeight="1">
      <c r="A757" s="29"/>
      <c r="B757" s="29"/>
      <c r="C757" s="29"/>
    </row>
    <row r="758" ht="14.25" customHeight="1">
      <c r="A758" s="29"/>
      <c r="B758" s="29"/>
      <c r="C758" s="29"/>
    </row>
    <row r="759" ht="14.25" customHeight="1">
      <c r="A759" s="29"/>
      <c r="B759" s="29"/>
      <c r="C759" s="29"/>
    </row>
    <row r="760" ht="14.25" customHeight="1">
      <c r="A760" s="29"/>
      <c r="B760" s="29"/>
      <c r="C760" s="29"/>
    </row>
    <row r="761" ht="14.25" customHeight="1">
      <c r="A761" s="29"/>
      <c r="B761" s="29"/>
      <c r="C761" s="29"/>
    </row>
    <row r="762" ht="14.25" customHeight="1">
      <c r="A762" s="29"/>
      <c r="B762" s="29"/>
      <c r="C762" s="29"/>
    </row>
    <row r="763" ht="14.25" customHeight="1">
      <c r="A763" s="29"/>
      <c r="B763" s="29"/>
      <c r="C763" s="29"/>
    </row>
    <row r="764" ht="14.25" customHeight="1">
      <c r="A764" s="29"/>
      <c r="B764" s="29"/>
      <c r="C764" s="29"/>
    </row>
    <row r="765" ht="14.25" customHeight="1">
      <c r="A765" s="29"/>
      <c r="B765" s="29"/>
      <c r="C765" s="29"/>
    </row>
    <row r="766" ht="14.25" customHeight="1">
      <c r="A766" s="29"/>
      <c r="B766" s="29"/>
      <c r="C766" s="29"/>
    </row>
    <row r="767" ht="14.25" customHeight="1">
      <c r="A767" s="29"/>
      <c r="B767" s="29"/>
      <c r="C767" s="29"/>
    </row>
    <row r="768" ht="14.25" customHeight="1">
      <c r="A768" s="29"/>
      <c r="B768" s="29"/>
      <c r="C768" s="29"/>
    </row>
    <row r="769" ht="14.25" customHeight="1">
      <c r="A769" s="29"/>
      <c r="B769" s="29"/>
      <c r="C769" s="29"/>
    </row>
    <row r="770" ht="14.25" customHeight="1">
      <c r="A770" s="29"/>
      <c r="B770" s="29"/>
      <c r="C770" s="29"/>
    </row>
    <row r="771" ht="14.25" customHeight="1">
      <c r="A771" s="29"/>
      <c r="B771" s="29"/>
      <c r="C771" s="29"/>
    </row>
    <row r="772" ht="14.25" customHeight="1">
      <c r="A772" s="29"/>
      <c r="B772" s="29"/>
      <c r="C772" s="29"/>
    </row>
    <row r="773" ht="14.25" customHeight="1">
      <c r="A773" s="29"/>
      <c r="B773" s="29"/>
      <c r="C773" s="29"/>
    </row>
    <row r="774" ht="14.25" customHeight="1">
      <c r="A774" s="29"/>
      <c r="B774" s="29"/>
      <c r="C774" s="29"/>
    </row>
    <row r="775" ht="14.25" customHeight="1">
      <c r="A775" s="29"/>
      <c r="B775" s="29"/>
      <c r="C775" s="29"/>
    </row>
    <row r="776" ht="14.25" customHeight="1">
      <c r="A776" s="29"/>
      <c r="B776" s="29"/>
      <c r="C776" s="29"/>
    </row>
    <row r="777" ht="14.25" customHeight="1">
      <c r="A777" s="29"/>
      <c r="B777" s="29"/>
      <c r="C777" s="29"/>
    </row>
    <row r="778" ht="14.25" customHeight="1">
      <c r="A778" s="29"/>
      <c r="B778" s="29"/>
      <c r="C778" s="29"/>
    </row>
    <row r="779" ht="14.25" customHeight="1">
      <c r="A779" s="29"/>
      <c r="B779" s="29"/>
      <c r="C779" s="29"/>
    </row>
    <row r="780" ht="14.25" customHeight="1">
      <c r="A780" s="29"/>
      <c r="B780" s="29"/>
      <c r="C780" s="29"/>
    </row>
    <row r="781" ht="14.25" customHeight="1">
      <c r="A781" s="29"/>
      <c r="B781" s="29"/>
      <c r="C781" s="29"/>
    </row>
    <row r="782" ht="14.25" customHeight="1">
      <c r="A782" s="29"/>
      <c r="B782" s="29"/>
      <c r="C782" s="29"/>
    </row>
    <row r="783" ht="14.25" customHeight="1">
      <c r="A783" s="29"/>
      <c r="B783" s="29"/>
      <c r="C783" s="29"/>
    </row>
    <row r="784" ht="14.25" customHeight="1">
      <c r="A784" s="29"/>
      <c r="B784" s="29"/>
      <c r="C784" s="29"/>
    </row>
    <row r="785" ht="14.25" customHeight="1">
      <c r="A785" s="29"/>
      <c r="B785" s="29"/>
      <c r="C785" s="29"/>
    </row>
    <row r="786" ht="14.25" customHeight="1">
      <c r="A786" s="29"/>
      <c r="B786" s="29"/>
      <c r="C786" s="29"/>
    </row>
    <row r="787" ht="14.25" customHeight="1">
      <c r="A787" s="29"/>
      <c r="B787" s="29"/>
      <c r="C787" s="29"/>
    </row>
    <row r="788" ht="14.25" customHeight="1">
      <c r="A788" s="29"/>
      <c r="B788" s="29"/>
      <c r="C788" s="29"/>
    </row>
    <row r="789" ht="14.25" customHeight="1">
      <c r="A789" s="29"/>
      <c r="B789" s="29"/>
      <c r="C789" s="29"/>
    </row>
    <row r="790" ht="14.25" customHeight="1">
      <c r="A790" s="29"/>
      <c r="B790" s="29"/>
      <c r="C790" s="29"/>
    </row>
    <row r="791" ht="14.25" customHeight="1">
      <c r="A791" s="29"/>
      <c r="B791" s="29"/>
      <c r="C791" s="29"/>
    </row>
    <row r="792" ht="14.25" customHeight="1">
      <c r="A792" s="29"/>
      <c r="B792" s="29"/>
      <c r="C792" s="29"/>
    </row>
    <row r="793" ht="14.25" customHeight="1">
      <c r="A793" s="29"/>
      <c r="B793" s="29"/>
      <c r="C793" s="29"/>
    </row>
    <row r="794" ht="14.25" customHeight="1">
      <c r="A794" s="29"/>
      <c r="B794" s="29"/>
      <c r="C794" s="29"/>
    </row>
    <row r="795" ht="14.25" customHeight="1">
      <c r="A795" s="29"/>
      <c r="B795" s="29"/>
      <c r="C795" s="29"/>
    </row>
    <row r="796" ht="14.25" customHeight="1">
      <c r="A796" s="29"/>
      <c r="B796" s="29"/>
      <c r="C796" s="29"/>
    </row>
    <row r="797" ht="14.25" customHeight="1">
      <c r="A797" s="29"/>
      <c r="B797" s="29"/>
      <c r="C797" s="29"/>
    </row>
    <row r="798" ht="14.25" customHeight="1">
      <c r="A798" s="29"/>
      <c r="B798" s="29"/>
      <c r="C798" s="29"/>
    </row>
    <row r="799" ht="14.25" customHeight="1">
      <c r="A799" s="29"/>
      <c r="B799" s="29"/>
      <c r="C799" s="29"/>
    </row>
    <row r="800" ht="14.25" customHeight="1">
      <c r="A800" s="29"/>
      <c r="B800" s="29"/>
      <c r="C800" s="29"/>
    </row>
    <row r="801" ht="14.25" customHeight="1">
      <c r="A801" s="29"/>
      <c r="B801" s="29"/>
      <c r="C801" s="29"/>
    </row>
    <row r="802" ht="14.25" customHeight="1">
      <c r="A802" s="29"/>
      <c r="B802" s="29"/>
      <c r="C802" s="29"/>
    </row>
    <row r="803" ht="14.25" customHeight="1">
      <c r="A803" s="29"/>
      <c r="B803" s="29"/>
      <c r="C803" s="29"/>
    </row>
    <row r="804" ht="14.25" customHeight="1">
      <c r="A804" s="29"/>
      <c r="B804" s="29"/>
      <c r="C804" s="29"/>
    </row>
    <row r="805" ht="14.25" customHeight="1">
      <c r="A805" s="29"/>
      <c r="B805" s="29"/>
      <c r="C805" s="29"/>
    </row>
    <row r="806" ht="14.25" customHeight="1">
      <c r="A806" s="29"/>
      <c r="B806" s="29"/>
      <c r="C806" s="29"/>
    </row>
    <row r="807" ht="14.25" customHeight="1">
      <c r="A807" s="29"/>
      <c r="B807" s="29"/>
      <c r="C807" s="29"/>
    </row>
    <row r="808" ht="14.25" customHeight="1">
      <c r="A808" s="29"/>
      <c r="B808" s="29"/>
      <c r="C808" s="29"/>
    </row>
    <row r="809" ht="14.25" customHeight="1">
      <c r="A809" s="29"/>
      <c r="B809" s="29"/>
      <c r="C809" s="29"/>
    </row>
    <row r="810" ht="14.25" customHeight="1">
      <c r="A810" s="29"/>
      <c r="B810" s="29"/>
      <c r="C810" s="29"/>
    </row>
    <row r="811" ht="14.25" customHeight="1">
      <c r="A811" s="29"/>
      <c r="B811" s="29"/>
      <c r="C811" s="29"/>
    </row>
    <row r="812" ht="14.25" customHeight="1">
      <c r="A812" s="29"/>
      <c r="B812" s="29"/>
      <c r="C812" s="29"/>
    </row>
    <row r="813" ht="14.25" customHeight="1">
      <c r="A813" s="29"/>
      <c r="B813" s="29"/>
      <c r="C813" s="29"/>
    </row>
    <row r="814" ht="14.25" customHeight="1">
      <c r="A814" s="29"/>
      <c r="B814" s="29"/>
      <c r="C814" s="29"/>
    </row>
    <row r="815" ht="14.25" customHeight="1">
      <c r="A815" s="29"/>
      <c r="B815" s="29"/>
      <c r="C815" s="29"/>
    </row>
    <row r="816" ht="14.25" customHeight="1">
      <c r="A816" s="29"/>
      <c r="B816" s="29"/>
      <c r="C816" s="29"/>
    </row>
    <row r="817" ht="14.25" customHeight="1">
      <c r="A817" s="29"/>
      <c r="B817" s="29"/>
      <c r="C817" s="29"/>
    </row>
    <row r="818" ht="14.25" customHeight="1">
      <c r="A818" s="29"/>
      <c r="B818" s="29"/>
      <c r="C818" s="29"/>
    </row>
    <row r="819" ht="14.25" customHeight="1">
      <c r="A819" s="29"/>
      <c r="B819" s="29"/>
      <c r="C819" s="29"/>
    </row>
    <row r="820" ht="14.25" customHeight="1">
      <c r="A820" s="29"/>
      <c r="B820" s="29"/>
      <c r="C820" s="29"/>
    </row>
    <row r="821" ht="14.25" customHeight="1">
      <c r="A821" s="29"/>
      <c r="B821" s="29"/>
      <c r="C821" s="29"/>
    </row>
    <row r="822" ht="14.25" customHeight="1">
      <c r="A822" s="29"/>
      <c r="B822" s="29"/>
      <c r="C822" s="29"/>
    </row>
    <row r="823" ht="14.25" customHeight="1">
      <c r="A823" s="29"/>
      <c r="B823" s="29"/>
      <c r="C823" s="29"/>
    </row>
    <row r="824" ht="14.25" customHeight="1">
      <c r="A824" s="29"/>
      <c r="B824" s="29"/>
      <c r="C824" s="29"/>
    </row>
    <row r="825" ht="14.25" customHeight="1">
      <c r="A825" s="29"/>
      <c r="B825" s="29"/>
      <c r="C825" s="29"/>
    </row>
    <row r="826" ht="14.25" customHeight="1">
      <c r="A826" s="29"/>
      <c r="B826" s="29"/>
      <c r="C826" s="29"/>
    </row>
    <row r="827" ht="14.25" customHeight="1">
      <c r="A827" s="29"/>
      <c r="B827" s="29"/>
      <c r="C827" s="29"/>
    </row>
    <row r="828" ht="14.25" customHeight="1">
      <c r="A828" s="29"/>
      <c r="B828" s="29"/>
      <c r="C828" s="29"/>
    </row>
    <row r="829" ht="14.25" customHeight="1">
      <c r="A829" s="29"/>
      <c r="B829" s="29"/>
      <c r="C829" s="29"/>
    </row>
    <row r="830" ht="14.25" customHeight="1">
      <c r="A830" s="29"/>
      <c r="B830" s="29"/>
      <c r="C830" s="29"/>
    </row>
    <row r="831" ht="14.25" customHeight="1">
      <c r="A831" s="29"/>
      <c r="B831" s="29"/>
      <c r="C831" s="29"/>
    </row>
    <row r="832" ht="14.25" customHeight="1">
      <c r="A832" s="29"/>
      <c r="B832" s="29"/>
      <c r="C832" s="29"/>
    </row>
    <row r="833" ht="14.25" customHeight="1">
      <c r="A833" s="29"/>
      <c r="B833" s="29"/>
      <c r="C833" s="29"/>
    </row>
    <row r="834" ht="14.25" customHeight="1">
      <c r="A834" s="29"/>
      <c r="B834" s="29"/>
      <c r="C834" s="29"/>
    </row>
    <row r="835" ht="14.25" customHeight="1">
      <c r="A835" s="29"/>
      <c r="B835" s="29"/>
      <c r="C835" s="29"/>
    </row>
    <row r="836" ht="14.25" customHeight="1">
      <c r="A836" s="29"/>
      <c r="B836" s="29"/>
      <c r="C836" s="29"/>
    </row>
    <row r="837" ht="14.25" customHeight="1">
      <c r="A837" s="29"/>
      <c r="B837" s="29"/>
      <c r="C837" s="29"/>
    </row>
    <row r="838" ht="14.25" customHeight="1">
      <c r="A838" s="29"/>
      <c r="B838" s="29"/>
      <c r="C838" s="29"/>
    </row>
    <row r="839" ht="14.25" customHeight="1">
      <c r="A839" s="29"/>
      <c r="B839" s="29"/>
      <c r="C839" s="29"/>
    </row>
    <row r="840" ht="14.25" customHeight="1">
      <c r="A840" s="29"/>
      <c r="B840" s="29"/>
      <c r="C840" s="29"/>
    </row>
    <row r="841" ht="14.25" customHeight="1">
      <c r="A841" s="29"/>
      <c r="B841" s="29"/>
      <c r="C841" s="29"/>
    </row>
    <row r="842" ht="14.25" customHeight="1">
      <c r="A842" s="29"/>
      <c r="B842" s="29"/>
      <c r="C842" s="29"/>
    </row>
    <row r="843" ht="14.25" customHeight="1">
      <c r="A843" s="29"/>
      <c r="B843" s="29"/>
      <c r="C843" s="29"/>
    </row>
    <row r="844" ht="14.25" customHeight="1">
      <c r="A844" s="29"/>
      <c r="B844" s="29"/>
      <c r="C844" s="29"/>
    </row>
    <row r="845" ht="14.25" customHeight="1">
      <c r="A845" s="29"/>
      <c r="B845" s="29"/>
      <c r="C845" s="29"/>
    </row>
    <row r="846" ht="14.25" customHeight="1">
      <c r="A846" s="29"/>
      <c r="B846" s="29"/>
      <c r="C846" s="29"/>
    </row>
    <row r="847" ht="14.25" customHeight="1">
      <c r="A847" s="29"/>
      <c r="B847" s="29"/>
      <c r="C847" s="29"/>
    </row>
    <row r="848" ht="14.25" customHeight="1">
      <c r="A848" s="29"/>
      <c r="B848" s="29"/>
      <c r="C848" s="29"/>
    </row>
    <row r="849" ht="14.25" customHeight="1">
      <c r="A849" s="29"/>
      <c r="B849" s="29"/>
      <c r="C849" s="29"/>
    </row>
    <row r="850" ht="14.25" customHeight="1">
      <c r="A850" s="29"/>
      <c r="B850" s="29"/>
      <c r="C850" s="29"/>
    </row>
    <row r="851" ht="14.25" customHeight="1">
      <c r="A851" s="29"/>
      <c r="B851" s="29"/>
      <c r="C851" s="29"/>
    </row>
    <row r="852" ht="14.25" customHeight="1">
      <c r="A852" s="29"/>
      <c r="B852" s="29"/>
      <c r="C852" s="29"/>
    </row>
    <row r="853" ht="14.25" customHeight="1">
      <c r="A853" s="29"/>
      <c r="B853" s="29"/>
      <c r="C853" s="29"/>
    </row>
    <row r="854" ht="14.25" customHeight="1">
      <c r="A854" s="29"/>
      <c r="B854" s="29"/>
      <c r="C854" s="29"/>
    </row>
    <row r="855" ht="14.25" customHeight="1">
      <c r="A855" s="29"/>
      <c r="B855" s="29"/>
      <c r="C855" s="29"/>
    </row>
    <row r="856" ht="14.25" customHeight="1">
      <c r="A856" s="29"/>
      <c r="B856" s="29"/>
      <c r="C856" s="29"/>
    </row>
    <row r="857" ht="14.25" customHeight="1">
      <c r="A857" s="29"/>
      <c r="B857" s="29"/>
      <c r="C857" s="29"/>
    </row>
    <row r="858" ht="14.25" customHeight="1">
      <c r="A858" s="29"/>
      <c r="B858" s="29"/>
      <c r="C858" s="29"/>
    </row>
    <row r="859" ht="14.25" customHeight="1">
      <c r="A859" s="29"/>
      <c r="B859" s="29"/>
      <c r="C859" s="29"/>
    </row>
    <row r="860" ht="14.25" customHeight="1">
      <c r="A860" s="29"/>
      <c r="B860" s="29"/>
      <c r="C860" s="29"/>
    </row>
    <row r="861" ht="14.25" customHeight="1">
      <c r="A861" s="29"/>
      <c r="B861" s="29"/>
      <c r="C861" s="29"/>
    </row>
    <row r="862" ht="14.25" customHeight="1">
      <c r="A862" s="29"/>
      <c r="B862" s="29"/>
      <c r="C862" s="29"/>
    </row>
    <row r="863" ht="14.25" customHeight="1">
      <c r="A863" s="29"/>
      <c r="B863" s="29"/>
      <c r="C863" s="29"/>
    </row>
    <row r="864" ht="14.25" customHeight="1">
      <c r="A864" s="29"/>
      <c r="B864" s="29"/>
      <c r="C864" s="29"/>
    </row>
    <row r="865" ht="14.25" customHeight="1">
      <c r="A865" s="29"/>
      <c r="B865" s="29"/>
      <c r="C865" s="29"/>
    </row>
    <row r="866" ht="14.25" customHeight="1">
      <c r="A866" s="29"/>
      <c r="B866" s="29"/>
      <c r="C866" s="29"/>
    </row>
    <row r="867" ht="14.25" customHeight="1">
      <c r="A867" s="29"/>
      <c r="B867" s="29"/>
      <c r="C867" s="29"/>
    </row>
    <row r="868" ht="14.25" customHeight="1">
      <c r="A868" s="29"/>
      <c r="B868" s="29"/>
      <c r="C868" s="29"/>
    </row>
    <row r="869" ht="14.25" customHeight="1">
      <c r="A869" s="29"/>
      <c r="B869" s="29"/>
      <c r="C869" s="29"/>
    </row>
    <row r="870" ht="14.25" customHeight="1">
      <c r="A870" s="29"/>
      <c r="B870" s="29"/>
      <c r="C870" s="29"/>
    </row>
    <row r="871" ht="14.25" customHeight="1">
      <c r="A871" s="29"/>
      <c r="B871" s="29"/>
      <c r="C871" s="29"/>
    </row>
    <row r="872" ht="14.25" customHeight="1">
      <c r="A872" s="29"/>
      <c r="B872" s="29"/>
      <c r="C872" s="29"/>
    </row>
    <row r="873" ht="14.25" customHeight="1">
      <c r="A873" s="29"/>
      <c r="B873" s="29"/>
      <c r="C873" s="29"/>
    </row>
    <row r="874" ht="14.25" customHeight="1">
      <c r="A874" s="29"/>
      <c r="B874" s="29"/>
      <c r="C874" s="29"/>
    </row>
    <row r="875" ht="14.25" customHeight="1">
      <c r="A875" s="29"/>
      <c r="B875" s="29"/>
      <c r="C875" s="29"/>
    </row>
    <row r="876" ht="14.25" customHeight="1">
      <c r="A876" s="29"/>
      <c r="B876" s="29"/>
      <c r="C876" s="29"/>
    </row>
    <row r="877" ht="14.25" customHeight="1">
      <c r="A877" s="29"/>
      <c r="B877" s="29"/>
      <c r="C877" s="29"/>
    </row>
    <row r="878" ht="14.25" customHeight="1">
      <c r="A878" s="29"/>
      <c r="B878" s="29"/>
      <c r="C878" s="29"/>
    </row>
    <row r="879" ht="14.25" customHeight="1">
      <c r="A879" s="29"/>
      <c r="B879" s="29"/>
      <c r="C879" s="29"/>
    </row>
    <row r="880" ht="14.25" customHeight="1">
      <c r="A880" s="29"/>
      <c r="B880" s="29"/>
      <c r="C880" s="29"/>
    </row>
    <row r="881" ht="14.25" customHeight="1">
      <c r="A881" s="29"/>
      <c r="B881" s="29"/>
      <c r="C881" s="29"/>
    </row>
    <row r="882" ht="14.25" customHeight="1">
      <c r="A882" s="29"/>
      <c r="B882" s="29"/>
      <c r="C882" s="29"/>
    </row>
    <row r="883" ht="14.25" customHeight="1">
      <c r="A883" s="29"/>
      <c r="B883" s="29"/>
      <c r="C883" s="29"/>
    </row>
    <row r="884" ht="14.25" customHeight="1">
      <c r="A884" s="29"/>
      <c r="B884" s="29"/>
      <c r="C884" s="29"/>
    </row>
    <row r="885" ht="14.25" customHeight="1">
      <c r="A885" s="29"/>
      <c r="B885" s="29"/>
      <c r="C885" s="29"/>
    </row>
    <row r="886" ht="14.25" customHeight="1">
      <c r="A886" s="29"/>
      <c r="B886" s="29"/>
      <c r="C886" s="29"/>
    </row>
    <row r="887" ht="14.25" customHeight="1">
      <c r="A887" s="29"/>
      <c r="B887" s="29"/>
      <c r="C887" s="29"/>
    </row>
    <row r="888" ht="14.25" customHeight="1">
      <c r="A888" s="29"/>
      <c r="B888" s="29"/>
      <c r="C888" s="29"/>
    </row>
    <row r="889" ht="14.25" customHeight="1">
      <c r="A889" s="29"/>
      <c r="B889" s="29"/>
      <c r="C889" s="29"/>
    </row>
    <row r="890" ht="14.25" customHeight="1">
      <c r="A890" s="29"/>
      <c r="B890" s="29"/>
      <c r="C890" s="29"/>
    </row>
    <row r="891" ht="14.25" customHeight="1">
      <c r="A891" s="29"/>
      <c r="B891" s="29"/>
      <c r="C891" s="29"/>
    </row>
    <row r="892" ht="14.25" customHeight="1">
      <c r="A892" s="29"/>
      <c r="B892" s="29"/>
      <c r="C892" s="29"/>
    </row>
    <row r="893" ht="14.25" customHeight="1">
      <c r="A893" s="29"/>
      <c r="B893" s="29"/>
      <c r="C893" s="29"/>
    </row>
    <row r="894" ht="14.25" customHeight="1">
      <c r="A894" s="29"/>
      <c r="B894" s="29"/>
      <c r="C894" s="29"/>
    </row>
    <row r="895" ht="14.25" customHeight="1">
      <c r="A895" s="29"/>
      <c r="B895" s="29"/>
      <c r="C895" s="29"/>
    </row>
    <row r="896" ht="14.25" customHeight="1">
      <c r="A896" s="29"/>
      <c r="B896" s="29"/>
      <c r="C896" s="29"/>
    </row>
    <row r="897" ht="14.25" customHeight="1">
      <c r="A897" s="29"/>
      <c r="B897" s="29"/>
      <c r="C897" s="29"/>
    </row>
    <row r="898" ht="14.25" customHeight="1">
      <c r="A898" s="29"/>
      <c r="B898" s="29"/>
      <c r="C898" s="29"/>
    </row>
    <row r="899" ht="14.25" customHeight="1">
      <c r="A899" s="29"/>
      <c r="B899" s="29"/>
      <c r="C899" s="29"/>
    </row>
    <row r="900" ht="14.25" customHeight="1">
      <c r="A900" s="29"/>
      <c r="B900" s="29"/>
      <c r="C900" s="29"/>
    </row>
    <row r="901" ht="14.25" customHeight="1">
      <c r="A901" s="29"/>
      <c r="B901" s="29"/>
      <c r="C901" s="29"/>
    </row>
    <row r="902" ht="14.25" customHeight="1">
      <c r="A902" s="29"/>
      <c r="B902" s="29"/>
      <c r="C902" s="29"/>
    </row>
    <row r="903" ht="14.25" customHeight="1">
      <c r="A903" s="29"/>
      <c r="B903" s="29"/>
      <c r="C903" s="29"/>
    </row>
    <row r="904" ht="14.25" customHeight="1">
      <c r="A904" s="29"/>
      <c r="B904" s="29"/>
      <c r="C904" s="29"/>
    </row>
    <row r="905" ht="14.25" customHeight="1">
      <c r="A905" s="29"/>
      <c r="B905" s="29"/>
      <c r="C905" s="29"/>
    </row>
    <row r="906" ht="14.25" customHeight="1">
      <c r="A906" s="29"/>
      <c r="B906" s="29"/>
      <c r="C906" s="29"/>
    </row>
    <row r="907" ht="14.25" customHeight="1">
      <c r="A907" s="29"/>
      <c r="B907" s="29"/>
      <c r="C907" s="29"/>
    </row>
    <row r="908" ht="14.25" customHeight="1">
      <c r="A908" s="29"/>
      <c r="B908" s="29"/>
      <c r="C908" s="29"/>
    </row>
    <row r="909" ht="14.25" customHeight="1">
      <c r="A909" s="29"/>
      <c r="B909" s="29"/>
      <c r="C909" s="29"/>
    </row>
    <row r="910" ht="14.25" customHeight="1">
      <c r="A910" s="29"/>
      <c r="B910" s="29"/>
      <c r="C910" s="29"/>
    </row>
    <row r="911" ht="14.25" customHeight="1">
      <c r="A911" s="29"/>
      <c r="B911" s="29"/>
      <c r="C911" s="29"/>
    </row>
    <row r="912" ht="14.25" customHeight="1">
      <c r="A912" s="29"/>
      <c r="B912" s="29"/>
      <c r="C912" s="29"/>
    </row>
    <row r="913" ht="14.25" customHeight="1">
      <c r="A913" s="29"/>
      <c r="B913" s="29"/>
      <c r="C913" s="29"/>
    </row>
    <row r="914" ht="14.25" customHeight="1">
      <c r="A914" s="29"/>
      <c r="B914" s="29"/>
      <c r="C914" s="29"/>
    </row>
    <row r="915" ht="14.25" customHeight="1">
      <c r="A915" s="29"/>
      <c r="B915" s="29"/>
      <c r="C915" s="29"/>
    </row>
    <row r="916" ht="14.25" customHeight="1">
      <c r="A916" s="29"/>
      <c r="B916" s="29"/>
      <c r="C916" s="29"/>
    </row>
    <row r="917" ht="14.25" customHeight="1">
      <c r="A917" s="29"/>
      <c r="B917" s="29"/>
      <c r="C917" s="29"/>
    </row>
    <row r="918" ht="14.25" customHeight="1">
      <c r="A918" s="29"/>
      <c r="B918" s="29"/>
      <c r="C918" s="29"/>
    </row>
    <row r="919" ht="14.25" customHeight="1">
      <c r="A919" s="29"/>
      <c r="B919" s="29"/>
      <c r="C919" s="29"/>
    </row>
    <row r="920" ht="14.25" customHeight="1">
      <c r="A920" s="29"/>
      <c r="B920" s="29"/>
      <c r="C920" s="29"/>
    </row>
    <row r="921" ht="14.25" customHeight="1">
      <c r="A921" s="29"/>
      <c r="B921" s="29"/>
      <c r="C921" s="29"/>
    </row>
    <row r="922" ht="14.25" customHeight="1">
      <c r="A922" s="29"/>
      <c r="B922" s="29"/>
      <c r="C922" s="29"/>
    </row>
    <row r="923" ht="14.25" customHeight="1">
      <c r="A923" s="29"/>
      <c r="B923" s="29"/>
      <c r="C923" s="29"/>
    </row>
    <row r="924" ht="14.25" customHeight="1">
      <c r="A924" s="29"/>
      <c r="B924" s="29"/>
      <c r="C924" s="29"/>
    </row>
    <row r="925" ht="14.25" customHeight="1">
      <c r="A925" s="29"/>
      <c r="B925" s="29"/>
      <c r="C925" s="29"/>
    </row>
    <row r="926" ht="14.25" customHeight="1">
      <c r="A926" s="29"/>
      <c r="B926" s="29"/>
      <c r="C926" s="29"/>
    </row>
    <row r="927" ht="14.25" customHeight="1">
      <c r="A927" s="29"/>
      <c r="B927" s="29"/>
      <c r="C927" s="29"/>
    </row>
    <row r="928" ht="14.25" customHeight="1">
      <c r="A928" s="29"/>
      <c r="B928" s="29"/>
      <c r="C928" s="29"/>
    </row>
    <row r="929" ht="14.25" customHeight="1">
      <c r="A929" s="29"/>
      <c r="B929" s="29"/>
      <c r="C929" s="29"/>
    </row>
    <row r="930" ht="14.25" customHeight="1">
      <c r="A930" s="29"/>
      <c r="B930" s="29"/>
      <c r="C930" s="29"/>
    </row>
    <row r="931" ht="14.25" customHeight="1">
      <c r="A931" s="29"/>
      <c r="B931" s="29"/>
      <c r="C931" s="29"/>
    </row>
    <row r="932" ht="14.25" customHeight="1">
      <c r="A932" s="29"/>
      <c r="B932" s="29"/>
      <c r="C932" s="29"/>
    </row>
    <row r="933" ht="14.25" customHeight="1">
      <c r="A933" s="29"/>
      <c r="B933" s="29"/>
      <c r="C933" s="29"/>
    </row>
    <row r="934" ht="14.25" customHeight="1">
      <c r="A934" s="29"/>
      <c r="B934" s="29"/>
      <c r="C934" s="29"/>
    </row>
    <row r="935" ht="14.25" customHeight="1">
      <c r="A935" s="29"/>
      <c r="B935" s="29"/>
      <c r="C935" s="29"/>
    </row>
    <row r="936" ht="14.25" customHeight="1">
      <c r="A936" s="29"/>
      <c r="B936" s="29"/>
      <c r="C936" s="29"/>
    </row>
    <row r="937" ht="14.25" customHeight="1">
      <c r="A937" s="29"/>
      <c r="B937" s="29"/>
      <c r="C937" s="29"/>
    </row>
    <row r="938" ht="14.25" customHeight="1">
      <c r="A938" s="29"/>
      <c r="B938" s="29"/>
      <c r="C938" s="29"/>
    </row>
    <row r="939" ht="14.25" customHeight="1">
      <c r="A939" s="29"/>
      <c r="B939" s="29"/>
      <c r="C939" s="29"/>
    </row>
    <row r="940" ht="14.25" customHeight="1">
      <c r="A940" s="29"/>
      <c r="B940" s="29"/>
      <c r="C940" s="29"/>
    </row>
    <row r="941" ht="14.25" customHeight="1">
      <c r="A941" s="29"/>
      <c r="B941" s="29"/>
      <c r="C941" s="29"/>
    </row>
    <row r="942" ht="14.25" customHeight="1">
      <c r="A942" s="29"/>
      <c r="B942" s="29"/>
      <c r="C942" s="29"/>
    </row>
    <row r="943" ht="14.25" customHeight="1">
      <c r="A943" s="29"/>
      <c r="B943" s="29"/>
      <c r="C943" s="29"/>
    </row>
    <row r="944" ht="14.25" customHeight="1">
      <c r="A944" s="29"/>
      <c r="B944" s="29"/>
      <c r="C944" s="29"/>
    </row>
    <row r="945" ht="14.25" customHeight="1">
      <c r="A945" s="29"/>
      <c r="B945" s="29"/>
      <c r="C945" s="29"/>
    </row>
    <row r="946" ht="14.25" customHeight="1">
      <c r="A946" s="29"/>
      <c r="B946" s="29"/>
      <c r="C946" s="29"/>
    </row>
    <row r="947" ht="14.25" customHeight="1">
      <c r="A947" s="29"/>
      <c r="B947" s="29"/>
      <c r="C947" s="29"/>
    </row>
    <row r="948" ht="14.25" customHeight="1">
      <c r="A948" s="29"/>
      <c r="B948" s="29"/>
      <c r="C948" s="29"/>
    </row>
    <row r="949" ht="14.25" customHeight="1">
      <c r="A949" s="29"/>
      <c r="B949" s="29"/>
      <c r="C949" s="29"/>
    </row>
    <row r="950" ht="14.25" customHeight="1">
      <c r="A950" s="29"/>
      <c r="B950" s="29"/>
      <c r="C950" s="29"/>
    </row>
    <row r="951" ht="14.25" customHeight="1">
      <c r="A951" s="29"/>
      <c r="B951" s="29"/>
      <c r="C951" s="29"/>
    </row>
    <row r="952" ht="14.25" customHeight="1">
      <c r="A952" s="29"/>
      <c r="B952" s="29"/>
      <c r="C952" s="29"/>
    </row>
    <row r="953" ht="14.25" customHeight="1">
      <c r="A953" s="29"/>
      <c r="B953" s="29"/>
      <c r="C953" s="29"/>
    </row>
    <row r="954" ht="14.25" customHeight="1">
      <c r="A954" s="29"/>
      <c r="B954" s="29"/>
      <c r="C954" s="29"/>
    </row>
    <row r="955" ht="14.25" customHeight="1">
      <c r="A955" s="29"/>
      <c r="B955" s="29"/>
      <c r="C955" s="29"/>
    </row>
    <row r="956" ht="14.25" customHeight="1">
      <c r="A956" s="29"/>
      <c r="B956" s="29"/>
      <c r="C956" s="29"/>
    </row>
    <row r="957" ht="14.25" customHeight="1">
      <c r="A957" s="29"/>
      <c r="B957" s="29"/>
      <c r="C957" s="29"/>
    </row>
    <row r="958" ht="14.25" customHeight="1">
      <c r="A958" s="29"/>
      <c r="B958" s="29"/>
      <c r="C958" s="29"/>
    </row>
    <row r="959" ht="14.25" customHeight="1">
      <c r="A959" s="29"/>
      <c r="B959" s="29"/>
      <c r="C959" s="29"/>
    </row>
    <row r="960" ht="14.25" customHeight="1">
      <c r="A960" s="29"/>
      <c r="B960" s="29"/>
      <c r="C960" s="29"/>
    </row>
    <row r="961" ht="14.25" customHeight="1">
      <c r="A961" s="29"/>
      <c r="B961" s="29"/>
      <c r="C961" s="29"/>
    </row>
    <row r="962" ht="14.25" customHeight="1">
      <c r="A962" s="29"/>
      <c r="B962" s="29"/>
      <c r="C962" s="29"/>
    </row>
    <row r="963" ht="14.25" customHeight="1">
      <c r="A963" s="29"/>
      <c r="B963" s="29"/>
      <c r="C963" s="29"/>
    </row>
    <row r="964" ht="14.25" customHeight="1">
      <c r="A964" s="29"/>
      <c r="B964" s="29"/>
      <c r="C964" s="29"/>
    </row>
    <row r="965" ht="14.25" customHeight="1">
      <c r="A965" s="29"/>
      <c r="B965" s="29"/>
      <c r="C965" s="29"/>
    </row>
    <row r="966" ht="14.25" customHeight="1">
      <c r="A966" s="29"/>
      <c r="B966" s="29"/>
      <c r="C966" s="29"/>
    </row>
    <row r="967" ht="14.25" customHeight="1">
      <c r="A967" s="29"/>
      <c r="B967" s="29"/>
      <c r="C967" s="29"/>
    </row>
    <row r="968" ht="14.25" customHeight="1">
      <c r="A968" s="29"/>
      <c r="B968" s="29"/>
      <c r="C968" s="29"/>
    </row>
    <row r="969" ht="14.25" customHeight="1">
      <c r="A969" s="29"/>
      <c r="B969" s="29"/>
      <c r="C969" s="29"/>
    </row>
    <row r="970" ht="14.25" customHeight="1">
      <c r="A970" s="29"/>
      <c r="B970" s="29"/>
      <c r="C970" s="29"/>
    </row>
    <row r="971" ht="14.25" customHeight="1">
      <c r="A971" s="29"/>
      <c r="B971" s="29"/>
      <c r="C971" s="29"/>
    </row>
    <row r="972" ht="14.25" customHeight="1">
      <c r="A972" s="29"/>
      <c r="B972" s="29"/>
      <c r="C972" s="29"/>
    </row>
    <row r="973" ht="14.25" customHeight="1">
      <c r="A973" s="29"/>
      <c r="B973" s="29"/>
      <c r="C973" s="29"/>
    </row>
    <row r="974" ht="14.25" customHeight="1">
      <c r="A974" s="29"/>
      <c r="B974" s="29"/>
      <c r="C974" s="29"/>
    </row>
    <row r="975" ht="14.25" customHeight="1">
      <c r="A975" s="29"/>
      <c r="B975" s="29"/>
      <c r="C975" s="29"/>
    </row>
    <row r="976" ht="14.25" customHeight="1">
      <c r="A976" s="29"/>
      <c r="B976" s="29"/>
      <c r="C976" s="29"/>
    </row>
    <row r="977" ht="14.25" customHeight="1">
      <c r="A977" s="29"/>
      <c r="B977" s="29"/>
      <c r="C977" s="29"/>
    </row>
    <row r="978" ht="14.25" customHeight="1">
      <c r="A978" s="29"/>
      <c r="B978" s="29"/>
      <c r="C978" s="29"/>
    </row>
    <row r="979" ht="14.25" customHeight="1">
      <c r="A979" s="29"/>
      <c r="B979" s="29"/>
      <c r="C979" s="29"/>
    </row>
    <row r="980" ht="14.25" customHeight="1">
      <c r="A980" s="29"/>
      <c r="B980" s="29"/>
      <c r="C980" s="29"/>
    </row>
    <row r="981" ht="14.25" customHeight="1">
      <c r="A981" s="29"/>
      <c r="B981" s="29"/>
      <c r="C981" s="29"/>
    </row>
    <row r="982" ht="14.25" customHeight="1">
      <c r="A982" s="29"/>
      <c r="B982" s="29"/>
      <c r="C982" s="29"/>
    </row>
    <row r="983" ht="14.25" customHeight="1">
      <c r="A983" s="29"/>
      <c r="B983" s="29"/>
      <c r="C983" s="29"/>
    </row>
    <row r="984" ht="14.25" customHeight="1">
      <c r="A984" s="29"/>
      <c r="B984" s="29"/>
      <c r="C984" s="29"/>
    </row>
    <row r="985" ht="14.25" customHeight="1">
      <c r="A985" s="29"/>
      <c r="B985" s="29"/>
      <c r="C985" s="29"/>
    </row>
    <row r="986" ht="14.25" customHeight="1">
      <c r="A986" s="29"/>
      <c r="B986" s="29"/>
      <c r="C986" s="29"/>
    </row>
    <row r="987" ht="14.25" customHeight="1">
      <c r="A987" s="29"/>
      <c r="B987" s="29"/>
      <c r="C987" s="29"/>
    </row>
    <row r="988" ht="14.25" customHeight="1">
      <c r="A988" s="29"/>
      <c r="B988" s="29"/>
      <c r="C988" s="29"/>
    </row>
    <row r="989" ht="14.25" customHeight="1">
      <c r="A989" s="29"/>
      <c r="B989" s="29"/>
      <c r="C989" s="29"/>
    </row>
    <row r="990" ht="14.25" customHeight="1">
      <c r="A990" s="29"/>
      <c r="B990" s="29"/>
      <c r="C990" s="29"/>
    </row>
    <row r="991" ht="14.25" customHeight="1">
      <c r="A991" s="29"/>
      <c r="B991" s="29"/>
      <c r="C991" s="29"/>
    </row>
    <row r="992" ht="14.25" customHeight="1">
      <c r="A992" s="29"/>
      <c r="B992" s="29"/>
      <c r="C992" s="29"/>
    </row>
    <row r="993" ht="14.25" customHeight="1">
      <c r="A993" s="29"/>
      <c r="B993" s="29"/>
      <c r="C993" s="29"/>
    </row>
    <row r="994" ht="14.25" customHeight="1">
      <c r="A994" s="29"/>
      <c r="B994" s="29"/>
      <c r="C994" s="29"/>
    </row>
    <row r="995" ht="14.25" customHeight="1">
      <c r="A995" s="29"/>
      <c r="B995" s="29"/>
      <c r="C995" s="29"/>
    </row>
    <row r="996" ht="14.25" customHeight="1">
      <c r="A996" s="29"/>
      <c r="B996" s="29"/>
      <c r="C996" s="29"/>
    </row>
    <row r="997" ht="14.25" customHeight="1">
      <c r="A997" s="29"/>
      <c r="B997" s="29"/>
      <c r="C997" s="29"/>
    </row>
    <row r="998" ht="14.25" customHeight="1">
      <c r="A998" s="29"/>
      <c r="B998" s="29"/>
      <c r="C998" s="29"/>
    </row>
    <row r="999" ht="14.25" customHeight="1">
      <c r="A999" s="29"/>
      <c r="B999" s="29"/>
      <c r="C999" s="29"/>
    </row>
    <row r="1000" ht="14.25" customHeight="1">
      <c r="A1000" s="29"/>
      <c r="B1000" s="29"/>
      <c r="C1000" s="29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29"/>
    <col customWidth="1" min="2" max="5" width="10.29"/>
    <col customWidth="1" min="6" max="52" width="10.71"/>
  </cols>
  <sheetData>
    <row r="1" ht="14.25" customHeight="1">
      <c r="A1" s="15" t="s">
        <v>50</v>
      </c>
      <c r="B1" s="15" t="s">
        <v>51</v>
      </c>
      <c r="C1" s="15" t="s">
        <v>52</v>
      </c>
      <c r="D1" s="15" t="s">
        <v>53</v>
      </c>
      <c r="E1" s="15" t="s">
        <v>54</v>
      </c>
      <c r="F1" s="15" t="s">
        <v>55</v>
      </c>
      <c r="G1" s="15" t="s">
        <v>56</v>
      </c>
      <c r="H1" s="15" t="s">
        <v>57</v>
      </c>
      <c r="I1" s="15" t="s">
        <v>58</v>
      </c>
      <c r="J1" s="15" t="s">
        <v>59</v>
      </c>
      <c r="K1" s="15" t="s">
        <v>60</v>
      </c>
      <c r="L1" s="15" t="s">
        <v>61</v>
      </c>
      <c r="M1" s="15" t="s">
        <v>62</v>
      </c>
      <c r="N1" s="15" t="s">
        <v>63</v>
      </c>
      <c r="O1" s="15" t="s">
        <v>64</v>
      </c>
      <c r="P1" s="15" t="s">
        <v>65</v>
      </c>
      <c r="Q1" s="15" t="s">
        <v>66</v>
      </c>
      <c r="R1" s="15" t="s">
        <v>67</v>
      </c>
      <c r="S1" s="15" t="s">
        <v>68</v>
      </c>
      <c r="T1" s="15" t="s">
        <v>69</v>
      </c>
      <c r="U1" s="15" t="s">
        <v>70</v>
      </c>
      <c r="V1" s="15" t="s">
        <v>71</v>
      </c>
      <c r="W1" s="15" t="s">
        <v>72</v>
      </c>
      <c r="X1" s="15" t="s">
        <v>73</v>
      </c>
      <c r="Y1" s="15" t="s">
        <v>74</v>
      </c>
      <c r="Z1" s="15" t="s">
        <v>75</v>
      </c>
      <c r="AA1" s="15" t="s">
        <v>76</v>
      </c>
      <c r="AB1" s="15" t="s">
        <v>77</v>
      </c>
      <c r="AC1" s="15" t="s">
        <v>78</v>
      </c>
      <c r="AD1" s="15" t="s">
        <v>79</v>
      </c>
      <c r="AE1" s="15" t="s">
        <v>80</v>
      </c>
      <c r="AF1" s="15" t="s">
        <v>81</v>
      </c>
      <c r="AG1" s="15" t="s">
        <v>82</v>
      </c>
      <c r="AH1" s="15" t="s">
        <v>83</v>
      </c>
      <c r="AI1" s="15" t="s">
        <v>84</v>
      </c>
      <c r="AJ1" s="15" t="s">
        <v>85</v>
      </c>
      <c r="AK1" s="15" t="s">
        <v>86</v>
      </c>
      <c r="AL1" s="15" t="s">
        <v>87</v>
      </c>
      <c r="AM1" s="15" t="s">
        <v>88</v>
      </c>
      <c r="AN1" s="15" t="s">
        <v>89</v>
      </c>
      <c r="AO1" s="15" t="s">
        <v>90</v>
      </c>
      <c r="AP1" s="15" t="s">
        <v>91</v>
      </c>
      <c r="AQ1" s="15" t="s">
        <v>92</v>
      </c>
      <c r="AR1" s="15" t="s">
        <v>93</v>
      </c>
      <c r="AS1" s="15" t="s">
        <v>94</v>
      </c>
      <c r="AT1" s="15" t="s">
        <v>95</v>
      </c>
      <c r="AU1" s="15" t="s">
        <v>96</v>
      </c>
      <c r="AV1" s="15" t="s">
        <v>97</v>
      </c>
      <c r="AW1" s="15" t="s">
        <v>98</v>
      </c>
      <c r="AX1" s="15" t="s">
        <v>99</v>
      </c>
    </row>
    <row r="2" ht="14.25" customHeight="1">
      <c r="A2" s="15" t="s">
        <v>100</v>
      </c>
      <c r="B2" s="15">
        <f t="shared" ref="B2:AX2" si="1">COUNTIF(B4:B102,"&lt;&gt;")</f>
        <v>13</v>
      </c>
      <c r="C2" s="15">
        <f t="shared" si="1"/>
        <v>11</v>
      </c>
      <c r="D2" s="15">
        <f t="shared" si="1"/>
        <v>14</v>
      </c>
      <c r="E2" s="15">
        <f t="shared" si="1"/>
        <v>11</v>
      </c>
      <c r="F2" s="15">
        <f t="shared" si="1"/>
        <v>12</v>
      </c>
      <c r="G2" s="15">
        <f t="shared" si="1"/>
        <v>12</v>
      </c>
      <c r="H2" s="15">
        <f t="shared" si="1"/>
        <v>16</v>
      </c>
      <c r="I2" s="15">
        <f t="shared" si="1"/>
        <v>10</v>
      </c>
      <c r="J2" s="15">
        <f t="shared" si="1"/>
        <v>15</v>
      </c>
      <c r="K2" s="15">
        <f t="shared" si="1"/>
        <v>15</v>
      </c>
      <c r="L2" s="15">
        <f t="shared" si="1"/>
        <v>11</v>
      </c>
      <c r="M2" s="15">
        <f t="shared" si="1"/>
        <v>0</v>
      </c>
      <c r="N2" s="15">
        <f t="shared" si="1"/>
        <v>0</v>
      </c>
      <c r="O2" s="15">
        <f t="shared" si="1"/>
        <v>0</v>
      </c>
      <c r="P2" s="15">
        <f t="shared" si="1"/>
        <v>0</v>
      </c>
      <c r="Q2" s="15">
        <f t="shared" si="1"/>
        <v>0</v>
      </c>
      <c r="R2" s="15">
        <f t="shared" si="1"/>
        <v>0</v>
      </c>
      <c r="S2" s="15">
        <f t="shared" si="1"/>
        <v>0</v>
      </c>
      <c r="T2" s="15">
        <f t="shared" si="1"/>
        <v>0</v>
      </c>
      <c r="U2" s="15">
        <f t="shared" si="1"/>
        <v>0</v>
      </c>
      <c r="V2" s="15">
        <f t="shared" si="1"/>
        <v>0</v>
      </c>
      <c r="W2" s="15">
        <f t="shared" si="1"/>
        <v>0</v>
      </c>
      <c r="X2" s="15">
        <f t="shared" si="1"/>
        <v>0</v>
      </c>
      <c r="Y2" s="15">
        <f t="shared" si="1"/>
        <v>0</v>
      </c>
      <c r="Z2" s="15">
        <f t="shared" si="1"/>
        <v>0</v>
      </c>
      <c r="AA2" s="15">
        <f t="shared" si="1"/>
        <v>0</v>
      </c>
      <c r="AB2" s="15">
        <f t="shared" si="1"/>
        <v>0</v>
      </c>
      <c r="AC2" s="15">
        <f t="shared" si="1"/>
        <v>0</v>
      </c>
      <c r="AD2" s="15">
        <f t="shared" si="1"/>
        <v>0</v>
      </c>
      <c r="AE2" s="15">
        <f t="shared" si="1"/>
        <v>0</v>
      </c>
      <c r="AF2" s="15">
        <f t="shared" si="1"/>
        <v>0</v>
      </c>
      <c r="AG2" s="15">
        <f t="shared" si="1"/>
        <v>0</v>
      </c>
      <c r="AH2" s="15">
        <f t="shared" si="1"/>
        <v>0</v>
      </c>
      <c r="AI2" s="15">
        <f t="shared" si="1"/>
        <v>0</v>
      </c>
      <c r="AJ2" s="15">
        <f t="shared" si="1"/>
        <v>0</v>
      </c>
      <c r="AK2" s="15">
        <f t="shared" si="1"/>
        <v>0</v>
      </c>
      <c r="AL2" s="15">
        <f t="shared" si="1"/>
        <v>0</v>
      </c>
      <c r="AM2" s="15">
        <f t="shared" si="1"/>
        <v>0</v>
      </c>
      <c r="AN2" s="15">
        <f t="shared" si="1"/>
        <v>0</v>
      </c>
      <c r="AO2" s="15">
        <f t="shared" si="1"/>
        <v>0</v>
      </c>
      <c r="AP2" s="15">
        <f t="shared" si="1"/>
        <v>0</v>
      </c>
      <c r="AQ2" s="15">
        <f t="shared" si="1"/>
        <v>0</v>
      </c>
      <c r="AR2" s="15">
        <f t="shared" si="1"/>
        <v>0</v>
      </c>
      <c r="AS2" s="15">
        <f t="shared" si="1"/>
        <v>0</v>
      </c>
      <c r="AT2" s="15">
        <f t="shared" si="1"/>
        <v>0</v>
      </c>
      <c r="AU2" s="15">
        <f t="shared" si="1"/>
        <v>0</v>
      </c>
      <c r="AV2" s="15">
        <f t="shared" si="1"/>
        <v>0</v>
      </c>
      <c r="AW2" s="15">
        <f t="shared" si="1"/>
        <v>0</v>
      </c>
      <c r="AX2" s="15">
        <f t="shared" si="1"/>
        <v>0</v>
      </c>
    </row>
    <row r="3" ht="14.25" customHeight="1">
      <c r="A3" s="15" t="s">
        <v>101</v>
      </c>
      <c r="B3" s="15" t="s">
        <v>102</v>
      </c>
      <c r="C3" s="15" t="s">
        <v>102</v>
      </c>
      <c r="D3" s="15" t="s">
        <v>102</v>
      </c>
      <c r="E3" s="15" t="s">
        <v>102</v>
      </c>
      <c r="F3" s="15" t="s">
        <v>102</v>
      </c>
      <c r="G3" s="15" t="s">
        <v>102</v>
      </c>
      <c r="H3" s="15" t="s">
        <v>102</v>
      </c>
      <c r="I3" s="15" t="s">
        <v>102</v>
      </c>
      <c r="J3" s="15" t="s">
        <v>102</v>
      </c>
      <c r="K3" s="15" t="s">
        <v>102</v>
      </c>
      <c r="L3" s="15" t="s">
        <v>102</v>
      </c>
      <c r="M3" s="15" t="s">
        <v>102</v>
      </c>
      <c r="N3" s="15" t="s">
        <v>102</v>
      </c>
      <c r="O3" s="15" t="s">
        <v>102</v>
      </c>
      <c r="P3" s="15" t="s">
        <v>102</v>
      </c>
      <c r="Q3" s="15" t="s">
        <v>102</v>
      </c>
      <c r="R3" s="15" t="s">
        <v>102</v>
      </c>
      <c r="S3" s="15" t="s">
        <v>102</v>
      </c>
      <c r="T3" s="15" t="s">
        <v>102</v>
      </c>
      <c r="U3" s="15" t="s">
        <v>102</v>
      </c>
      <c r="V3" s="15" t="s">
        <v>102</v>
      </c>
      <c r="W3" s="15" t="s">
        <v>102</v>
      </c>
      <c r="X3" s="15" t="s">
        <v>102</v>
      </c>
      <c r="Y3" s="15" t="s">
        <v>102</v>
      </c>
      <c r="Z3" s="15" t="s">
        <v>102</v>
      </c>
      <c r="AA3" s="15" t="s">
        <v>102</v>
      </c>
      <c r="AB3" s="15" t="s">
        <v>102</v>
      </c>
      <c r="AC3" s="15" t="s">
        <v>102</v>
      </c>
      <c r="AD3" s="15" t="s">
        <v>102</v>
      </c>
      <c r="AE3" s="15" t="s">
        <v>102</v>
      </c>
      <c r="AF3" s="15" t="s">
        <v>102</v>
      </c>
      <c r="AG3" s="15" t="s">
        <v>102</v>
      </c>
      <c r="AH3" s="15" t="s">
        <v>102</v>
      </c>
      <c r="AI3" s="15" t="s">
        <v>102</v>
      </c>
      <c r="AJ3" s="15" t="s">
        <v>102</v>
      </c>
      <c r="AK3" s="15" t="s">
        <v>102</v>
      </c>
      <c r="AL3" s="15" t="s">
        <v>102</v>
      </c>
      <c r="AM3" s="15" t="s">
        <v>102</v>
      </c>
      <c r="AN3" s="15" t="s">
        <v>102</v>
      </c>
      <c r="AO3" s="15" t="s">
        <v>102</v>
      </c>
      <c r="AP3" s="15" t="s">
        <v>102</v>
      </c>
      <c r="AQ3" s="15" t="s">
        <v>102</v>
      </c>
      <c r="AR3" s="15" t="s">
        <v>102</v>
      </c>
      <c r="AS3" s="15" t="s">
        <v>102</v>
      </c>
      <c r="AT3" s="15" t="s">
        <v>102</v>
      </c>
      <c r="AU3" s="15" t="s">
        <v>102</v>
      </c>
      <c r="AV3" s="15" t="s">
        <v>102</v>
      </c>
      <c r="AW3" s="15" t="s">
        <v>102</v>
      </c>
      <c r="AX3" s="15" t="s">
        <v>102</v>
      </c>
      <c r="AY3" s="15" t="s">
        <v>103</v>
      </c>
      <c r="AZ3" s="15" t="s">
        <v>104</v>
      </c>
    </row>
    <row r="4" ht="14.25" customHeight="1">
      <c r="A4" s="15" t="s">
        <v>1</v>
      </c>
      <c r="B4" s="15">
        <v>5.0</v>
      </c>
      <c r="C4" s="15">
        <v>11.0</v>
      </c>
      <c r="D4" s="15">
        <v>10.0</v>
      </c>
      <c r="E4" s="15">
        <v>8.0</v>
      </c>
      <c r="G4" s="16">
        <v>6.0</v>
      </c>
      <c r="H4" s="16">
        <v>5.0</v>
      </c>
      <c r="I4" s="16">
        <v>9.0</v>
      </c>
      <c r="AY4" s="15">
        <f t="shared" ref="AY4:AY104" si="2">COUNTIF(B4:AX4,"&lt;&gt;")</f>
        <v>7</v>
      </c>
      <c r="AZ4" s="4">
        <f t="shared" ref="AZ4:AZ104" si="3">IF(AY4&lt;=5,32,IF(AY4&lt;=15,24,16))</f>
        <v>24</v>
      </c>
    </row>
    <row r="5" ht="14.25" customHeight="1">
      <c r="A5" s="15" t="s">
        <v>105</v>
      </c>
      <c r="D5" s="15">
        <v>9.0</v>
      </c>
      <c r="E5" s="15">
        <v>4.0</v>
      </c>
      <c r="F5" s="16">
        <v>6.0</v>
      </c>
      <c r="H5" s="16">
        <v>2.0</v>
      </c>
      <c r="I5" s="16">
        <v>8.0</v>
      </c>
      <c r="J5" s="16">
        <v>11.0</v>
      </c>
      <c r="K5" s="16">
        <v>14.0</v>
      </c>
      <c r="L5" s="16">
        <v>3.0</v>
      </c>
      <c r="AY5" s="15">
        <f t="shared" si="2"/>
        <v>8</v>
      </c>
      <c r="AZ5" s="4">
        <f t="shared" si="3"/>
        <v>24</v>
      </c>
    </row>
    <row r="6" ht="14.25" customHeight="1">
      <c r="A6" s="15" t="s">
        <v>106</v>
      </c>
      <c r="B6" s="15">
        <v>7.0</v>
      </c>
      <c r="C6" s="15">
        <v>9.0</v>
      </c>
      <c r="D6" s="15">
        <v>1.0</v>
      </c>
      <c r="E6" s="15">
        <v>6.0</v>
      </c>
      <c r="F6" s="16">
        <v>10.0</v>
      </c>
      <c r="G6" s="16">
        <v>7.0</v>
      </c>
      <c r="H6" s="16">
        <v>14.0</v>
      </c>
      <c r="I6" s="16">
        <v>5.0</v>
      </c>
      <c r="J6" s="16">
        <v>3.0</v>
      </c>
      <c r="K6" s="16">
        <v>7.0</v>
      </c>
      <c r="L6" s="16">
        <v>2.0</v>
      </c>
      <c r="AY6" s="15">
        <f t="shared" si="2"/>
        <v>11</v>
      </c>
      <c r="AZ6" s="4">
        <f t="shared" si="3"/>
        <v>24</v>
      </c>
    </row>
    <row r="7" ht="14.25" customHeight="1">
      <c r="A7" s="15" t="s">
        <v>107</v>
      </c>
      <c r="B7" s="15">
        <v>8.0</v>
      </c>
      <c r="C7" s="15">
        <v>10.0</v>
      </c>
      <c r="D7" s="15">
        <v>13.0</v>
      </c>
      <c r="F7" s="16">
        <v>1.0</v>
      </c>
      <c r="H7" s="16">
        <v>4.0</v>
      </c>
      <c r="J7" s="16">
        <v>8.0</v>
      </c>
      <c r="L7" s="16">
        <v>5.0</v>
      </c>
      <c r="AY7" s="15">
        <f t="shared" si="2"/>
        <v>7</v>
      </c>
      <c r="AZ7" s="4">
        <f t="shared" si="3"/>
        <v>24</v>
      </c>
    </row>
    <row r="8" ht="14.25" customHeight="1">
      <c r="A8" s="15" t="s">
        <v>108</v>
      </c>
      <c r="B8" s="15">
        <v>2.0</v>
      </c>
      <c r="D8" s="15">
        <v>8.0</v>
      </c>
      <c r="AY8" s="15">
        <f t="shared" si="2"/>
        <v>2</v>
      </c>
      <c r="AZ8" s="4">
        <f t="shared" si="3"/>
        <v>32</v>
      </c>
    </row>
    <row r="9" ht="14.25" customHeight="1">
      <c r="A9" s="15" t="s">
        <v>109</v>
      </c>
      <c r="B9" s="15">
        <v>13.0</v>
      </c>
      <c r="D9" s="15">
        <v>4.0</v>
      </c>
      <c r="AY9" s="15">
        <f t="shared" si="2"/>
        <v>2</v>
      </c>
      <c r="AZ9" s="4">
        <f t="shared" si="3"/>
        <v>32</v>
      </c>
    </row>
    <row r="10" ht="14.25" customHeight="1">
      <c r="A10" s="15" t="s">
        <v>110</v>
      </c>
      <c r="B10" s="15">
        <v>12.0</v>
      </c>
      <c r="D10" s="15">
        <v>3.0</v>
      </c>
      <c r="E10" s="15">
        <v>10.0</v>
      </c>
      <c r="G10" s="16">
        <v>11.0</v>
      </c>
      <c r="H10" s="16">
        <v>3.0</v>
      </c>
      <c r="I10" s="16">
        <v>3.0</v>
      </c>
      <c r="J10" s="16">
        <v>13.0</v>
      </c>
      <c r="K10" s="16">
        <v>2.0</v>
      </c>
      <c r="L10" s="16">
        <v>1.0</v>
      </c>
      <c r="AY10" s="15">
        <f t="shared" si="2"/>
        <v>9</v>
      </c>
      <c r="AZ10" s="4">
        <f t="shared" si="3"/>
        <v>24</v>
      </c>
    </row>
    <row r="11" ht="14.25" customHeight="1">
      <c r="A11" s="15" t="s">
        <v>111</v>
      </c>
      <c r="D11" s="15">
        <v>6.0</v>
      </c>
      <c r="AY11" s="15">
        <f t="shared" si="2"/>
        <v>1</v>
      </c>
      <c r="AZ11" s="4">
        <f t="shared" si="3"/>
        <v>32</v>
      </c>
    </row>
    <row r="12" ht="14.25" customHeight="1">
      <c r="A12" s="15" t="s">
        <v>112</v>
      </c>
      <c r="B12" s="15">
        <v>3.0</v>
      </c>
      <c r="C12" s="15">
        <v>1.0</v>
      </c>
      <c r="D12" s="15">
        <v>2.0</v>
      </c>
      <c r="E12" s="15">
        <v>1.0</v>
      </c>
      <c r="F12" s="16">
        <v>12.0</v>
      </c>
      <c r="G12" s="16">
        <v>9.0</v>
      </c>
      <c r="H12" s="16">
        <v>13.0</v>
      </c>
      <c r="I12" s="16">
        <v>2.0</v>
      </c>
      <c r="J12" s="16">
        <v>6.0</v>
      </c>
      <c r="K12" s="16">
        <v>8.0</v>
      </c>
      <c r="L12" s="16">
        <v>10.0</v>
      </c>
      <c r="AY12" s="15">
        <f t="shared" si="2"/>
        <v>11</v>
      </c>
      <c r="AZ12" s="4">
        <f t="shared" si="3"/>
        <v>24</v>
      </c>
    </row>
    <row r="13" ht="14.25" customHeight="1">
      <c r="A13" s="15" t="s">
        <v>113</v>
      </c>
      <c r="C13" s="15">
        <v>6.0</v>
      </c>
      <c r="F13" s="16">
        <v>9.0</v>
      </c>
      <c r="G13" s="16">
        <v>8.0</v>
      </c>
      <c r="H13" s="16">
        <v>12.0</v>
      </c>
      <c r="J13" s="16">
        <v>10.0</v>
      </c>
      <c r="K13" s="16">
        <v>12.0</v>
      </c>
      <c r="AY13" s="15">
        <f t="shared" si="2"/>
        <v>6</v>
      </c>
      <c r="AZ13" s="4">
        <f t="shared" si="3"/>
        <v>24</v>
      </c>
    </row>
    <row r="14" ht="14.25" customHeight="1">
      <c r="A14" s="15" t="s">
        <v>114</v>
      </c>
      <c r="B14" s="15">
        <v>6.0</v>
      </c>
      <c r="C14" s="15">
        <v>2.0</v>
      </c>
      <c r="D14" s="15">
        <v>14.0</v>
      </c>
      <c r="E14" s="15">
        <v>7.0</v>
      </c>
      <c r="F14" s="16">
        <v>4.0</v>
      </c>
      <c r="G14" s="16">
        <v>1.0</v>
      </c>
      <c r="H14" s="16">
        <v>1.0</v>
      </c>
      <c r="I14" s="16">
        <v>10.0</v>
      </c>
      <c r="J14" s="16">
        <v>15.0</v>
      </c>
      <c r="K14" s="16">
        <v>4.0</v>
      </c>
      <c r="L14" s="16">
        <v>11.0</v>
      </c>
      <c r="AY14" s="15">
        <f t="shared" si="2"/>
        <v>11</v>
      </c>
      <c r="AZ14" s="4">
        <f t="shared" si="3"/>
        <v>24</v>
      </c>
    </row>
    <row r="15" ht="14.25" customHeight="1">
      <c r="A15" s="15" t="s">
        <v>115</v>
      </c>
      <c r="B15" s="15">
        <v>9.0</v>
      </c>
      <c r="C15" s="15">
        <v>5.0</v>
      </c>
      <c r="D15" s="15">
        <v>5.0</v>
      </c>
      <c r="E15" s="15">
        <v>5.0</v>
      </c>
      <c r="F15" s="16">
        <v>2.0</v>
      </c>
      <c r="H15" s="16">
        <v>6.0</v>
      </c>
      <c r="I15" s="16">
        <v>7.0</v>
      </c>
      <c r="J15" s="16">
        <v>7.0</v>
      </c>
      <c r="K15" s="16">
        <v>9.0</v>
      </c>
      <c r="L15" s="16">
        <v>9.0</v>
      </c>
      <c r="AY15" s="15">
        <f t="shared" si="2"/>
        <v>10</v>
      </c>
      <c r="AZ15" s="4">
        <f t="shared" si="3"/>
        <v>24</v>
      </c>
    </row>
    <row r="16" ht="14.25" customHeight="1">
      <c r="A16" s="15" t="s">
        <v>116</v>
      </c>
      <c r="B16" s="15">
        <v>1.0</v>
      </c>
      <c r="C16" s="15">
        <v>8.0</v>
      </c>
      <c r="D16" s="15">
        <v>11.0</v>
      </c>
      <c r="E16" s="15">
        <v>11.0</v>
      </c>
      <c r="F16" s="16">
        <v>5.0</v>
      </c>
      <c r="G16" s="16">
        <v>2.0</v>
      </c>
      <c r="H16" s="16">
        <v>7.0</v>
      </c>
      <c r="J16" s="16">
        <v>9.0</v>
      </c>
      <c r="K16" s="16">
        <v>15.0</v>
      </c>
      <c r="L16" s="16">
        <v>4.0</v>
      </c>
      <c r="AY16" s="15">
        <f t="shared" si="2"/>
        <v>10</v>
      </c>
      <c r="AZ16" s="4">
        <f t="shared" si="3"/>
        <v>24</v>
      </c>
    </row>
    <row r="17" ht="14.25" customHeight="1">
      <c r="A17" s="15" t="s">
        <v>117</v>
      </c>
      <c r="B17" s="15">
        <v>11.0</v>
      </c>
      <c r="C17" s="15">
        <v>3.0</v>
      </c>
      <c r="D17" s="15">
        <v>12.0</v>
      </c>
      <c r="E17" s="15">
        <v>3.0</v>
      </c>
      <c r="F17" s="16">
        <v>8.0</v>
      </c>
      <c r="G17" s="16">
        <v>10.0</v>
      </c>
      <c r="H17" s="16">
        <v>8.0</v>
      </c>
      <c r="I17" s="16">
        <v>6.0</v>
      </c>
      <c r="J17" s="16">
        <v>14.0</v>
      </c>
      <c r="K17" s="16">
        <v>13.0</v>
      </c>
      <c r="L17" s="16">
        <v>6.0</v>
      </c>
      <c r="AY17" s="15">
        <f t="shared" si="2"/>
        <v>11</v>
      </c>
      <c r="AZ17" s="4">
        <f t="shared" si="3"/>
        <v>24</v>
      </c>
    </row>
    <row r="18" ht="14.25" customHeight="1">
      <c r="A18" s="15" t="s">
        <v>118</v>
      </c>
      <c r="B18" s="15">
        <v>10.0</v>
      </c>
      <c r="C18" s="15">
        <v>4.0</v>
      </c>
      <c r="E18" s="15">
        <v>9.0</v>
      </c>
      <c r="F18" s="16">
        <v>7.0</v>
      </c>
      <c r="G18" s="16">
        <v>12.0</v>
      </c>
      <c r="H18" s="16">
        <v>16.0</v>
      </c>
      <c r="I18" s="16">
        <v>1.0</v>
      </c>
      <c r="J18" s="16">
        <v>5.0</v>
      </c>
      <c r="K18" s="16">
        <v>1.0</v>
      </c>
      <c r="AY18" s="15">
        <f t="shared" si="2"/>
        <v>9</v>
      </c>
      <c r="AZ18" s="4">
        <f t="shared" si="3"/>
        <v>24</v>
      </c>
    </row>
    <row r="19" ht="14.25" customHeight="1">
      <c r="A19" s="15" t="s">
        <v>119</v>
      </c>
      <c r="B19" s="15">
        <v>4.0</v>
      </c>
      <c r="C19" s="15">
        <v>7.0</v>
      </c>
      <c r="D19" s="15">
        <v>7.0</v>
      </c>
      <c r="E19" s="15">
        <v>2.0</v>
      </c>
      <c r="F19" s="16">
        <v>3.0</v>
      </c>
      <c r="H19" s="16">
        <v>9.0</v>
      </c>
      <c r="I19" s="16">
        <v>4.0</v>
      </c>
      <c r="J19" s="16">
        <v>2.0</v>
      </c>
      <c r="K19" s="16">
        <v>11.0</v>
      </c>
      <c r="L19" s="16">
        <v>8.0</v>
      </c>
      <c r="AY19" s="15">
        <f t="shared" si="2"/>
        <v>10</v>
      </c>
      <c r="AZ19" s="4">
        <f t="shared" si="3"/>
        <v>24</v>
      </c>
    </row>
    <row r="20" ht="14.25" customHeight="1">
      <c r="A20" s="16" t="s">
        <v>120</v>
      </c>
      <c r="F20" s="16">
        <v>11.0</v>
      </c>
      <c r="AY20" s="15">
        <f t="shared" si="2"/>
        <v>1</v>
      </c>
      <c r="AZ20" s="4">
        <f t="shared" si="3"/>
        <v>32</v>
      </c>
    </row>
    <row r="21" ht="14.25" customHeight="1">
      <c r="A21" s="16" t="s">
        <v>121</v>
      </c>
      <c r="G21" s="16">
        <v>3.0</v>
      </c>
      <c r="H21" s="16">
        <v>15.0</v>
      </c>
      <c r="J21" s="16">
        <v>1.0</v>
      </c>
      <c r="K21" s="16">
        <v>10.0</v>
      </c>
      <c r="AY21" s="15">
        <f t="shared" si="2"/>
        <v>4</v>
      </c>
      <c r="AZ21" s="4">
        <f t="shared" si="3"/>
        <v>32</v>
      </c>
    </row>
    <row r="22" ht="14.25" customHeight="1">
      <c r="A22" s="16" t="s">
        <v>122</v>
      </c>
      <c r="G22" s="16">
        <v>4.0</v>
      </c>
      <c r="H22" s="16">
        <v>10.0</v>
      </c>
      <c r="J22" s="16">
        <v>4.0</v>
      </c>
      <c r="K22" s="16">
        <v>3.0</v>
      </c>
      <c r="AY22" s="15">
        <f t="shared" si="2"/>
        <v>4</v>
      </c>
      <c r="AZ22" s="4">
        <f t="shared" si="3"/>
        <v>32</v>
      </c>
    </row>
    <row r="23" ht="14.25" customHeight="1">
      <c r="A23" s="16" t="s">
        <v>123</v>
      </c>
      <c r="G23" s="16">
        <v>5.0</v>
      </c>
      <c r="H23" s="16">
        <v>11.0</v>
      </c>
      <c r="J23" s="16">
        <v>12.0</v>
      </c>
      <c r="K23" s="16">
        <v>6.0</v>
      </c>
      <c r="AY23" s="15">
        <f t="shared" si="2"/>
        <v>4</v>
      </c>
      <c r="AZ23" s="4">
        <f t="shared" si="3"/>
        <v>32</v>
      </c>
    </row>
    <row r="24" ht="14.25" customHeight="1">
      <c r="A24" s="16" t="s">
        <v>124</v>
      </c>
      <c r="K24" s="16">
        <v>5.0</v>
      </c>
      <c r="AY24" s="15">
        <f t="shared" si="2"/>
        <v>1</v>
      </c>
      <c r="AZ24" s="4">
        <f t="shared" si="3"/>
        <v>32</v>
      </c>
    </row>
    <row r="25" ht="14.25" customHeight="1">
      <c r="A25" s="16" t="s">
        <v>125</v>
      </c>
      <c r="L25" s="16">
        <v>7.0</v>
      </c>
      <c r="AY25" s="15">
        <f t="shared" si="2"/>
        <v>1</v>
      </c>
      <c r="AZ25" s="4">
        <f t="shared" si="3"/>
        <v>32</v>
      </c>
    </row>
    <row r="26" ht="14.25" customHeight="1">
      <c r="AY26" s="15">
        <f t="shared" si="2"/>
        <v>0</v>
      </c>
      <c r="AZ26" s="4">
        <f t="shared" si="3"/>
        <v>32</v>
      </c>
    </row>
    <row r="27" ht="14.25" customHeight="1">
      <c r="AY27" s="15">
        <f t="shared" si="2"/>
        <v>0</v>
      </c>
      <c r="AZ27" s="4">
        <f t="shared" si="3"/>
        <v>32</v>
      </c>
    </row>
    <row r="28" ht="14.25" customHeight="1">
      <c r="AY28" s="15">
        <f t="shared" si="2"/>
        <v>0</v>
      </c>
      <c r="AZ28" s="4">
        <f t="shared" si="3"/>
        <v>32</v>
      </c>
    </row>
    <row r="29" ht="14.25" customHeight="1">
      <c r="AY29" s="15">
        <f t="shared" si="2"/>
        <v>0</v>
      </c>
      <c r="AZ29" s="4">
        <f t="shared" si="3"/>
        <v>32</v>
      </c>
    </row>
    <row r="30" ht="14.25" customHeight="1">
      <c r="AY30" s="15">
        <f t="shared" si="2"/>
        <v>0</v>
      </c>
      <c r="AZ30" s="4">
        <f t="shared" si="3"/>
        <v>32</v>
      </c>
    </row>
    <row r="31" ht="14.25" customHeight="1">
      <c r="AY31" s="15">
        <f t="shared" si="2"/>
        <v>0</v>
      </c>
      <c r="AZ31" s="4">
        <f t="shared" si="3"/>
        <v>32</v>
      </c>
    </row>
    <row r="32" ht="14.25" customHeight="1">
      <c r="AY32" s="15">
        <f t="shared" si="2"/>
        <v>0</v>
      </c>
      <c r="AZ32" s="4">
        <f t="shared" si="3"/>
        <v>32</v>
      </c>
    </row>
    <row r="33" ht="14.25" customHeight="1">
      <c r="AY33" s="15">
        <f t="shared" si="2"/>
        <v>0</v>
      </c>
      <c r="AZ33" s="4">
        <f t="shared" si="3"/>
        <v>32</v>
      </c>
    </row>
    <row r="34" ht="14.25" customHeight="1">
      <c r="AY34" s="15">
        <f t="shared" si="2"/>
        <v>0</v>
      </c>
      <c r="AZ34" s="4">
        <f t="shared" si="3"/>
        <v>32</v>
      </c>
    </row>
    <row r="35" ht="14.25" customHeight="1">
      <c r="AY35" s="15">
        <f t="shared" si="2"/>
        <v>0</v>
      </c>
      <c r="AZ35" s="4">
        <f t="shared" si="3"/>
        <v>32</v>
      </c>
    </row>
    <row r="36" ht="14.25" customHeight="1">
      <c r="AY36" s="15">
        <f t="shared" si="2"/>
        <v>0</v>
      </c>
      <c r="AZ36" s="4">
        <f t="shared" si="3"/>
        <v>32</v>
      </c>
    </row>
    <row r="37" ht="14.25" customHeight="1">
      <c r="AY37" s="15">
        <f t="shared" si="2"/>
        <v>0</v>
      </c>
      <c r="AZ37" s="4">
        <f t="shared" si="3"/>
        <v>32</v>
      </c>
    </row>
    <row r="38" ht="14.25" customHeight="1">
      <c r="AY38" s="15">
        <f t="shared" si="2"/>
        <v>0</v>
      </c>
      <c r="AZ38" s="4">
        <f t="shared" si="3"/>
        <v>32</v>
      </c>
    </row>
    <row r="39" ht="14.25" customHeight="1">
      <c r="AY39" s="15">
        <f t="shared" si="2"/>
        <v>0</v>
      </c>
      <c r="AZ39" s="4">
        <f t="shared" si="3"/>
        <v>32</v>
      </c>
    </row>
    <row r="40" ht="14.25" customHeight="1">
      <c r="AY40" s="15">
        <f t="shared" si="2"/>
        <v>0</v>
      </c>
      <c r="AZ40" s="4">
        <f t="shared" si="3"/>
        <v>32</v>
      </c>
    </row>
    <row r="41" ht="14.25" customHeight="1">
      <c r="AY41" s="15">
        <f t="shared" si="2"/>
        <v>0</v>
      </c>
      <c r="AZ41" s="4">
        <f t="shared" si="3"/>
        <v>32</v>
      </c>
    </row>
    <row r="42" ht="14.25" customHeight="1">
      <c r="AY42" s="15">
        <f t="shared" si="2"/>
        <v>0</v>
      </c>
      <c r="AZ42" s="4">
        <f t="shared" si="3"/>
        <v>32</v>
      </c>
    </row>
    <row r="43" ht="14.25" customHeight="1">
      <c r="AY43" s="15">
        <f t="shared" si="2"/>
        <v>0</v>
      </c>
      <c r="AZ43" s="4">
        <f t="shared" si="3"/>
        <v>32</v>
      </c>
    </row>
    <row r="44" ht="14.25" customHeight="1">
      <c r="AY44" s="15">
        <f t="shared" si="2"/>
        <v>0</v>
      </c>
      <c r="AZ44" s="4">
        <f t="shared" si="3"/>
        <v>32</v>
      </c>
    </row>
    <row r="45" ht="14.25" customHeight="1">
      <c r="AY45" s="15">
        <f t="shared" si="2"/>
        <v>0</v>
      </c>
      <c r="AZ45" s="4">
        <f t="shared" si="3"/>
        <v>32</v>
      </c>
    </row>
    <row r="46" ht="14.25" customHeight="1">
      <c r="AY46" s="15">
        <f t="shared" si="2"/>
        <v>0</v>
      </c>
      <c r="AZ46" s="4">
        <f t="shared" si="3"/>
        <v>32</v>
      </c>
    </row>
    <row r="47" ht="14.25" customHeight="1">
      <c r="AY47" s="15">
        <f t="shared" si="2"/>
        <v>0</v>
      </c>
      <c r="AZ47" s="4">
        <f t="shared" si="3"/>
        <v>32</v>
      </c>
    </row>
    <row r="48" ht="14.25" customHeight="1">
      <c r="AY48" s="15">
        <f t="shared" si="2"/>
        <v>0</v>
      </c>
      <c r="AZ48" s="4">
        <f t="shared" si="3"/>
        <v>32</v>
      </c>
    </row>
    <row r="49" ht="14.25" customHeight="1">
      <c r="AY49" s="15">
        <f t="shared" si="2"/>
        <v>0</v>
      </c>
      <c r="AZ49" s="4">
        <f t="shared" si="3"/>
        <v>32</v>
      </c>
    </row>
    <row r="50" ht="14.25" customHeight="1">
      <c r="AY50" s="15">
        <f t="shared" si="2"/>
        <v>0</v>
      </c>
      <c r="AZ50" s="4">
        <f t="shared" si="3"/>
        <v>32</v>
      </c>
    </row>
    <row r="51" ht="14.25" customHeight="1">
      <c r="AY51" s="15">
        <f t="shared" si="2"/>
        <v>0</v>
      </c>
      <c r="AZ51" s="4">
        <f t="shared" si="3"/>
        <v>32</v>
      </c>
    </row>
    <row r="52" ht="14.25" customHeight="1">
      <c r="AY52" s="15">
        <f t="shared" si="2"/>
        <v>0</v>
      </c>
      <c r="AZ52" s="4">
        <f t="shared" si="3"/>
        <v>32</v>
      </c>
    </row>
    <row r="53" ht="14.25" customHeight="1">
      <c r="AY53" s="15">
        <f t="shared" si="2"/>
        <v>0</v>
      </c>
      <c r="AZ53" s="4">
        <f t="shared" si="3"/>
        <v>32</v>
      </c>
    </row>
    <row r="54" ht="14.25" customHeight="1">
      <c r="AY54" s="15">
        <f t="shared" si="2"/>
        <v>0</v>
      </c>
      <c r="AZ54" s="4">
        <f t="shared" si="3"/>
        <v>32</v>
      </c>
    </row>
    <row r="55" ht="14.25" customHeight="1">
      <c r="AY55" s="15">
        <f t="shared" si="2"/>
        <v>0</v>
      </c>
      <c r="AZ55" s="4">
        <f t="shared" si="3"/>
        <v>32</v>
      </c>
    </row>
    <row r="56" ht="14.25" customHeight="1">
      <c r="AY56" s="15">
        <f t="shared" si="2"/>
        <v>0</v>
      </c>
      <c r="AZ56" s="4">
        <f t="shared" si="3"/>
        <v>32</v>
      </c>
    </row>
    <row r="57" ht="14.25" customHeight="1">
      <c r="AY57" s="15">
        <f t="shared" si="2"/>
        <v>0</v>
      </c>
      <c r="AZ57" s="4">
        <f t="shared" si="3"/>
        <v>32</v>
      </c>
    </row>
    <row r="58" ht="14.25" customHeight="1">
      <c r="AY58" s="15">
        <f t="shared" si="2"/>
        <v>0</v>
      </c>
      <c r="AZ58" s="4">
        <f t="shared" si="3"/>
        <v>32</v>
      </c>
    </row>
    <row r="59" ht="14.25" customHeight="1">
      <c r="AY59" s="15">
        <f t="shared" si="2"/>
        <v>0</v>
      </c>
      <c r="AZ59" s="4">
        <f t="shared" si="3"/>
        <v>32</v>
      </c>
    </row>
    <row r="60" ht="14.25" customHeight="1">
      <c r="AY60" s="15">
        <f t="shared" si="2"/>
        <v>0</v>
      </c>
      <c r="AZ60" s="4">
        <f t="shared" si="3"/>
        <v>32</v>
      </c>
    </row>
    <row r="61" ht="14.25" customHeight="1">
      <c r="AY61" s="15">
        <f t="shared" si="2"/>
        <v>0</v>
      </c>
      <c r="AZ61" s="4">
        <f t="shared" si="3"/>
        <v>32</v>
      </c>
    </row>
    <row r="62" ht="14.25" customHeight="1">
      <c r="AY62" s="15">
        <f t="shared" si="2"/>
        <v>0</v>
      </c>
      <c r="AZ62" s="4">
        <f t="shared" si="3"/>
        <v>32</v>
      </c>
    </row>
    <row r="63" ht="14.25" customHeight="1">
      <c r="AY63" s="15">
        <f t="shared" si="2"/>
        <v>0</v>
      </c>
      <c r="AZ63" s="4">
        <f t="shared" si="3"/>
        <v>32</v>
      </c>
    </row>
    <row r="64" ht="14.25" customHeight="1">
      <c r="AY64" s="15">
        <f t="shared" si="2"/>
        <v>0</v>
      </c>
      <c r="AZ64" s="4">
        <f t="shared" si="3"/>
        <v>32</v>
      </c>
    </row>
    <row r="65" ht="14.25" customHeight="1">
      <c r="AY65" s="15">
        <f t="shared" si="2"/>
        <v>0</v>
      </c>
      <c r="AZ65" s="4">
        <f t="shared" si="3"/>
        <v>32</v>
      </c>
    </row>
    <row r="66" ht="14.25" customHeight="1">
      <c r="AY66" s="15">
        <f t="shared" si="2"/>
        <v>0</v>
      </c>
      <c r="AZ66" s="4">
        <f t="shared" si="3"/>
        <v>32</v>
      </c>
    </row>
    <row r="67" ht="14.25" customHeight="1">
      <c r="AY67" s="15">
        <f t="shared" si="2"/>
        <v>0</v>
      </c>
      <c r="AZ67" s="4">
        <f t="shared" si="3"/>
        <v>32</v>
      </c>
    </row>
    <row r="68" ht="14.25" customHeight="1">
      <c r="AY68" s="15">
        <f t="shared" si="2"/>
        <v>0</v>
      </c>
      <c r="AZ68" s="4">
        <f t="shared" si="3"/>
        <v>32</v>
      </c>
    </row>
    <row r="69" ht="14.25" customHeight="1">
      <c r="AY69" s="15">
        <f t="shared" si="2"/>
        <v>0</v>
      </c>
      <c r="AZ69" s="4">
        <f t="shared" si="3"/>
        <v>32</v>
      </c>
    </row>
    <row r="70" ht="14.25" customHeight="1">
      <c r="AY70" s="15">
        <f t="shared" si="2"/>
        <v>0</v>
      </c>
      <c r="AZ70" s="4">
        <f t="shared" si="3"/>
        <v>32</v>
      </c>
    </row>
    <row r="71" ht="14.25" customHeight="1">
      <c r="AY71" s="15">
        <f t="shared" si="2"/>
        <v>0</v>
      </c>
      <c r="AZ71" s="4">
        <f t="shared" si="3"/>
        <v>32</v>
      </c>
    </row>
    <row r="72" ht="14.25" customHeight="1">
      <c r="AY72" s="15">
        <f t="shared" si="2"/>
        <v>0</v>
      </c>
      <c r="AZ72" s="4">
        <f t="shared" si="3"/>
        <v>32</v>
      </c>
    </row>
    <row r="73" ht="14.25" customHeight="1">
      <c r="AY73" s="15">
        <f t="shared" si="2"/>
        <v>0</v>
      </c>
      <c r="AZ73" s="4">
        <f t="shared" si="3"/>
        <v>32</v>
      </c>
    </row>
    <row r="74" ht="14.25" customHeight="1">
      <c r="AY74" s="15">
        <f t="shared" si="2"/>
        <v>0</v>
      </c>
      <c r="AZ74" s="4">
        <f t="shared" si="3"/>
        <v>32</v>
      </c>
    </row>
    <row r="75" ht="14.25" customHeight="1">
      <c r="AY75" s="15">
        <f t="shared" si="2"/>
        <v>0</v>
      </c>
      <c r="AZ75" s="4">
        <f t="shared" si="3"/>
        <v>32</v>
      </c>
    </row>
    <row r="76" ht="14.25" customHeight="1">
      <c r="AY76" s="15">
        <f t="shared" si="2"/>
        <v>0</v>
      </c>
      <c r="AZ76" s="4">
        <f t="shared" si="3"/>
        <v>32</v>
      </c>
    </row>
    <row r="77" ht="14.25" customHeight="1">
      <c r="AY77" s="15">
        <f t="shared" si="2"/>
        <v>0</v>
      </c>
      <c r="AZ77" s="4">
        <f t="shared" si="3"/>
        <v>32</v>
      </c>
    </row>
    <row r="78" ht="14.25" customHeight="1">
      <c r="AY78" s="15">
        <f t="shared" si="2"/>
        <v>0</v>
      </c>
      <c r="AZ78" s="4">
        <f t="shared" si="3"/>
        <v>32</v>
      </c>
    </row>
    <row r="79" ht="14.25" customHeight="1">
      <c r="AY79" s="15">
        <f t="shared" si="2"/>
        <v>0</v>
      </c>
      <c r="AZ79" s="4">
        <f t="shared" si="3"/>
        <v>32</v>
      </c>
    </row>
    <row r="80" ht="14.25" customHeight="1">
      <c r="AY80" s="15">
        <f t="shared" si="2"/>
        <v>0</v>
      </c>
      <c r="AZ80" s="4">
        <f t="shared" si="3"/>
        <v>32</v>
      </c>
    </row>
    <row r="81" ht="14.25" customHeight="1">
      <c r="AY81" s="15">
        <f t="shared" si="2"/>
        <v>0</v>
      </c>
      <c r="AZ81" s="4">
        <f t="shared" si="3"/>
        <v>32</v>
      </c>
    </row>
    <row r="82" ht="14.25" customHeight="1">
      <c r="AY82" s="15">
        <f t="shared" si="2"/>
        <v>0</v>
      </c>
      <c r="AZ82" s="4">
        <f t="shared" si="3"/>
        <v>32</v>
      </c>
    </row>
    <row r="83" ht="14.25" customHeight="1">
      <c r="AY83" s="15">
        <f t="shared" si="2"/>
        <v>0</v>
      </c>
      <c r="AZ83" s="4">
        <f t="shared" si="3"/>
        <v>32</v>
      </c>
    </row>
    <row r="84" ht="14.25" customHeight="1">
      <c r="AY84" s="15">
        <f t="shared" si="2"/>
        <v>0</v>
      </c>
      <c r="AZ84" s="4">
        <f t="shared" si="3"/>
        <v>32</v>
      </c>
    </row>
    <row r="85" ht="14.25" customHeight="1">
      <c r="AY85" s="15">
        <f t="shared" si="2"/>
        <v>0</v>
      </c>
      <c r="AZ85" s="4">
        <f t="shared" si="3"/>
        <v>32</v>
      </c>
    </row>
    <row r="86" ht="14.25" customHeight="1">
      <c r="AY86" s="15">
        <f t="shared" si="2"/>
        <v>0</v>
      </c>
      <c r="AZ86" s="4">
        <f t="shared" si="3"/>
        <v>32</v>
      </c>
    </row>
    <row r="87" ht="14.25" customHeight="1">
      <c r="AY87" s="15">
        <f t="shared" si="2"/>
        <v>0</v>
      </c>
      <c r="AZ87" s="4">
        <f t="shared" si="3"/>
        <v>32</v>
      </c>
    </row>
    <row r="88" ht="14.25" customHeight="1">
      <c r="AY88" s="15">
        <f t="shared" si="2"/>
        <v>0</v>
      </c>
      <c r="AZ88" s="4">
        <f t="shared" si="3"/>
        <v>32</v>
      </c>
    </row>
    <row r="89" ht="14.25" customHeight="1">
      <c r="AY89" s="15">
        <f t="shared" si="2"/>
        <v>0</v>
      </c>
      <c r="AZ89" s="4">
        <f t="shared" si="3"/>
        <v>32</v>
      </c>
    </row>
    <row r="90" ht="14.25" customHeight="1">
      <c r="AY90" s="15">
        <f t="shared" si="2"/>
        <v>0</v>
      </c>
      <c r="AZ90" s="4">
        <f t="shared" si="3"/>
        <v>32</v>
      </c>
    </row>
    <row r="91" ht="14.25" customHeight="1">
      <c r="AY91" s="15">
        <f t="shared" si="2"/>
        <v>0</v>
      </c>
      <c r="AZ91" s="4">
        <f t="shared" si="3"/>
        <v>32</v>
      </c>
    </row>
    <row r="92" ht="14.25" customHeight="1">
      <c r="AY92" s="15">
        <f t="shared" si="2"/>
        <v>0</v>
      </c>
      <c r="AZ92" s="4">
        <f t="shared" si="3"/>
        <v>32</v>
      </c>
    </row>
    <row r="93" ht="14.25" customHeight="1">
      <c r="AY93" s="15">
        <f t="shared" si="2"/>
        <v>0</v>
      </c>
      <c r="AZ93" s="4">
        <f t="shared" si="3"/>
        <v>32</v>
      </c>
    </row>
    <row r="94" ht="14.25" customHeight="1">
      <c r="AY94" s="15">
        <f t="shared" si="2"/>
        <v>0</v>
      </c>
      <c r="AZ94" s="4">
        <f t="shared" si="3"/>
        <v>32</v>
      </c>
    </row>
    <row r="95" ht="14.25" customHeight="1">
      <c r="AY95" s="15">
        <f t="shared" si="2"/>
        <v>0</v>
      </c>
      <c r="AZ95" s="4">
        <f t="shared" si="3"/>
        <v>32</v>
      </c>
    </row>
    <row r="96" ht="14.25" customHeight="1">
      <c r="AY96" s="15">
        <f t="shared" si="2"/>
        <v>0</v>
      </c>
      <c r="AZ96" s="4">
        <f t="shared" si="3"/>
        <v>32</v>
      </c>
    </row>
    <row r="97" ht="14.25" customHeight="1">
      <c r="AY97" s="15">
        <f t="shared" si="2"/>
        <v>0</v>
      </c>
      <c r="AZ97" s="4">
        <f t="shared" si="3"/>
        <v>32</v>
      </c>
    </row>
    <row r="98" ht="14.25" customHeight="1">
      <c r="AY98" s="15">
        <f t="shared" si="2"/>
        <v>0</v>
      </c>
      <c r="AZ98" s="4">
        <f t="shared" si="3"/>
        <v>32</v>
      </c>
    </row>
    <row r="99" ht="14.25" customHeight="1">
      <c r="AY99" s="15">
        <f t="shared" si="2"/>
        <v>0</v>
      </c>
      <c r="AZ99" s="4">
        <f t="shared" si="3"/>
        <v>32</v>
      </c>
    </row>
    <row r="100" ht="14.25" customHeight="1">
      <c r="AY100" s="15">
        <f t="shared" si="2"/>
        <v>0</v>
      </c>
      <c r="AZ100" s="4">
        <f t="shared" si="3"/>
        <v>32</v>
      </c>
    </row>
    <row r="101" ht="14.25" customHeight="1">
      <c r="AY101" s="15">
        <f t="shared" si="2"/>
        <v>0</v>
      </c>
      <c r="AZ101" s="4">
        <f t="shared" si="3"/>
        <v>32</v>
      </c>
    </row>
    <row r="102" ht="14.25" customHeight="1">
      <c r="AY102" s="15">
        <f t="shared" si="2"/>
        <v>0</v>
      </c>
      <c r="AZ102" s="4">
        <f t="shared" si="3"/>
        <v>32</v>
      </c>
    </row>
    <row r="103" ht="14.25" customHeight="1">
      <c r="AY103" s="15">
        <f t="shared" si="2"/>
        <v>0</v>
      </c>
      <c r="AZ103" s="4">
        <f t="shared" si="3"/>
        <v>32</v>
      </c>
    </row>
    <row r="104" ht="14.25" customHeight="1">
      <c r="AY104" s="15">
        <f t="shared" si="2"/>
        <v>0</v>
      </c>
      <c r="AZ104" s="4">
        <f t="shared" si="3"/>
        <v>32</v>
      </c>
    </row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3:$AZ$3">
    <sortState ref="A3:AZ3">
      <sortCondition ref="A3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0"/>
    <col customWidth="1" min="2" max="2" width="11.71"/>
    <col customWidth="1" min="3" max="53" width="10.71"/>
  </cols>
  <sheetData>
    <row r="1">
      <c r="A1" s="19" t="s">
        <v>126</v>
      </c>
    </row>
    <row r="2" ht="14.25" customHeight="1">
      <c r="A2" s="22" t="s">
        <v>127</v>
      </c>
    </row>
    <row r="3" ht="14.25" customHeight="1">
      <c r="A3" s="30" t="s">
        <v>101</v>
      </c>
      <c r="B3" s="30" t="s">
        <v>128</v>
      </c>
      <c r="C3" s="31">
        <v>45903.0</v>
      </c>
      <c r="D3" s="31">
        <v>45910.0</v>
      </c>
      <c r="E3" s="31">
        <v>45917.0</v>
      </c>
      <c r="F3" s="31">
        <v>45924.0</v>
      </c>
      <c r="G3" s="31">
        <v>45931.0</v>
      </c>
      <c r="H3" s="31">
        <v>45938.0</v>
      </c>
      <c r="I3" s="31">
        <v>45945.0</v>
      </c>
      <c r="J3" s="31">
        <v>45952.0</v>
      </c>
      <c r="K3" s="31">
        <v>45959.0</v>
      </c>
      <c r="L3" s="31">
        <v>45966.0</v>
      </c>
      <c r="M3" s="31">
        <v>45973.0</v>
      </c>
      <c r="N3" s="31">
        <v>45980.0</v>
      </c>
      <c r="O3" s="31">
        <v>45987.0</v>
      </c>
      <c r="P3" s="31">
        <v>45994.0</v>
      </c>
      <c r="Q3" s="31">
        <v>46001.0</v>
      </c>
      <c r="R3" s="31">
        <v>46008.0</v>
      </c>
      <c r="S3" s="31">
        <v>46015.0</v>
      </c>
      <c r="T3" s="31">
        <v>46022.0</v>
      </c>
      <c r="U3" s="31">
        <v>46029.0</v>
      </c>
      <c r="V3" s="31">
        <v>46036.0</v>
      </c>
      <c r="W3" s="31">
        <v>46043.0</v>
      </c>
      <c r="X3" s="31">
        <v>46050.0</v>
      </c>
      <c r="Y3" s="31">
        <v>46057.0</v>
      </c>
      <c r="Z3" s="31">
        <v>46064.0</v>
      </c>
      <c r="AA3" s="31">
        <v>46071.0</v>
      </c>
      <c r="AB3" s="31">
        <v>46078.0</v>
      </c>
      <c r="AC3" s="31">
        <v>46085.0</v>
      </c>
      <c r="AD3" s="31">
        <v>46092.0</v>
      </c>
      <c r="AE3" s="31">
        <v>46099.0</v>
      </c>
      <c r="AF3" s="31">
        <v>46106.0</v>
      </c>
      <c r="AG3" s="31">
        <v>46113.0</v>
      </c>
      <c r="AH3" s="31">
        <v>46120.0</v>
      </c>
      <c r="AI3" s="31">
        <v>46127.0</v>
      </c>
      <c r="AJ3" s="31">
        <v>46134.0</v>
      </c>
      <c r="AK3" s="31">
        <v>46141.0</v>
      </c>
      <c r="AL3" s="31">
        <v>46148.0</v>
      </c>
      <c r="AM3" s="31">
        <v>46155.0</v>
      </c>
      <c r="AN3" s="31">
        <v>46162.0</v>
      </c>
      <c r="AO3" s="31">
        <v>46169.0</v>
      </c>
      <c r="AP3" s="31">
        <v>46176.0</v>
      </c>
      <c r="AQ3" s="31">
        <v>46183.0</v>
      </c>
      <c r="AR3" s="31">
        <v>46190.0</v>
      </c>
      <c r="AS3" s="31">
        <v>46197.0</v>
      </c>
      <c r="AT3" s="31">
        <v>46204.0</v>
      </c>
      <c r="AU3" s="31">
        <v>46211.0</v>
      </c>
      <c r="AV3" s="31">
        <v>46218.0</v>
      </c>
      <c r="AW3" s="31">
        <v>46225.0</v>
      </c>
      <c r="AX3" s="31">
        <v>46232.0</v>
      </c>
      <c r="AY3" s="31">
        <v>46239.0</v>
      </c>
      <c r="AZ3" s="15" t="s">
        <v>129</v>
      </c>
    </row>
    <row r="4" ht="14.25" customHeight="1">
      <c r="A4" s="32" t="str">
        <f>IF('Résultats des tournois'!A4="","",'Résultats des tournois'!A4)</f>
        <v>Breizhkanaki</v>
      </c>
      <c r="B4" s="32">
        <v>1500.0</v>
      </c>
      <c r="C4" s="32">
        <f>IF('Résultats des tournois'!B4="","",B4+'K dynamique'!B4*((SQRT('Résultats des tournois'!B$2+1)/'Résultats des tournois'!B4)-(1/(1+10^((B4-B4)/400)))))</f>
        <v>1507.946607</v>
      </c>
      <c r="D4" s="32">
        <f>IFERROR(__xludf.DUMMYFUNCTION("IF('Résultats des tournois'!C$2=0,"""",LET(
lastVal, INDEX(FILTER($B4:C4, ISNUMBER($B4:C4)), COUNTA(FILTER($B4:C4, ISNUMBER($B4:C4)))),
IFERROR(
IF('Résultats des tournois'!C4="""", INDEX(FILTER($C4:C4, ISNUMBER($C4:C4)), COUNTA(FILTER($C4:C4, ISNUMBER($C"&amp;"4:C4)))),
lastVal + 'K dynamique'!C4 * ((SQRT('Résultats des tournois'!C$2 + 1)/'Résultats des tournois'!C4) - (1 / (1 + 10^((C$103 - lastVal)/400)))))
)
))"),1502.2700363466809)</f>
        <v>1502.270036</v>
      </c>
      <c r="E4" s="32">
        <f>IFERROR(__xludf.DUMMYFUNCTION("IF('Résultats des tournois'!D$2=0,"""",LET(
lastVal, INDEX(FILTER($B4:D4, ISNUMBER($B4:D4)), COUNTA(FILTER($B4:D4, ISNUMBER($B4:D4)))),
IFERROR(
IF('Résultats des tournois'!D4="""", INDEX(FILTER($C4:D4, ISNUMBER($C4:D4)), COUNTA(FILTER($C4:D4, ISNUMBER($C"&amp;"4:D4)))),
lastVal + 'K dynamique'!D4 * ((SQRT('Résultats des tournois'!D$2 + 1)/'Résultats des tournois'!D4) - (1 / (1 + 10^((D$103 - lastVal)/400)))))
)
))"),1499.649282283463)</f>
        <v>1499.649282</v>
      </c>
      <c r="F4" s="32">
        <f>IFERROR(__xludf.DUMMYFUNCTION("IF('Résultats des tournois'!E$2=0,"""",LET(
lastVal, INDEX(FILTER($B4:E4, ISNUMBER($B4:E4)), COUNTA(FILTER($B4:E4, ISNUMBER($B4:E4)))),
IFERROR(
IF('Résultats des tournois'!E4="""", INDEX(FILTER($C4:E4, ISNUMBER($C4:E4)), COUNTA(FILTER($C4:E4, ISNUMBER($C"&amp;"4:E4)))),
lastVal + 'K dynamique'!E4 * ((SQRT('Résultats des tournois'!E$2 + 1)/'Résultats des tournois'!E4) - (1 / (1 + 10^((E$103 - lastVal)/400)))))
)
))"),1498.9897046746478)</f>
        <v>1498.989705</v>
      </c>
      <c r="G4" s="32">
        <f>IFERROR(__xludf.DUMMYFUNCTION("IF('Résultats des tournois'!F$2=0,"""",LET(
lastVal, INDEX(FILTER($B4:F4, ISNUMBER($B4:F4)), COUNTA(FILTER($B4:F4, ISNUMBER($B4:F4)))),
IFERROR(
IF('Résultats des tournois'!F4="""", INDEX(FILTER($C4:F4, ISNUMBER($C4:F4)), COUNTA(FILTER($C4:F4, ISNUMBER($C"&amp;"4:F4)))),
lastVal + 'K dynamique'!F4 * ((SQRT('Résultats des tournois'!F$2 + 1)/'Résultats des tournois'!F4) - (1 / (1 + 10^((F$103 - lastVal)/400)))))
)
))"),1498.9897046746478)</f>
        <v>1498.989705</v>
      </c>
      <c r="H4" s="32">
        <f>IFERROR(__xludf.DUMMYFUNCTION("IF('Résultats des tournois'!G$2=0,"""",LET(
lastVal, INDEX(FILTER($B4:G4, ISNUMBER($B4:G4)), COUNTA(FILTER($B4:G4, ISNUMBER($B4:G4)))),
IFERROR(
IF('Résultats des tournois'!G4="""", INDEX(FILTER($C4:G4, ISNUMBER($C4:G4)), COUNTA(FILTER($C4:G4, ISNUMBER($C"&amp;"4:G4)))),
lastVal + 'K dynamique'!G4 * ((SQRT('Résultats des tournois'!G$2 + 1)/'Résultats des tournois'!G4) - (1 / (1 + 10^((G$103 - lastVal)/400)))))
)
))"),1504.4939788449126)</f>
        <v>1504.493979</v>
      </c>
      <c r="I4" s="32">
        <f>IFERROR(__xludf.DUMMYFUNCTION("IF('Résultats des tournois'!H$2=0,"""",LET(
lastVal, INDEX(FILTER($B4:H4, ISNUMBER($B4:H4)), COUNTA(FILTER($B4:H4, ISNUMBER($B4:H4)))),
IFERROR(
IF('Résultats des tournois'!H4="""", INDEX(FILTER($C4:H4, ISNUMBER($C4:H4)), COUNTA(FILTER($C4:H4, ISNUMBER($C"&amp;"4:H4)))),
lastVal + 'K dynamique'!H4 * ((SQRT('Résultats des tournois'!H$2 + 1)/'Résultats des tournois'!H4) - (1 / (1 + 10^((H$103 - lastVal)/400)))))
)
))"),1513.7916235412072)</f>
        <v>1513.791624</v>
      </c>
      <c r="J4" s="32">
        <f>IFERROR(__xludf.DUMMYFUNCTION("IF('Résultats des tournois'!I$2=0,"""",LET(
lastVal, INDEX(FILTER($B4:I4, ISNUMBER($B4:I4)), COUNTA(FILTER($B4:I4, ISNUMBER($B4:I4)))),
IFERROR(
IF('Résultats des tournois'!I4="""", INDEX(FILTER($C4:I4, ISNUMBER($C4:I4)), COUNTA(FILTER($C4:I4, ISNUMBER($C"&amp;"4:I4)))),
lastVal + 'K dynamique'!I4 * ((SQRT('Résultats des tournois'!I$2 + 1)/'Résultats des tournois'!I4) - (1 / (1 + 10^((I$103 - lastVal)/400)))))
)
))"),1512.09711887037)</f>
        <v>1512.097119</v>
      </c>
      <c r="K4" s="32">
        <f>IFERROR(__xludf.DUMMYFUNCTION("IF('Résultats des tournois'!J$2=0,"""",LET(
lastVal, INDEX(FILTER($B4:J4, ISNUMBER($B4:J4)), COUNTA(FILTER($B4:J4, ISNUMBER($B4:J4)))),
IFERROR(
IF('Résultats des tournois'!J4="""", INDEX(FILTER($C4:J4, ISNUMBER($C4:J4)), COUNTA(FILTER($C4:J4, ISNUMBER($C"&amp;"4:J4)))),
lastVal + 'K dynamique'!J4 * ((SQRT('Résultats des tournois'!J$2 + 1)/'Résultats des tournois'!J4) - (1 / (1 + 10^((J$103 - lastVal)/400)))))
)
))"),1512.09711887037)</f>
        <v>1512.097119</v>
      </c>
      <c r="L4" s="32">
        <f>IFERROR(__xludf.DUMMYFUNCTION("IF('Résultats des tournois'!K$2=0,"""",LET(
lastVal, INDEX(FILTER($B4:K4, ISNUMBER($B4:K4)), COUNTA(FILTER($B4:K4, ISNUMBER($B4:K4)))),
IFERROR(
IF('Résultats des tournois'!K4="""", INDEX(FILTER($C4:K4, ISNUMBER($C4:K4)), COUNTA(FILTER($C4:K4, ISNUMBER($C"&amp;"4:K4)))),
lastVal + 'K dynamique'!K4 * ((SQRT('Résultats des tournois'!K$2 + 1)/'Résultats des tournois'!K4) - (1 / (1 + 10^((K$103 - lastVal)/400)))))
)
))"),1512.09711887037)</f>
        <v>1512.097119</v>
      </c>
      <c r="M4" s="32">
        <f>IFERROR(__xludf.DUMMYFUNCTION("IF('Résultats des tournois'!L$2=0,"""",LET(
lastVal, INDEX(FILTER($B4:L4, ISNUMBER($B4:L4)), COUNTA(FILTER($B4:L4, ISNUMBER($B4:L4)))),
IFERROR(
IF('Résultats des tournois'!L4="""", INDEX(FILTER($C4:L4, ISNUMBER($C4:L4)), COUNTA(FILTER($C4:L4, ISNUMBER($C"&amp;"4:L4)))),
lastVal + 'K dynamique'!L4 * ((SQRT('Résultats des tournois'!L$2 + 1)/'Résultats des tournois'!L4) - (1 / (1 + 10^((L$103 - lastVal)/400)))))
)
))"),1512.09711887037)</f>
        <v>1512.097119</v>
      </c>
      <c r="N4" s="32" t="str">
        <f>IFERROR(__xludf.DUMMYFUNCTION("IF('Résultats des tournois'!M$2=0,"""",LET(
lastVal, INDEX(FILTER($B4:M4, ISNUMBER($B4:M4)), COUNTA(FILTER($B4:M4, ISNUMBER($B4:M4)))),
IFERROR(
IF('Résultats des tournois'!M4="""", INDEX(FILTER($C4:M4, ISNUMBER($C4:M4)), COUNTA(FILTER($C4:M4, ISNUMBER($C"&amp;"4:M4)))),
lastVal + 'K dynamique'!M4 * ((SQRT('Résultats des tournois'!M$2 + 1)/'Résultats des tournois'!M4) - (1 / (1 + 10^((M$103 - lastVal)/400)))))
)
))"),"")</f>
        <v/>
      </c>
      <c r="O4" s="32" t="str">
        <f>IFERROR(__xludf.DUMMYFUNCTION("IF('Résultats des tournois'!N$2=0,"""",LET(
lastVal, INDEX(FILTER($B4:N4, ISNUMBER($B4:N4)), COUNTA(FILTER($B4:N4, ISNUMBER($B4:N4)))),
IFERROR(
IF('Résultats des tournois'!N4="""", INDEX(FILTER($C4:N4, ISNUMBER($C4:N4)), COUNTA(FILTER($C4:N4, ISNUMBER($C"&amp;"4:N4)))),
lastVal + 'K dynamique'!N4 * ((SQRT('Résultats des tournois'!N$2 + 1)/'Résultats des tournois'!N4) - (1 / (1 + 10^((N$103 - lastVal)/400)))))
)
))"),"")</f>
        <v/>
      </c>
      <c r="P4" s="32" t="str">
        <f>IFERROR(__xludf.DUMMYFUNCTION("IF('Résultats des tournois'!O$2=0,"""",LET(
lastVal, INDEX(FILTER($B4:O4, ISNUMBER($B4:O4)), COUNTA(FILTER($B4:O4, ISNUMBER($B4:O4)))),
IFERROR(
IF('Résultats des tournois'!O4="""", INDEX(FILTER($C4:O4, ISNUMBER($C4:O4)), COUNTA(FILTER($C4:O4, ISNUMBER($C"&amp;"4:O4)))),
lastVal + 'K dynamique'!O4 * ((SQRT('Résultats des tournois'!O$2 + 1)/'Résultats des tournois'!O4) - (1 / (1 + 10^((O$103 - lastVal)/400)))))
)
))"),"")</f>
        <v/>
      </c>
      <c r="Q4" s="32" t="str">
        <f>IFERROR(__xludf.DUMMYFUNCTION("IF('Résultats des tournois'!P$2=0,"""",LET(
lastVal, INDEX(FILTER($B4:P4, ISNUMBER($B4:P4)), COUNTA(FILTER($B4:P4, ISNUMBER($B4:P4)))),
IFERROR(
IF('Résultats des tournois'!P4="""", INDEX(FILTER($C4:P4, ISNUMBER($C4:P4)), COUNTA(FILTER($C4:P4, ISNUMBER($C"&amp;"4:P4)))),
lastVal + 'K dynamique'!P4 * ((SQRT('Résultats des tournois'!P$2 + 1)/'Résultats des tournois'!P4) - (1 / (1 + 10^((P$103 - lastVal)/400)))))
)
))"),"")</f>
        <v/>
      </c>
      <c r="R4" s="32" t="str">
        <f>IFERROR(__xludf.DUMMYFUNCTION("IF('Résultats des tournois'!Q$2=0,"""",LET(
lastVal, INDEX(FILTER($B4:Q4, ISNUMBER($B4:Q4)), COUNTA(FILTER($B4:Q4, ISNUMBER($B4:Q4)))),
IFERROR(
IF('Résultats des tournois'!Q4="""", INDEX(FILTER($C4:Q4, ISNUMBER($C4:Q4)), COUNTA(FILTER($C4:Q4, ISNUMBER($C"&amp;"4:Q4)))),
lastVal + 'K dynamique'!Q4 * ((SQRT('Résultats des tournois'!Q$2 + 1)/'Résultats des tournois'!Q4) - (1 / (1 + 10^((Q$103 - lastVal)/400)))))
)
))"),"")</f>
        <v/>
      </c>
      <c r="S4" s="32" t="str">
        <f>IFERROR(__xludf.DUMMYFUNCTION("IF('Résultats des tournois'!R$2=0,"""",LET(
lastVal, INDEX(FILTER($B4:R4, ISNUMBER($B4:R4)), COUNTA(FILTER($B4:R4, ISNUMBER($B4:R4)))),
IFERROR(
IF('Résultats des tournois'!R4="""", INDEX(FILTER($C4:R4, ISNUMBER($C4:R4)), COUNTA(FILTER($C4:R4, ISNUMBER($C"&amp;"4:R4)))),
lastVal + 'K dynamique'!R4 * ((SQRT('Résultats des tournois'!R$2 + 1)/'Résultats des tournois'!R4) - (1 / (1 + 10^((R$103 - lastVal)/400)))))
)
))"),"")</f>
        <v/>
      </c>
      <c r="T4" s="32" t="str">
        <f>IFERROR(__xludf.DUMMYFUNCTION("IF('Résultats des tournois'!S$2=0,"""",LET(
lastVal, INDEX(FILTER($B4:S4, ISNUMBER($B4:S4)), COUNTA(FILTER($B4:S4, ISNUMBER($B4:S4)))),
IFERROR(
IF('Résultats des tournois'!S4="""", INDEX(FILTER($C4:S4, ISNUMBER($C4:S4)), COUNTA(FILTER($C4:S4, ISNUMBER($C"&amp;"4:S4)))),
lastVal + 'K dynamique'!S4 * ((SQRT('Résultats des tournois'!S$2 + 1)/'Résultats des tournois'!S4) - (1 / (1 + 10^((S$103 - lastVal)/400)))))
)
))"),"")</f>
        <v/>
      </c>
      <c r="U4" s="32" t="str">
        <f>IFERROR(__xludf.DUMMYFUNCTION("IF('Résultats des tournois'!T$2=0,"""",LET(
lastVal, INDEX(FILTER($B4:T4, ISNUMBER($B4:T4)), COUNTA(FILTER($B4:T4, ISNUMBER($B4:T4)))),
IFERROR(
IF('Résultats des tournois'!T4="""", INDEX(FILTER($C4:T4, ISNUMBER($C4:T4)), COUNTA(FILTER($C4:T4, ISNUMBER($C"&amp;"4:T4)))),
lastVal + 'K dynamique'!T4 * ((SQRT('Résultats des tournois'!T$2 + 1)/'Résultats des tournois'!T4) - (1 / (1 + 10^((T$103 - lastVal)/400)))))
)
))"),"")</f>
        <v/>
      </c>
      <c r="V4" s="32" t="str">
        <f>IFERROR(__xludf.DUMMYFUNCTION("IF('Résultats des tournois'!U$2=0,"""",LET(
lastVal, INDEX(FILTER($B4:U4, ISNUMBER($B4:U4)), COUNTA(FILTER($B4:U4, ISNUMBER($B4:U4)))),
IFERROR(
IF('Résultats des tournois'!U4="""", INDEX(FILTER($C4:U4, ISNUMBER($C4:U4)), COUNTA(FILTER($C4:U4, ISNUMBER($C"&amp;"4:U4)))),
lastVal + 'K dynamique'!U4 * ((SQRT('Résultats des tournois'!U$2 + 1)/'Résultats des tournois'!U4) - (1 / (1 + 10^((U$103 - lastVal)/400)))))
)
))"),"")</f>
        <v/>
      </c>
      <c r="W4" s="32" t="str">
        <f>IFERROR(__xludf.DUMMYFUNCTION("IF('Résultats des tournois'!V$2=0,"""",LET(
lastVal, INDEX(FILTER($B4:V4, ISNUMBER($B4:V4)), COUNTA(FILTER($B4:V4, ISNUMBER($B4:V4)))),
IFERROR(
IF('Résultats des tournois'!V4="""", INDEX(FILTER($C4:V4, ISNUMBER($C4:V4)), COUNTA(FILTER($C4:V4, ISNUMBER($C"&amp;"4:V4)))),
lastVal + 'K dynamique'!V4 * ((SQRT('Résultats des tournois'!V$2 + 1)/'Résultats des tournois'!V4) - (1 / (1 + 10^((V$103 - lastVal)/400)))))
)
))"),"")</f>
        <v/>
      </c>
      <c r="X4" s="32" t="str">
        <f>IFERROR(__xludf.DUMMYFUNCTION("IF('Résultats des tournois'!W$2=0,"""",LET(
lastVal, INDEX(FILTER($B4:W4, ISNUMBER($B4:W4)), COUNTA(FILTER($B4:W4, ISNUMBER($B4:W4)))),
IFERROR(
IF('Résultats des tournois'!W4="""", INDEX(FILTER($C4:W4, ISNUMBER($C4:W4)), COUNTA(FILTER($C4:W4, ISNUMBER($C"&amp;"4:W4)))),
lastVal + 'K dynamique'!W4 * ((SQRT('Résultats des tournois'!W$2 + 1)/'Résultats des tournois'!W4) - (1 / (1 + 10^((W$103 - lastVal)/400)))))
)
))"),"")</f>
        <v/>
      </c>
      <c r="Y4" s="32" t="str">
        <f>IFERROR(__xludf.DUMMYFUNCTION("IF('Résultats des tournois'!X$2=0,"""",LET(
lastVal, INDEX(FILTER($B4:X4, ISNUMBER($B4:X4)), COUNTA(FILTER($B4:X4, ISNUMBER($B4:X4)))),
IFERROR(
IF('Résultats des tournois'!X4="""", INDEX(FILTER($C4:X4, ISNUMBER($C4:X4)), COUNTA(FILTER($C4:X4, ISNUMBER($C"&amp;"4:X4)))),
lastVal + 'K dynamique'!X4 * ((SQRT('Résultats des tournois'!X$2 + 1)/'Résultats des tournois'!X4) - (1 / (1 + 10^((X$103 - lastVal)/400)))))
)
))"),"")</f>
        <v/>
      </c>
      <c r="Z4" s="32" t="str">
        <f>IFERROR(__xludf.DUMMYFUNCTION("IF('Résultats des tournois'!Y$2=0,"""",LET(
lastVal, INDEX(FILTER($B4:Y4, ISNUMBER($B4:Y4)), COUNTA(FILTER($B4:Y4, ISNUMBER($B4:Y4)))),
IFERROR(
IF('Résultats des tournois'!Y4="""", INDEX(FILTER($C4:Y4, ISNUMBER($C4:Y4)), COUNTA(FILTER($C4:Y4, ISNUMBER($C"&amp;"4:Y4)))),
lastVal + 'K dynamique'!Y4 * ((SQRT('Résultats des tournois'!Y$2 + 1)/'Résultats des tournois'!Y4) - (1 / (1 + 10^((Y$103 - lastVal)/400)))))
)
))"),"")</f>
        <v/>
      </c>
      <c r="AA4" s="32" t="str">
        <f>IFERROR(__xludf.DUMMYFUNCTION("IF('Résultats des tournois'!Z$2=0,"""",LET(
lastVal, INDEX(FILTER($B4:Z4, ISNUMBER($B4:Z4)), COUNTA(FILTER($B4:Z4, ISNUMBER($B4:Z4)))),
IFERROR(
IF('Résultats des tournois'!Z4="""", INDEX(FILTER($C4:Z4, ISNUMBER($C4:Z4)), COUNTA(FILTER($C4:Z4, ISNUMBER($C"&amp;"4:Z4)))),
lastVal + 'K dynamique'!Z4 * ((SQRT('Résultats des tournois'!Z$2 + 1)/'Résultats des tournois'!Z4) - (1 / (1 + 10^((Z$103 - lastVal)/400)))))
)
))"),"")</f>
        <v/>
      </c>
      <c r="AB4" s="32" t="str">
        <f>IFERROR(__xludf.DUMMYFUNCTION("IF('Résultats des tournois'!AA$2=0,"""",LET(
lastVal, INDEX(FILTER($B4:AA4, ISNUMBER($B4:AA4)), COUNTA(FILTER($B4:AA4, ISNUMBER($B4:AA4)))),
IFERROR(
IF('Résultats des tournois'!AA4="""", INDEX(FILTER($C4:AA4, ISNUMBER($C4:AA4)), COUNTA(FILTER($C4:AA4, IS"&amp;"NUMBER($C4:AA4)))),
lastVal + 'K dynamique'!AA4 * ((SQRT('Résultats des tournois'!AA$2 + 1)/'Résultats des tournois'!AA4) - (1 / (1 + 10^((AA$103 - lastVal)/400)))))
)
))"),"")</f>
        <v/>
      </c>
      <c r="AC4" s="32" t="str">
        <f>IFERROR(__xludf.DUMMYFUNCTION("IF('Résultats des tournois'!AB$2=0,"""",LET(
lastVal, INDEX(FILTER($B4:AB4, ISNUMBER($B4:AB4)), COUNTA(FILTER($B4:AB4, ISNUMBER($B4:AB4)))),
IFERROR(
IF('Résultats des tournois'!AB4="""", INDEX(FILTER($C4:AB4, ISNUMBER($C4:AB4)), COUNTA(FILTER($C4:AB4, IS"&amp;"NUMBER($C4:AB4)))),
lastVal + 'K dynamique'!AB4 * ((SQRT('Résultats des tournois'!AB$2 + 1)/'Résultats des tournois'!AB4) - (1 / (1 + 10^((AB$103 - lastVal)/400)))))
)
))"),"")</f>
        <v/>
      </c>
      <c r="AD4" s="32" t="str">
        <f>IFERROR(__xludf.DUMMYFUNCTION("IF('Résultats des tournois'!AC$2=0,"""",LET(
lastVal, INDEX(FILTER($B4:AC4, ISNUMBER($B4:AC4)), COUNTA(FILTER($B4:AC4, ISNUMBER($B4:AC4)))),
IFERROR(
IF('Résultats des tournois'!AC4="""", INDEX(FILTER($C4:AC4, ISNUMBER($C4:AC4)), COUNTA(FILTER($C4:AC4, IS"&amp;"NUMBER($C4:AC4)))),
lastVal + 'K dynamique'!AC4 * ((SQRT('Résultats des tournois'!AC$2 + 1)/'Résultats des tournois'!AC4) - (1 / (1 + 10^((AC$103 - lastVal)/400)))))
)
))"),"")</f>
        <v/>
      </c>
      <c r="AE4" s="32" t="str">
        <f>IFERROR(__xludf.DUMMYFUNCTION("IF('Résultats des tournois'!AD$2=0,"""",LET(
lastVal, INDEX(FILTER($B4:AD4, ISNUMBER($B4:AD4)), COUNTA(FILTER($B4:AD4, ISNUMBER($B4:AD4)))),
IFERROR(
IF('Résultats des tournois'!AD4="""", INDEX(FILTER($C4:AD4, ISNUMBER($C4:AD4)), COUNTA(FILTER($C4:AD4, IS"&amp;"NUMBER($C4:AD4)))),
lastVal + 'K dynamique'!AD4 * ((SQRT('Résultats des tournois'!AD$2 + 1)/'Résultats des tournois'!AD4) - (1 / (1 + 10^((AD$103 - lastVal)/400)))))
)
))"),"")</f>
        <v/>
      </c>
      <c r="AF4" s="32" t="str">
        <f>IFERROR(__xludf.DUMMYFUNCTION("IF('Résultats des tournois'!AE$2=0,"""",LET(
lastVal, INDEX(FILTER($B4:AE4, ISNUMBER($B4:AE4)), COUNTA(FILTER($B4:AE4, ISNUMBER($B4:AE4)))),
IFERROR(
IF('Résultats des tournois'!AE4="""", INDEX(FILTER($C4:AE4, ISNUMBER($C4:AE4)), COUNTA(FILTER($C4:AE4, IS"&amp;"NUMBER($C4:AE4)))),
lastVal + 'K dynamique'!AE4 * ((SQRT('Résultats des tournois'!AE$2 + 1)/'Résultats des tournois'!AE4) - (1 / (1 + 10^((AE$103 - lastVal)/400)))))
)
))"),"")</f>
        <v/>
      </c>
      <c r="AG4" s="32" t="str">
        <f>IFERROR(__xludf.DUMMYFUNCTION("IF('Résultats des tournois'!AF$2=0,"""",LET(
lastVal, INDEX(FILTER($B4:AF4, ISNUMBER($B4:AF4)), COUNTA(FILTER($B4:AF4, ISNUMBER($B4:AF4)))),
IFERROR(
IF('Résultats des tournois'!AF4="""", INDEX(FILTER($C4:AF4, ISNUMBER($C4:AF4)), COUNTA(FILTER($C4:AF4, IS"&amp;"NUMBER($C4:AF4)))),
lastVal + 'K dynamique'!AF4 * ((SQRT('Résultats des tournois'!AF$2 + 1)/'Résultats des tournois'!AF4) - (1 / (1 + 10^((AF$103 - lastVal)/400)))))
)
))"),"")</f>
        <v/>
      </c>
      <c r="AH4" s="32" t="str">
        <f>IFERROR(__xludf.DUMMYFUNCTION("IF('Résultats des tournois'!AG$2=0,"""",LET(
lastVal, INDEX(FILTER($B4:AG4, ISNUMBER($B4:AG4)), COUNTA(FILTER($B4:AG4, ISNUMBER($B4:AG4)))),
IFERROR(
IF('Résultats des tournois'!AG4="""", INDEX(FILTER($C4:AG4, ISNUMBER($C4:AG4)), COUNTA(FILTER($C4:AG4, IS"&amp;"NUMBER($C4:AG4)))),
lastVal + 'K dynamique'!AG4 * ((SQRT('Résultats des tournois'!AG$2 + 1)/'Résultats des tournois'!AG4) - (1 / (1 + 10^((AG$103 - lastVal)/400)))))
)
))"),"")</f>
        <v/>
      </c>
      <c r="AI4" s="32" t="str">
        <f>IFERROR(__xludf.DUMMYFUNCTION("IF('Résultats des tournois'!AH$2=0,"""",LET(
lastVal, INDEX(FILTER($B4:AH4, ISNUMBER($B4:AH4)), COUNTA(FILTER($B4:AH4, ISNUMBER($B4:AH4)))),
IFERROR(
IF('Résultats des tournois'!AH4="""", INDEX(FILTER($C4:AH4, ISNUMBER($C4:AH4)), COUNTA(FILTER($C4:AH4, IS"&amp;"NUMBER($C4:AH4)))),
lastVal + 'K dynamique'!AH4 * ((SQRT('Résultats des tournois'!AH$2 + 1)/'Résultats des tournois'!AH4) - (1 / (1 + 10^((AH$103 - lastVal)/400)))))
)
))"),"")</f>
        <v/>
      </c>
      <c r="AJ4" s="32" t="str">
        <f>IFERROR(__xludf.DUMMYFUNCTION("IF('Résultats des tournois'!AI$2=0,"""",LET(
lastVal, INDEX(FILTER($B4:AI4, ISNUMBER($B4:AI4)), COUNTA(FILTER($B4:AI4, ISNUMBER($B4:AI4)))),
IFERROR(
IF('Résultats des tournois'!AI4="""", INDEX(FILTER($C4:AI4, ISNUMBER($C4:AI4)), COUNTA(FILTER($C4:AI4, IS"&amp;"NUMBER($C4:AI4)))),
lastVal + 'K dynamique'!AI4 * ((SQRT('Résultats des tournois'!AI$2 + 1)/'Résultats des tournois'!AI4) - (1 / (1 + 10^((AI$103 - lastVal)/400)))))
)
))"),"")</f>
        <v/>
      </c>
      <c r="AK4" s="32" t="str">
        <f>IFERROR(__xludf.DUMMYFUNCTION("IF('Résultats des tournois'!AJ$2=0,"""",LET(
lastVal, INDEX(FILTER($B4:AJ4, ISNUMBER($B4:AJ4)), COUNTA(FILTER($B4:AJ4, ISNUMBER($B4:AJ4)))),
IFERROR(
IF('Résultats des tournois'!AJ4="""", INDEX(FILTER($C4:AJ4, ISNUMBER($C4:AJ4)), COUNTA(FILTER($C4:AJ4, IS"&amp;"NUMBER($C4:AJ4)))),
lastVal + 'K dynamique'!AJ4 * ((SQRT('Résultats des tournois'!AJ$2 + 1)/'Résultats des tournois'!AJ4) - (1 / (1 + 10^((AJ$103 - lastVal)/400)))))
)
))"),"")</f>
        <v/>
      </c>
      <c r="AL4" s="32" t="str">
        <f>IFERROR(__xludf.DUMMYFUNCTION("IF('Résultats des tournois'!AK$2=0,"""",LET(
lastVal, INDEX(FILTER($B4:AK4, ISNUMBER($B4:AK4)), COUNTA(FILTER($B4:AK4, ISNUMBER($B4:AK4)))),
IFERROR(
IF('Résultats des tournois'!AK4="""", INDEX(FILTER($C4:AK4, ISNUMBER($C4:AK4)), COUNTA(FILTER($C4:AK4, IS"&amp;"NUMBER($C4:AK4)))),
lastVal + 'K dynamique'!AK4 * ((SQRT('Résultats des tournois'!AK$2 + 1)/'Résultats des tournois'!AK4) - (1 / (1 + 10^((AK$103 - lastVal)/400)))))
)
))"),"")</f>
        <v/>
      </c>
      <c r="AM4" s="32" t="str">
        <f>IFERROR(__xludf.DUMMYFUNCTION("IF('Résultats des tournois'!AL$2=0,"""",LET(
lastVal, INDEX(FILTER($B4:AL4, ISNUMBER($B4:AL4)), COUNTA(FILTER($B4:AL4, ISNUMBER($B4:AL4)))),
IFERROR(
IF('Résultats des tournois'!AL4="""", INDEX(FILTER($C4:AL4, ISNUMBER($C4:AL4)), COUNTA(FILTER($C4:AL4, IS"&amp;"NUMBER($C4:AL4)))),
lastVal + 'K dynamique'!AL4 * ((SQRT('Résultats des tournois'!AL$2 + 1)/'Résultats des tournois'!AL4) - (1 / (1 + 10^((AL$103 - lastVal)/400)))))
)
))"),"")</f>
        <v/>
      </c>
      <c r="AN4" s="32" t="str">
        <f>IFERROR(__xludf.DUMMYFUNCTION("IF('Résultats des tournois'!AM$2=0,"""",LET(
lastVal, INDEX(FILTER($B4:AM4, ISNUMBER($B4:AM4)), COUNTA(FILTER($B4:AM4, ISNUMBER($B4:AM4)))),
IFERROR(
IF('Résultats des tournois'!AM4="""", INDEX(FILTER($C4:AM4, ISNUMBER($C4:AM4)), COUNTA(FILTER($C4:AM4, IS"&amp;"NUMBER($C4:AM4)))),
lastVal + 'K dynamique'!AM4 * ((SQRT('Résultats des tournois'!AM$2 + 1)/'Résultats des tournois'!AM4) - (1 / (1 + 10^((AM$103 - lastVal)/400)))))
)
))"),"")</f>
        <v/>
      </c>
      <c r="AO4" s="32" t="str">
        <f>IFERROR(__xludf.DUMMYFUNCTION("IF('Résultats des tournois'!AN$2=0,"""",LET(
lastVal, INDEX(FILTER($B4:AN4, ISNUMBER($B4:AN4)), COUNTA(FILTER($B4:AN4, ISNUMBER($B4:AN4)))),
IFERROR(
IF('Résultats des tournois'!AN4="""", INDEX(FILTER($C4:AN4, ISNUMBER($C4:AN4)), COUNTA(FILTER($C4:AN4, IS"&amp;"NUMBER($C4:AN4)))),
lastVal + 'K dynamique'!AN4 * ((SQRT('Résultats des tournois'!AN$2 + 1)/'Résultats des tournois'!AN4) - (1 / (1 + 10^((AN$103 - lastVal)/400)))))
)
))"),"")</f>
        <v/>
      </c>
      <c r="AP4" s="32" t="str">
        <f>IFERROR(__xludf.DUMMYFUNCTION("IF('Résultats des tournois'!AO$2=0,"""",LET(
lastVal, INDEX(FILTER($B4:AO4, ISNUMBER($B4:AO4)), COUNTA(FILTER($B4:AO4, ISNUMBER($B4:AO4)))),
IFERROR(
IF('Résultats des tournois'!AO4="""", INDEX(FILTER($C4:AO4, ISNUMBER($C4:AO4)), COUNTA(FILTER($C4:AO4, IS"&amp;"NUMBER($C4:AO4)))),
lastVal + 'K dynamique'!AO4 * ((SQRT('Résultats des tournois'!AO$2 + 1)/'Résultats des tournois'!AO4) - (1 / (1 + 10^((AO$103 - lastVal)/400)))))
)
))"),"")</f>
        <v/>
      </c>
      <c r="AQ4" s="32" t="str">
        <f>IFERROR(__xludf.DUMMYFUNCTION("IF('Résultats des tournois'!AP$2=0,"""",LET(
lastVal, INDEX(FILTER($B4:AP4, ISNUMBER($B4:AP4)), COUNTA(FILTER($B4:AP4, ISNUMBER($B4:AP4)))),
IFERROR(
IF('Résultats des tournois'!AP4="""", INDEX(FILTER($C4:AP4, ISNUMBER($C4:AP4)), COUNTA(FILTER($C4:AP4, IS"&amp;"NUMBER($C4:AP4)))),
lastVal + 'K dynamique'!AP4 * ((SQRT('Résultats des tournois'!AP$2 + 1)/'Résultats des tournois'!AP4) - (1 / (1 + 10^((AP$103 - lastVal)/400)))))
)
))"),"")</f>
        <v/>
      </c>
      <c r="AR4" s="32" t="str">
        <f>IFERROR(__xludf.DUMMYFUNCTION("IF('Résultats des tournois'!AQ$2=0,"""",LET(
lastVal, INDEX(FILTER($B4:AQ4, ISNUMBER($B4:AQ4)), COUNTA(FILTER($B4:AQ4, ISNUMBER($B4:AQ4)))),
IFERROR(
IF('Résultats des tournois'!AQ4="""", INDEX(FILTER($C4:AQ4, ISNUMBER($C4:AQ4)), COUNTA(FILTER($C4:AQ4, IS"&amp;"NUMBER($C4:AQ4)))),
lastVal + 'K dynamique'!AQ4 * ((SQRT('Résultats des tournois'!AQ$2 + 1)/'Résultats des tournois'!AQ4) - (1 / (1 + 10^((AQ$103 - lastVal)/400)))))
)
))"),"")</f>
        <v/>
      </c>
      <c r="AS4" s="32" t="str">
        <f>IFERROR(__xludf.DUMMYFUNCTION("IF('Résultats des tournois'!AR$2=0,"""",LET(
lastVal, INDEX(FILTER($B4:AR4, ISNUMBER($B4:AR4)), COUNTA(FILTER($B4:AR4, ISNUMBER($B4:AR4)))),
IFERROR(
IF('Résultats des tournois'!AR4="""", INDEX(FILTER($C4:AR4, ISNUMBER($C4:AR4)), COUNTA(FILTER($C4:AR4, IS"&amp;"NUMBER($C4:AR4)))),
lastVal + 'K dynamique'!AR4 * ((SQRT('Résultats des tournois'!AR$2 + 1)/'Résultats des tournois'!AR4) - (1 / (1 + 10^((AR$103 - lastVal)/400)))))
)
))"),"")</f>
        <v/>
      </c>
      <c r="AT4" s="32" t="str">
        <f>IFERROR(__xludf.DUMMYFUNCTION("IF('Résultats des tournois'!AS$2=0,"""",LET(
lastVal, INDEX(FILTER($B4:AS4, ISNUMBER($B4:AS4)), COUNTA(FILTER($B4:AS4, ISNUMBER($B4:AS4)))),
IFERROR(
IF('Résultats des tournois'!AS4="""", INDEX(FILTER($C4:AS4, ISNUMBER($C4:AS4)), COUNTA(FILTER($C4:AS4, IS"&amp;"NUMBER($C4:AS4)))),
lastVal + 'K dynamique'!AS4 * ((SQRT('Résultats des tournois'!AS$2 + 1)/'Résultats des tournois'!AS4) - (1 / (1 + 10^((AS$103 - lastVal)/400)))))
)
))"),"")</f>
        <v/>
      </c>
      <c r="AU4" s="32" t="str">
        <f>IFERROR(__xludf.DUMMYFUNCTION("IF('Résultats des tournois'!AT$2=0,"""",LET(
lastVal, INDEX(FILTER($B4:AT4, ISNUMBER($B4:AT4)), COUNTA(FILTER($B4:AT4, ISNUMBER($B4:AT4)))),
IFERROR(
IF('Résultats des tournois'!AT4="""", INDEX(FILTER($C4:AT4, ISNUMBER($C4:AT4)), COUNTA(FILTER($C4:AT4, IS"&amp;"NUMBER($C4:AT4)))),
lastVal + 'K dynamique'!AT4 * ((SQRT('Résultats des tournois'!AT$2 + 1)/'Résultats des tournois'!AT4) - (1 / (1 + 10^((AT$103 - lastVal)/400)))))
)
))"),"")</f>
        <v/>
      </c>
      <c r="AV4" s="32" t="str">
        <f>IFERROR(__xludf.DUMMYFUNCTION("IF('Résultats des tournois'!AU$2=0,"""",LET(
lastVal, INDEX(FILTER($B4:AU4, ISNUMBER($B4:AU4)), COUNTA(FILTER($B4:AU4, ISNUMBER($B4:AU4)))),
IFERROR(
IF('Résultats des tournois'!AU4="""", INDEX(FILTER($C4:AU4, ISNUMBER($C4:AU4)), COUNTA(FILTER($C4:AU4, IS"&amp;"NUMBER($C4:AU4)))),
lastVal + 'K dynamique'!AU4 * ((SQRT('Résultats des tournois'!AU$2 + 1)/'Résultats des tournois'!AU4) - (1 / (1 + 10^((AU$103 - lastVal)/400)))))
)
))"),"")</f>
        <v/>
      </c>
      <c r="AW4" s="32" t="str">
        <f>IFERROR(__xludf.DUMMYFUNCTION("IF('Résultats des tournois'!AV$2=0,"""",LET(
lastVal, INDEX(FILTER($B4:AV4, ISNUMBER($B4:AV4)), COUNTA(FILTER($B4:AV4, ISNUMBER($B4:AV4)))),
IFERROR(
IF('Résultats des tournois'!AV4="""", INDEX(FILTER($C4:AV4, ISNUMBER($C4:AV4)), COUNTA(FILTER($C4:AV4, IS"&amp;"NUMBER($C4:AV4)))),
lastVal + 'K dynamique'!AV4 * ((SQRT('Résultats des tournois'!AV$2 + 1)/'Résultats des tournois'!AV4) - (1 / (1 + 10^((AV$103 - lastVal)/400)))))
)
))"),"")</f>
        <v/>
      </c>
      <c r="AX4" s="32" t="str">
        <f>IFERROR(__xludf.DUMMYFUNCTION("IF('Résultats des tournois'!AW$2=0,"""",LET(
lastVal, INDEX(FILTER($B4:AW4, ISNUMBER($B4:AW4)), COUNTA(FILTER($B4:AW4, ISNUMBER($B4:AW4)))),
IFERROR(
IF('Résultats des tournois'!AW4="""", INDEX(FILTER($C4:AW4, ISNUMBER($C4:AW4)), COUNTA(FILTER($C4:AW4, IS"&amp;"NUMBER($C4:AW4)))),
lastVal + 'K dynamique'!AW4 * ((SQRT('Résultats des tournois'!AW$2 + 1)/'Résultats des tournois'!AW4) - (1 / (1 + 10^((AW$103 - lastVal)/400)))))
)
))"),"")</f>
        <v/>
      </c>
      <c r="AY4" s="32" t="str">
        <f>IFERROR(__xludf.DUMMYFUNCTION("IF('Résultats des tournois'!AX$2=0,"""",LET(
lastVal, INDEX(FILTER($B4:AX4, ISNUMBER($B4:AX4)), COUNTA(FILTER($B4:AX4, ISNUMBER($B4:AX4)))),
IFERROR(
IF('Résultats des tournois'!AX4="""", INDEX(FILTER($C4:AX4, ISNUMBER($C4:AX4)), COUNTA(FILTER($C4:AX4, IS"&amp;"NUMBER($C4:AX4)))),
lastVal + 'K dynamique'!AX4 * ((SQRT('Résultats des tournois'!AX$2 + 1)/'Résultats des tournois'!AX4) - (1 / (1 + 10^((AX$103 - lastVal)/400)))))
)
))"),"")</f>
        <v/>
      </c>
      <c r="AZ4" s="4">
        <f t="array" ref="AZ4">IF(MAX(($C4:AY4&lt;&gt;"")*COLUMN($C4:AY4))=0,"",INDEX($C4:AY4,1,MAX(($C4:AY4&lt;&gt;"")*COLUMN($C4:AY4))-COLUMN($C4)+1))</f>
        <v>1512.097119</v>
      </c>
      <c r="BA4" s="33">
        <f t="shared" ref="BA4:BA102" si="1">IF(ISNUMBER(AZ4),RANK(AZ4,$AZ$4:$AZ$102,0),"")</f>
        <v>17</v>
      </c>
    </row>
    <row r="5" ht="14.25" customHeight="1">
      <c r="A5" s="32" t="str">
        <f>IF('Résultats des tournois'!A5="","",'Résultats des tournois'!A5)</f>
        <v>Cat</v>
      </c>
      <c r="B5" s="32">
        <v>1500.0</v>
      </c>
      <c r="C5" s="32" t="str">
        <f>IF('Résultats des tournois'!B5="","",B5+'K dynamique'!B5*((SQRT('Résultats des tournois'!B$2+1)/'Résultats des tournois'!B5)-(1/(1+10^((B5-B5)/400)))))</f>
        <v/>
      </c>
      <c r="D5" s="32" t="str">
        <f>IFERROR(__xludf.DUMMYFUNCTION("IF('Résultats des tournois'!C$2=0,"""",LET(
lastVal, INDEX(FILTER($B5:C5, ISNUMBER($B5:C5)), COUNTA(FILTER($B5:C5, ISNUMBER($B5:C5)))),
IFERROR(
IF('Résultats des tournois'!C5="""", INDEX(FILTER($C5:C5, ISNUMBER($C5:C5)), COUNTA(FILTER($C5:C5, ISNUMBER($C"&amp;"5:C5)))),
lastVal + 'K dynamique'!C5 * ((SQRT('Résultats des tournois'!C$2 + 1)/'Résultats des tournois'!C5) - (1 / (1 + 10^((C$103 - lastVal)/400)))))
)
))"),"")</f>
        <v/>
      </c>
      <c r="E5" s="32">
        <f>IFERROR(__xludf.DUMMYFUNCTION("IF('Résultats des tournois'!D$2=0,"""",LET(
lastVal, INDEX(FILTER($B5:D5, ISNUMBER($B5:D5)), COUNTA(FILTER($B5:D5, ISNUMBER($B5:D5)))),
IFERROR(
IF('Résultats des tournois'!D5="""", INDEX(FILTER($C5:D5, ISNUMBER($C5:D5)), COUNTA(FILTER($C5:D5, ISNUMBER($C"&amp;"5:D5)))),
lastVal + 'K dynamique'!D5 * ((SQRT('Résultats des tournois'!D$2 + 1)/'Résultats des tournois'!D5) - (1 / (1 + 10^((D$103 - lastVal)/400)))))
)
))"),1498.8604055768787)</f>
        <v>1498.860406</v>
      </c>
      <c r="F5" s="32">
        <f>IFERROR(__xludf.DUMMYFUNCTION("IF('Résultats des tournois'!E$2=0,"""",LET(
lastVal, INDEX(FILTER($B5:E5, ISNUMBER($B5:E5)), COUNTA(FILTER($B5:E5, ISNUMBER($B5:E5)))),
IFERROR(
IF('Résultats des tournois'!E5="""", INDEX(FILTER($C5:E5, ISNUMBER($C5:E5)), COUNTA(FILTER($C5:E5, ISNUMBER($C"&amp;"5:E5)))),
lastVal + 'K dynamique'!E5 * ((SQRT('Résultats des tournois'!E$2 + 1)/'Résultats des tournois'!E5) - (1 / (1 + 10^((E$103 - lastVal)/400)))))
)
))"),1512.0932433680416)</f>
        <v>1512.093243</v>
      </c>
      <c r="G5" s="32">
        <f>IFERROR(__xludf.DUMMYFUNCTION("IF('Résultats des tournois'!F$2=0,"""",LET(
lastVal, INDEX(FILTER($B5:F5, ISNUMBER($B5:F5)), COUNTA(FILTER($B5:F5, ISNUMBER($B5:F5)))),
IFERROR(
IF('Résultats des tournois'!F5="""", INDEX(FILTER($C5:F5, ISNUMBER($C5:F5)), COUNTA(FILTER($C5:F5, ISNUMBER($C"&amp;"5:F5)))),
lastVal + 'K dynamique'!F5 * ((SQRT('Résultats des tournois'!F$2 + 1)/'Résultats des tournois'!F5) - (1 / (1 + 10^((F$103 - lastVal)/400)))))
)
))"),1516.67817341469)</f>
        <v>1516.678173</v>
      </c>
      <c r="H5" s="32">
        <f>IFERROR(__xludf.DUMMYFUNCTION("IF('Résultats des tournois'!G$2=0,"""",LET(
lastVal, INDEX(FILTER($B5:G5, ISNUMBER($B5:G5)), COUNTA(FILTER($B5:G5, ISNUMBER($B5:G5)))),
IFERROR(
IF('Résultats des tournois'!G5="""", INDEX(FILTER($C5:G5, ISNUMBER($C5:G5)), COUNTA(FILTER($C5:G5, ISNUMBER($C"&amp;"5:G5)))),
lastVal + 'K dynamique'!G5 * ((SQRT('Résultats des tournois'!G$2 + 1)/'Résultats des tournois'!G5) - (1 / (1 + 10^((G$103 - lastVal)/400)))))
)
))"),1516.67817341469)</f>
        <v>1516.678173</v>
      </c>
      <c r="I5" s="32">
        <f>IFERROR(__xludf.DUMMYFUNCTION("IF('Résultats des tournois'!H$2=0,"""",LET(
lastVal, INDEX(FILTER($B5:H5, ISNUMBER($B5:H5)), COUNTA(FILTER($B5:H5, ISNUMBER($B5:H5)))),
IFERROR(
IF('Résultats des tournois'!H5="""", INDEX(FILTER($C5:H5, ISNUMBER($C5:H5)), COUNTA(FILTER($C5:H5, ISNUMBER($C"&amp;"5:H5)))),
lastVal + 'K dynamique'!H5 * ((SQRT('Résultats des tournois'!H$2 + 1)/'Résultats des tournois'!H5) - (1 / (1 + 10^((H$103 - lastVal)/400)))))
)
))"),1568.1023760682106)</f>
        <v>1568.102376</v>
      </c>
      <c r="J5" s="32">
        <f>IFERROR(__xludf.DUMMYFUNCTION("IF('Résultats des tournois'!I$2=0,"""",LET(
lastVal, INDEX(FILTER($B5:I5, ISNUMBER($B5:I5)), COUNTA(FILTER($B5:I5, ISNUMBER($B5:I5)))),
IFERROR(
IF('Résultats des tournois'!I5="""", INDEX(FILTER($C5:I5, ISNUMBER($C5:I5)), COUNTA(FILTER($C5:I5, ISNUMBER($C"&amp;"5:I5)))),
lastVal + 'K dynamique'!I5 * ((SQRT('Résultats des tournois'!I$2 + 1)/'Résultats des tournois'!I5) - (1 / (1 + 10^((I$103 - lastVal)/400)))))
)
))"),1564.8259128457182)</f>
        <v>1564.825913</v>
      </c>
      <c r="K5" s="32">
        <f>IFERROR(__xludf.DUMMYFUNCTION("IF('Résultats des tournois'!J$2=0,"""",LET(
lastVal, INDEX(FILTER($B5:J5, ISNUMBER($B5:J5)), COUNTA(FILTER($B5:J5, ISNUMBER($B5:J5)))),
IFERROR(
IF('Résultats des tournois'!J5="""", INDEX(FILTER($C5:J5, ISNUMBER($C5:J5)), COUNTA(FILTER($C5:J5, ISNUMBER($C"&amp;"5:J5)))),
lastVal + 'K dynamique'!J5 * ((SQRT('Résultats des tournois'!J$2 + 1)/'Résultats des tournois'!J5) - (1 / (1 + 10^((J$103 - lastVal)/400)))))
)
))"),1561.4392819605125)</f>
        <v>1561.439282</v>
      </c>
      <c r="L5" s="32">
        <f>IFERROR(__xludf.DUMMYFUNCTION("IF('Résultats des tournois'!K$2=0,"""",LET(
lastVal, INDEX(FILTER($B5:K5, ISNUMBER($B5:K5)), COUNTA(FILTER($B5:K5, ISNUMBER($B5:K5)))),
IFERROR(
IF('Résultats des tournois'!K5="""", INDEX(FILTER($C5:K5, ISNUMBER($C5:K5)), COUNTA(FILTER($C5:K5, ISNUMBER($C"&amp;"5:K5)))),
lastVal + 'K dynamique'!K5 * ((SQRT('Résultats des tournois'!K$2 + 1)/'Résultats des tournois'!K5) - (1 / (1 + 10^((K$103 - lastVal)/400)))))
)
))"),1556.581147242624)</f>
        <v>1556.581147</v>
      </c>
      <c r="M5" s="32">
        <f>IFERROR(__xludf.DUMMYFUNCTION("IF('Résultats des tournois'!L$2=0,"""",LET(
lastVal, INDEX(FILTER($B5:L5, ISNUMBER($B5:L5)), COUNTA(FILTER($B5:L5, ISNUMBER($B5:L5)))),
IFERROR(
IF('Résultats des tournois'!L5="""", INDEX(FILTER($C5:L5, ISNUMBER($C5:L5)), COUNTA(FILTER($C5:L5, ISNUMBER($C"&amp;"5:L5)))),
lastVal + 'K dynamique'!L5 * ((SQRT('Résultats des tournois'!L$2 + 1)/'Résultats des tournois'!L5) - (1 / (1 + 10^((L$103 - lastVal)/400)))))
)
))"),1572.8679639456602)</f>
        <v>1572.867964</v>
      </c>
      <c r="N5" s="32" t="str">
        <f>IFERROR(__xludf.DUMMYFUNCTION("IF('Résultats des tournois'!M$2=0,"""",LET(
lastVal, INDEX(FILTER($B5:M5, ISNUMBER($B5:M5)), COUNTA(FILTER($B5:M5, ISNUMBER($B5:M5)))),
IFERROR(
IF('Résultats des tournois'!M5="""", INDEX(FILTER($C5:M5, ISNUMBER($C5:M5)), COUNTA(FILTER($C5:M5, ISNUMBER($C"&amp;"5:M5)))),
lastVal + 'K dynamique'!M5 * ((SQRT('Résultats des tournois'!M$2 + 1)/'Résultats des tournois'!M5) - (1 / (1 + 10^((M$103 - lastVal)/400)))))
)
))"),"")</f>
        <v/>
      </c>
      <c r="O5" s="32" t="str">
        <f>IFERROR(__xludf.DUMMYFUNCTION("IF('Résultats des tournois'!N$2=0,"""",LET(
lastVal, INDEX(FILTER($B5:N5, ISNUMBER($B5:N5)), COUNTA(FILTER($B5:N5, ISNUMBER($B5:N5)))),
IFERROR(
IF('Résultats des tournois'!N5="""", INDEX(FILTER($C5:N5, ISNUMBER($C5:N5)), COUNTA(FILTER($C5:N5, ISNUMBER($C"&amp;"5:N5)))),
lastVal + 'K dynamique'!N5 * ((SQRT('Résultats des tournois'!N$2 + 1)/'Résultats des tournois'!N5) - (1 / (1 + 10^((N$103 - lastVal)/400)))))
)
))"),"")</f>
        <v/>
      </c>
      <c r="P5" s="32" t="str">
        <f>IFERROR(__xludf.DUMMYFUNCTION("IF('Résultats des tournois'!O$2=0,"""",LET(
lastVal, INDEX(FILTER($B5:O5, ISNUMBER($B5:O5)), COUNTA(FILTER($B5:O5, ISNUMBER($B5:O5)))),
IFERROR(
IF('Résultats des tournois'!O5="""", INDEX(FILTER($C5:O5, ISNUMBER($C5:O5)), COUNTA(FILTER($C5:O5, ISNUMBER($C"&amp;"5:O5)))),
lastVal + 'K dynamique'!O5 * ((SQRT('Résultats des tournois'!O$2 + 1)/'Résultats des tournois'!O5) - (1 / (1 + 10^((O$103 - lastVal)/400)))))
)
))"),"")</f>
        <v/>
      </c>
      <c r="Q5" s="32" t="str">
        <f>IFERROR(__xludf.DUMMYFUNCTION("IF('Résultats des tournois'!P$2=0,"""",LET(
lastVal, INDEX(FILTER($B5:P5, ISNUMBER($B5:P5)), COUNTA(FILTER($B5:P5, ISNUMBER($B5:P5)))),
IFERROR(
IF('Résultats des tournois'!P5="""", INDEX(FILTER($C5:P5, ISNUMBER($C5:P5)), COUNTA(FILTER($C5:P5, ISNUMBER($C"&amp;"5:P5)))),
lastVal + 'K dynamique'!P5 * ((SQRT('Résultats des tournois'!P$2 + 1)/'Résultats des tournois'!P5) - (1 / (1 + 10^((P$103 - lastVal)/400)))))
)
))"),"")</f>
        <v/>
      </c>
      <c r="R5" s="32" t="str">
        <f>IFERROR(__xludf.DUMMYFUNCTION("IF('Résultats des tournois'!Q$2=0,"""",LET(
lastVal, INDEX(FILTER($B5:Q5, ISNUMBER($B5:Q5)), COUNTA(FILTER($B5:Q5, ISNUMBER($B5:Q5)))),
IFERROR(
IF('Résultats des tournois'!Q5="""", INDEX(FILTER($C5:Q5, ISNUMBER($C5:Q5)), COUNTA(FILTER($C5:Q5, ISNUMBER($C"&amp;"5:Q5)))),
lastVal + 'K dynamique'!Q5 * ((SQRT('Résultats des tournois'!Q$2 + 1)/'Résultats des tournois'!Q5) - (1 / (1 + 10^((Q$103 - lastVal)/400)))))
)
))"),"")</f>
        <v/>
      </c>
      <c r="S5" s="32" t="str">
        <f>IFERROR(__xludf.DUMMYFUNCTION("IF('Résultats des tournois'!R$2=0,"""",LET(
lastVal, INDEX(FILTER($B5:R5, ISNUMBER($B5:R5)), COUNTA(FILTER($B5:R5, ISNUMBER($B5:R5)))),
IFERROR(
IF('Résultats des tournois'!R5="""", INDEX(FILTER($C5:R5, ISNUMBER($C5:R5)), COUNTA(FILTER($C5:R5, ISNUMBER($C"&amp;"5:R5)))),
lastVal + 'K dynamique'!R5 * ((SQRT('Résultats des tournois'!R$2 + 1)/'Résultats des tournois'!R5) - (1 / (1 + 10^((R$103 - lastVal)/400)))))
)
))"),"")</f>
        <v/>
      </c>
      <c r="T5" s="32" t="str">
        <f>IFERROR(__xludf.DUMMYFUNCTION("IF('Résultats des tournois'!S$2=0,"""",LET(
lastVal, INDEX(FILTER($B5:S5, ISNUMBER($B5:S5)), COUNTA(FILTER($B5:S5, ISNUMBER($B5:S5)))),
IFERROR(
IF('Résultats des tournois'!S5="""", INDEX(FILTER($C5:S5, ISNUMBER($C5:S5)), COUNTA(FILTER($C5:S5, ISNUMBER($C"&amp;"5:S5)))),
lastVal + 'K dynamique'!S5 * ((SQRT('Résultats des tournois'!S$2 + 1)/'Résultats des tournois'!S5) - (1 / (1 + 10^((S$103 - lastVal)/400)))))
)
))"),"")</f>
        <v/>
      </c>
      <c r="U5" s="32" t="str">
        <f>IFERROR(__xludf.DUMMYFUNCTION("IF('Résultats des tournois'!T$2=0,"""",LET(
lastVal, INDEX(FILTER($B5:T5, ISNUMBER($B5:T5)), COUNTA(FILTER($B5:T5, ISNUMBER($B5:T5)))),
IFERROR(
IF('Résultats des tournois'!T5="""", INDEX(FILTER($C5:T5, ISNUMBER($C5:T5)), COUNTA(FILTER($C5:T5, ISNUMBER($C"&amp;"5:T5)))),
lastVal + 'K dynamique'!T5 * ((SQRT('Résultats des tournois'!T$2 + 1)/'Résultats des tournois'!T5) - (1 / (1 + 10^((T$103 - lastVal)/400)))))
)
))"),"")</f>
        <v/>
      </c>
      <c r="V5" s="32" t="str">
        <f>IFERROR(__xludf.DUMMYFUNCTION("IF('Résultats des tournois'!U$2=0,"""",LET(
lastVal, INDEX(FILTER($B5:U5, ISNUMBER($B5:U5)), COUNTA(FILTER($B5:U5, ISNUMBER($B5:U5)))),
IFERROR(
IF('Résultats des tournois'!U5="""", INDEX(FILTER($C5:U5, ISNUMBER($C5:U5)), COUNTA(FILTER($C5:U5, ISNUMBER($C"&amp;"5:U5)))),
lastVal + 'K dynamique'!U5 * ((SQRT('Résultats des tournois'!U$2 + 1)/'Résultats des tournois'!U5) - (1 / (1 + 10^((U$103 - lastVal)/400)))))
)
))"),"")</f>
        <v/>
      </c>
      <c r="W5" s="32" t="str">
        <f>IFERROR(__xludf.DUMMYFUNCTION("IF('Résultats des tournois'!V$2=0,"""",LET(
lastVal, INDEX(FILTER($B5:V5, ISNUMBER($B5:V5)), COUNTA(FILTER($B5:V5, ISNUMBER($B5:V5)))),
IFERROR(
IF('Résultats des tournois'!V5="""", INDEX(FILTER($C5:V5, ISNUMBER($C5:V5)), COUNTA(FILTER($C5:V5, ISNUMBER($C"&amp;"5:V5)))),
lastVal + 'K dynamique'!V5 * ((SQRT('Résultats des tournois'!V$2 + 1)/'Résultats des tournois'!V5) - (1 / (1 + 10^((V$103 - lastVal)/400)))))
)
))"),"")</f>
        <v/>
      </c>
      <c r="X5" s="32" t="str">
        <f>IFERROR(__xludf.DUMMYFUNCTION("IF('Résultats des tournois'!W$2=0,"""",LET(
lastVal, INDEX(FILTER($B5:W5, ISNUMBER($B5:W5)), COUNTA(FILTER($B5:W5, ISNUMBER($B5:W5)))),
IFERROR(
IF('Résultats des tournois'!W5="""", INDEX(FILTER($C5:W5, ISNUMBER($C5:W5)), COUNTA(FILTER($C5:W5, ISNUMBER($C"&amp;"5:W5)))),
lastVal + 'K dynamique'!W5 * ((SQRT('Résultats des tournois'!W$2 + 1)/'Résultats des tournois'!W5) - (1 / (1 + 10^((W$103 - lastVal)/400)))))
)
))"),"")</f>
        <v/>
      </c>
      <c r="Y5" s="32" t="str">
        <f>IFERROR(__xludf.DUMMYFUNCTION("IF('Résultats des tournois'!X$2=0,"""",LET(
lastVal, INDEX(FILTER($B5:X5, ISNUMBER($B5:X5)), COUNTA(FILTER($B5:X5, ISNUMBER($B5:X5)))),
IFERROR(
IF('Résultats des tournois'!X5="""", INDEX(FILTER($C5:X5, ISNUMBER($C5:X5)), COUNTA(FILTER($C5:X5, ISNUMBER($C"&amp;"5:X5)))),
lastVal + 'K dynamique'!X5 * ((SQRT('Résultats des tournois'!X$2 + 1)/'Résultats des tournois'!X5) - (1 / (1 + 10^((X$103 - lastVal)/400)))))
)
))"),"")</f>
        <v/>
      </c>
      <c r="Z5" s="32" t="str">
        <f>IFERROR(__xludf.DUMMYFUNCTION("IF('Résultats des tournois'!Y$2=0,"""",LET(
lastVal, INDEX(FILTER($B5:Y5, ISNUMBER($B5:Y5)), COUNTA(FILTER($B5:Y5, ISNUMBER($B5:Y5)))),
IFERROR(
IF('Résultats des tournois'!Y5="""", INDEX(FILTER($C5:Y5, ISNUMBER($C5:Y5)), COUNTA(FILTER($C5:Y5, ISNUMBER($C"&amp;"5:Y5)))),
lastVal + 'K dynamique'!Y5 * ((SQRT('Résultats des tournois'!Y$2 + 1)/'Résultats des tournois'!Y5) - (1 / (1 + 10^((Y$103 - lastVal)/400)))))
)
))"),"")</f>
        <v/>
      </c>
      <c r="AA5" s="32" t="str">
        <f>IFERROR(__xludf.DUMMYFUNCTION("IF('Résultats des tournois'!Z$2=0,"""",LET(
lastVal, INDEX(FILTER($B5:Z5, ISNUMBER($B5:Z5)), COUNTA(FILTER($B5:Z5, ISNUMBER($B5:Z5)))),
IFERROR(
IF('Résultats des tournois'!Z5="""", INDEX(FILTER($C5:Z5, ISNUMBER($C5:Z5)), COUNTA(FILTER($C5:Z5, ISNUMBER($C"&amp;"5:Z5)))),
lastVal + 'K dynamique'!Z5 * ((SQRT('Résultats des tournois'!Z$2 + 1)/'Résultats des tournois'!Z5) - (1 / (1 + 10^((Z$103 - lastVal)/400)))))
)
))"),"")</f>
        <v/>
      </c>
      <c r="AB5" s="32" t="str">
        <f>IFERROR(__xludf.DUMMYFUNCTION("IF('Résultats des tournois'!AA$2=0,"""",LET(
lastVal, INDEX(FILTER($B5:AA5, ISNUMBER($B5:AA5)), COUNTA(FILTER($B5:AA5, ISNUMBER($B5:AA5)))),
IFERROR(
IF('Résultats des tournois'!AA5="""", INDEX(FILTER($C5:AA5, ISNUMBER($C5:AA5)), COUNTA(FILTER($C5:AA5, IS"&amp;"NUMBER($C5:AA5)))),
lastVal + 'K dynamique'!AA5 * ((SQRT('Résultats des tournois'!AA$2 + 1)/'Résultats des tournois'!AA5) - (1 / (1 + 10^((AA$103 - lastVal)/400)))))
)
))"),"")</f>
        <v/>
      </c>
      <c r="AC5" s="32" t="str">
        <f>IFERROR(__xludf.DUMMYFUNCTION("IF('Résultats des tournois'!AB$2=0,"""",LET(
lastVal, INDEX(FILTER($B5:AB5, ISNUMBER($B5:AB5)), COUNTA(FILTER($B5:AB5, ISNUMBER($B5:AB5)))),
IFERROR(
IF('Résultats des tournois'!AB5="""", INDEX(FILTER($C5:AB5, ISNUMBER($C5:AB5)), COUNTA(FILTER($C5:AB5, IS"&amp;"NUMBER($C5:AB5)))),
lastVal + 'K dynamique'!AB5 * ((SQRT('Résultats des tournois'!AB$2 + 1)/'Résultats des tournois'!AB5) - (1 / (1 + 10^((AB$103 - lastVal)/400)))))
)
))"),"")</f>
        <v/>
      </c>
      <c r="AD5" s="32" t="str">
        <f>IFERROR(__xludf.DUMMYFUNCTION("IF('Résultats des tournois'!AC$2=0,"""",LET(
lastVal, INDEX(FILTER($B5:AC5, ISNUMBER($B5:AC5)), COUNTA(FILTER($B5:AC5, ISNUMBER($B5:AC5)))),
IFERROR(
IF('Résultats des tournois'!AC5="""", INDEX(FILTER($C5:AC5, ISNUMBER($C5:AC5)), COUNTA(FILTER($C5:AC5, IS"&amp;"NUMBER($C5:AC5)))),
lastVal + 'K dynamique'!AC5 * ((SQRT('Résultats des tournois'!AC$2 + 1)/'Résultats des tournois'!AC5) - (1 / (1 + 10^((AC$103 - lastVal)/400)))))
)
))"),"")</f>
        <v/>
      </c>
      <c r="AE5" s="32" t="str">
        <f>IFERROR(__xludf.DUMMYFUNCTION("IF('Résultats des tournois'!AD$2=0,"""",LET(
lastVal, INDEX(FILTER($B5:AD5, ISNUMBER($B5:AD5)), COUNTA(FILTER($B5:AD5, ISNUMBER($B5:AD5)))),
IFERROR(
IF('Résultats des tournois'!AD5="""", INDEX(FILTER($C5:AD5, ISNUMBER($C5:AD5)), COUNTA(FILTER($C5:AD5, IS"&amp;"NUMBER($C5:AD5)))),
lastVal + 'K dynamique'!AD5 * ((SQRT('Résultats des tournois'!AD$2 + 1)/'Résultats des tournois'!AD5) - (1 / (1 + 10^((AD$103 - lastVal)/400)))))
)
))"),"")</f>
        <v/>
      </c>
      <c r="AF5" s="32" t="str">
        <f>IFERROR(__xludf.DUMMYFUNCTION("IF('Résultats des tournois'!AE$2=0,"""",LET(
lastVal, INDEX(FILTER($B5:AE5, ISNUMBER($B5:AE5)), COUNTA(FILTER($B5:AE5, ISNUMBER($B5:AE5)))),
IFERROR(
IF('Résultats des tournois'!AE5="""", INDEX(FILTER($C5:AE5, ISNUMBER($C5:AE5)), COUNTA(FILTER($C5:AE5, IS"&amp;"NUMBER($C5:AE5)))),
lastVal + 'K dynamique'!AE5 * ((SQRT('Résultats des tournois'!AE$2 + 1)/'Résultats des tournois'!AE5) - (1 / (1 + 10^((AE$103 - lastVal)/400)))))
)
))"),"")</f>
        <v/>
      </c>
      <c r="AG5" s="32" t="str">
        <f>IFERROR(__xludf.DUMMYFUNCTION("IF('Résultats des tournois'!AF$2=0,"""",LET(
lastVal, INDEX(FILTER($B5:AF5, ISNUMBER($B5:AF5)), COUNTA(FILTER($B5:AF5, ISNUMBER($B5:AF5)))),
IFERROR(
IF('Résultats des tournois'!AF5="""", INDEX(FILTER($C5:AF5, ISNUMBER($C5:AF5)), COUNTA(FILTER($C5:AF5, IS"&amp;"NUMBER($C5:AF5)))),
lastVal + 'K dynamique'!AF5 * ((SQRT('Résultats des tournois'!AF$2 + 1)/'Résultats des tournois'!AF5) - (1 / (1 + 10^((AF$103 - lastVal)/400)))))
)
))"),"")</f>
        <v/>
      </c>
      <c r="AH5" s="32" t="str">
        <f>IFERROR(__xludf.DUMMYFUNCTION("IF('Résultats des tournois'!AG$2=0,"""",LET(
lastVal, INDEX(FILTER($B5:AG5, ISNUMBER($B5:AG5)), COUNTA(FILTER($B5:AG5, ISNUMBER($B5:AG5)))),
IFERROR(
IF('Résultats des tournois'!AG5="""", INDEX(FILTER($C5:AG5, ISNUMBER($C5:AG5)), COUNTA(FILTER($C5:AG5, IS"&amp;"NUMBER($C5:AG5)))),
lastVal + 'K dynamique'!AG5 * ((SQRT('Résultats des tournois'!AG$2 + 1)/'Résultats des tournois'!AG5) - (1 / (1 + 10^((AG$103 - lastVal)/400)))))
)
))"),"")</f>
        <v/>
      </c>
      <c r="AI5" s="32" t="str">
        <f>IFERROR(__xludf.DUMMYFUNCTION("IF('Résultats des tournois'!AH$2=0,"""",LET(
lastVal, INDEX(FILTER($B5:AH5, ISNUMBER($B5:AH5)), COUNTA(FILTER($B5:AH5, ISNUMBER($B5:AH5)))),
IFERROR(
IF('Résultats des tournois'!AH5="""", INDEX(FILTER($C5:AH5, ISNUMBER($C5:AH5)), COUNTA(FILTER($C5:AH5, IS"&amp;"NUMBER($C5:AH5)))),
lastVal + 'K dynamique'!AH5 * ((SQRT('Résultats des tournois'!AH$2 + 1)/'Résultats des tournois'!AH5) - (1 / (1 + 10^((AH$103 - lastVal)/400)))))
)
))"),"")</f>
        <v/>
      </c>
      <c r="AJ5" s="32" t="str">
        <f>IFERROR(__xludf.DUMMYFUNCTION("IF('Résultats des tournois'!AI$2=0,"""",LET(
lastVal, INDEX(FILTER($B5:AI5, ISNUMBER($B5:AI5)), COUNTA(FILTER($B5:AI5, ISNUMBER($B5:AI5)))),
IFERROR(
IF('Résultats des tournois'!AI5="""", INDEX(FILTER($C5:AI5, ISNUMBER($C5:AI5)), COUNTA(FILTER($C5:AI5, IS"&amp;"NUMBER($C5:AI5)))),
lastVal + 'K dynamique'!AI5 * ((SQRT('Résultats des tournois'!AI$2 + 1)/'Résultats des tournois'!AI5) - (1 / (1 + 10^((AI$103 - lastVal)/400)))))
)
))"),"")</f>
        <v/>
      </c>
      <c r="AK5" s="32" t="str">
        <f>IFERROR(__xludf.DUMMYFUNCTION("IF('Résultats des tournois'!AJ$2=0,"""",LET(
lastVal, INDEX(FILTER($B5:AJ5, ISNUMBER($B5:AJ5)), COUNTA(FILTER($B5:AJ5, ISNUMBER($B5:AJ5)))),
IFERROR(
IF('Résultats des tournois'!AJ5="""", INDEX(FILTER($C5:AJ5, ISNUMBER($C5:AJ5)), COUNTA(FILTER($C5:AJ5, IS"&amp;"NUMBER($C5:AJ5)))),
lastVal + 'K dynamique'!AJ5 * ((SQRT('Résultats des tournois'!AJ$2 + 1)/'Résultats des tournois'!AJ5) - (1 / (1 + 10^((AJ$103 - lastVal)/400)))))
)
))"),"")</f>
        <v/>
      </c>
      <c r="AL5" s="32" t="str">
        <f>IFERROR(__xludf.DUMMYFUNCTION("IF('Résultats des tournois'!AK$2=0,"""",LET(
lastVal, INDEX(FILTER($B5:AK5, ISNUMBER($B5:AK5)), COUNTA(FILTER($B5:AK5, ISNUMBER($B5:AK5)))),
IFERROR(
IF('Résultats des tournois'!AK5="""", INDEX(FILTER($C5:AK5, ISNUMBER($C5:AK5)), COUNTA(FILTER($C5:AK5, IS"&amp;"NUMBER($C5:AK5)))),
lastVal + 'K dynamique'!AK5 * ((SQRT('Résultats des tournois'!AK$2 + 1)/'Résultats des tournois'!AK5) - (1 / (1 + 10^((AK$103 - lastVal)/400)))))
)
))"),"")</f>
        <v/>
      </c>
      <c r="AM5" s="32" t="str">
        <f>IFERROR(__xludf.DUMMYFUNCTION("IF('Résultats des tournois'!AL$2=0,"""",LET(
lastVal, INDEX(FILTER($B5:AL5, ISNUMBER($B5:AL5)), COUNTA(FILTER($B5:AL5, ISNUMBER($B5:AL5)))),
IFERROR(
IF('Résultats des tournois'!AL5="""", INDEX(FILTER($C5:AL5, ISNUMBER($C5:AL5)), COUNTA(FILTER($C5:AL5, IS"&amp;"NUMBER($C5:AL5)))),
lastVal + 'K dynamique'!AL5 * ((SQRT('Résultats des tournois'!AL$2 + 1)/'Résultats des tournois'!AL5) - (1 / (1 + 10^((AL$103 - lastVal)/400)))))
)
))"),"")</f>
        <v/>
      </c>
      <c r="AN5" s="32" t="str">
        <f>IFERROR(__xludf.DUMMYFUNCTION("IF('Résultats des tournois'!AM$2=0,"""",LET(
lastVal, INDEX(FILTER($B5:AM5, ISNUMBER($B5:AM5)), COUNTA(FILTER($B5:AM5, ISNUMBER($B5:AM5)))),
IFERROR(
IF('Résultats des tournois'!AM5="""", INDEX(FILTER($C5:AM5, ISNUMBER($C5:AM5)), COUNTA(FILTER($C5:AM5, IS"&amp;"NUMBER($C5:AM5)))),
lastVal + 'K dynamique'!AM5 * ((SQRT('Résultats des tournois'!AM$2 + 1)/'Résultats des tournois'!AM5) - (1 / (1 + 10^((AM$103 - lastVal)/400)))))
)
))"),"")</f>
        <v/>
      </c>
      <c r="AO5" s="32" t="str">
        <f>IFERROR(__xludf.DUMMYFUNCTION("IF('Résultats des tournois'!AN$2=0,"""",LET(
lastVal, INDEX(FILTER($B5:AN5, ISNUMBER($B5:AN5)), COUNTA(FILTER($B5:AN5, ISNUMBER($B5:AN5)))),
IFERROR(
IF('Résultats des tournois'!AN5="""", INDEX(FILTER($C5:AN5, ISNUMBER($C5:AN5)), COUNTA(FILTER($C5:AN5, IS"&amp;"NUMBER($C5:AN5)))),
lastVal + 'K dynamique'!AN5 * ((SQRT('Résultats des tournois'!AN$2 + 1)/'Résultats des tournois'!AN5) - (1 / (1 + 10^((AN$103 - lastVal)/400)))))
)
))"),"")</f>
        <v/>
      </c>
      <c r="AP5" s="32" t="str">
        <f>IFERROR(__xludf.DUMMYFUNCTION("IF('Résultats des tournois'!AO$2=0,"""",LET(
lastVal, INDEX(FILTER($B5:AO5, ISNUMBER($B5:AO5)), COUNTA(FILTER($B5:AO5, ISNUMBER($B5:AO5)))),
IFERROR(
IF('Résultats des tournois'!AO5="""", INDEX(FILTER($C5:AO5, ISNUMBER($C5:AO5)), COUNTA(FILTER($C5:AO5, IS"&amp;"NUMBER($C5:AO5)))),
lastVal + 'K dynamique'!AO5 * ((SQRT('Résultats des tournois'!AO$2 + 1)/'Résultats des tournois'!AO5) - (1 / (1 + 10^((AO$103 - lastVal)/400)))))
)
))"),"")</f>
        <v/>
      </c>
      <c r="AQ5" s="32" t="str">
        <f>IFERROR(__xludf.DUMMYFUNCTION("IF('Résultats des tournois'!AP$2=0,"""",LET(
lastVal, INDEX(FILTER($B5:AP5, ISNUMBER($B5:AP5)), COUNTA(FILTER($B5:AP5, ISNUMBER($B5:AP5)))),
IFERROR(
IF('Résultats des tournois'!AP5="""", INDEX(FILTER($C5:AP5, ISNUMBER($C5:AP5)), COUNTA(FILTER($C5:AP5, IS"&amp;"NUMBER($C5:AP5)))),
lastVal + 'K dynamique'!AP5 * ((SQRT('Résultats des tournois'!AP$2 + 1)/'Résultats des tournois'!AP5) - (1 / (1 + 10^((AP$103 - lastVal)/400)))))
)
))"),"")</f>
        <v/>
      </c>
      <c r="AR5" s="32" t="str">
        <f>IFERROR(__xludf.DUMMYFUNCTION("IF('Résultats des tournois'!AQ$2=0,"""",LET(
lastVal, INDEX(FILTER($B5:AQ5, ISNUMBER($B5:AQ5)), COUNTA(FILTER($B5:AQ5, ISNUMBER($B5:AQ5)))),
IFERROR(
IF('Résultats des tournois'!AQ5="""", INDEX(FILTER($C5:AQ5, ISNUMBER($C5:AQ5)), COUNTA(FILTER($C5:AQ5, IS"&amp;"NUMBER($C5:AQ5)))),
lastVal + 'K dynamique'!AQ5 * ((SQRT('Résultats des tournois'!AQ$2 + 1)/'Résultats des tournois'!AQ5) - (1 / (1 + 10^((AQ$103 - lastVal)/400)))))
)
))"),"")</f>
        <v/>
      </c>
      <c r="AS5" s="32" t="str">
        <f>IFERROR(__xludf.DUMMYFUNCTION("IF('Résultats des tournois'!AR$2=0,"""",LET(
lastVal, INDEX(FILTER($B5:AR5, ISNUMBER($B5:AR5)), COUNTA(FILTER($B5:AR5, ISNUMBER($B5:AR5)))),
IFERROR(
IF('Résultats des tournois'!AR5="""", INDEX(FILTER($C5:AR5, ISNUMBER($C5:AR5)), COUNTA(FILTER($C5:AR5, IS"&amp;"NUMBER($C5:AR5)))),
lastVal + 'K dynamique'!AR5 * ((SQRT('Résultats des tournois'!AR$2 + 1)/'Résultats des tournois'!AR5) - (1 / (1 + 10^((AR$103 - lastVal)/400)))))
)
))"),"")</f>
        <v/>
      </c>
      <c r="AT5" s="32" t="str">
        <f>IFERROR(__xludf.DUMMYFUNCTION("IF('Résultats des tournois'!AS$2=0,"""",LET(
lastVal, INDEX(FILTER($B5:AS5, ISNUMBER($B5:AS5)), COUNTA(FILTER($B5:AS5, ISNUMBER($B5:AS5)))),
IFERROR(
IF('Résultats des tournois'!AS5="""", INDEX(FILTER($C5:AS5, ISNUMBER($C5:AS5)), COUNTA(FILTER($C5:AS5, IS"&amp;"NUMBER($C5:AS5)))),
lastVal + 'K dynamique'!AS5 * ((SQRT('Résultats des tournois'!AS$2 + 1)/'Résultats des tournois'!AS5) - (1 / (1 + 10^((AS$103 - lastVal)/400)))))
)
))"),"")</f>
        <v/>
      </c>
      <c r="AU5" s="32" t="str">
        <f>IFERROR(__xludf.DUMMYFUNCTION("IF('Résultats des tournois'!AT$2=0,"""",LET(
lastVal, INDEX(FILTER($B5:AT5, ISNUMBER($B5:AT5)), COUNTA(FILTER($B5:AT5, ISNUMBER($B5:AT5)))),
IFERROR(
IF('Résultats des tournois'!AT5="""", INDEX(FILTER($C5:AT5, ISNUMBER($C5:AT5)), COUNTA(FILTER($C5:AT5, IS"&amp;"NUMBER($C5:AT5)))),
lastVal + 'K dynamique'!AT5 * ((SQRT('Résultats des tournois'!AT$2 + 1)/'Résultats des tournois'!AT5) - (1 / (1 + 10^((AT$103 - lastVal)/400)))))
)
))"),"")</f>
        <v/>
      </c>
      <c r="AV5" s="32" t="str">
        <f>IFERROR(__xludf.DUMMYFUNCTION("IF('Résultats des tournois'!AU$2=0,"""",LET(
lastVal, INDEX(FILTER($B5:AU5, ISNUMBER($B5:AU5)), COUNTA(FILTER($B5:AU5, ISNUMBER($B5:AU5)))),
IFERROR(
IF('Résultats des tournois'!AU5="""", INDEX(FILTER($C5:AU5, ISNUMBER($C5:AU5)), COUNTA(FILTER($C5:AU5, IS"&amp;"NUMBER($C5:AU5)))),
lastVal + 'K dynamique'!AU5 * ((SQRT('Résultats des tournois'!AU$2 + 1)/'Résultats des tournois'!AU5) - (1 / (1 + 10^((AU$103 - lastVal)/400)))))
)
))"),"")</f>
        <v/>
      </c>
      <c r="AW5" s="32" t="str">
        <f>IFERROR(__xludf.DUMMYFUNCTION("IF('Résultats des tournois'!AV$2=0,"""",LET(
lastVal, INDEX(FILTER($B5:AV5, ISNUMBER($B5:AV5)), COUNTA(FILTER($B5:AV5, ISNUMBER($B5:AV5)))),
IFERROR(
IF('Résultats des tournois'!AV5="""", INDEX(FILTER($C5:AV5, ISNUMBER($C5:AV5)), COUNTA(FILTER($C5:AV5, IS"&amp;"NUMBER($C5:AV5)))),
lastVal + 'K dynamique'!AV5 * ((SQRT('Résultats des tournois'!AV$2 + 1)/'Résultats des tournois'!AV5) - (1 / (1 + 10^((AV$103 - lastVal)/400)))))
)
))"),"")</f>
        <v/>
      </c>
      <c r="AX5" s="32" t="str">
        <f>IFERROR(__xludf.DUMMYFUNCTION("IF('Résultats des tournois'!AW$2=0,"""",LET(
lastVal, INDEX(FILTER($B5:AW5, ISNUMBER($B5:AW5)), COUNTA(FILTER($B5:AW5, ISNUMBER($B5:AW5)))),
IFERROR(
IF('Résultats des tournois'!AW5="""", INDEX(FILTER($C5:AW5, ISNUMBER($C5:AW5)), COUNTA(FILTER($C5:AW5, IS"&amp;"NUMBER($C5:AW5)))),
lastVal + 'K dynamique'!AW5 * ((SQRT('Résultats des tournois'!AW$2 + 1)/'Résultats des tournois'!AW5) - (1 / (1 + 10^((AW$103 - lastVal)/400)))))
)
))"),"")</f>
        <v/>
      </c>
      <c r="AY5" s="32" t="str">
        <f>IFERROR(__xludf.DUMMYFUNCTION("IF('Résultats des tournois'!AX$2=0,"""",LET(
lastVal, INDEX(FILTER($B5:AX5, ISNUMBER($B5:AX5)), COUNTA(FILTER($B5:AX5, ISNUMBER($B5:AX5)))),
IFERROR(
IF('Résultats des tournois'!AX5="""", INDEX(FILTER($C5:AX5, ISNUMBER($C5:AX5)), COUNTA(FILTER($C5:AX5, IS"&amp;"NUMBER($C5:AX5)))),
lastVal + 'K dynamique'!AX5 * ((SQRT('Résultats des tournois'!AX$2 + 1)/'Résultats des tournois'!AX5) - (1 / (1 + 10^((AX$103 - lastVal)/400)))))
)
))"),"")</f>
        <v/>
      </c>
      <c r="AZ5" s="4">
        <f t="array" ref="AZ5">IF(MAX(($C5:AY5&lt;&gt;"")*COLUMN($C5:AY5))=0,"",INDEX($C5:AY5,1,MAX(($C5:AY5&lt;&gt;"")*COLUMN($C5:AY5))-COLUMN($C5)+1))</f>
        <v>1572.867964</v>
      </c>
      <c r="BA5" s="33">
        <f t="shared" si="1"/>
        <v>10</v>
      </c>
    </row>
    <row r="6" ht="14.25" customHeight="1">
      <c r="A6" s="32" t="str">
        <f>IF('Résultats des tournois'!A6="","",'Résultats des tournois'!A6)</f>
        <v>Gnaffron</v>
      </c>
      <c r="B6" s="32">
        <v>1500.0</v>
      </c>
      <c r="C6" s="32">
        <f>IF('Résultats des tournois'!B6="","",B6+'K dynamique'!B6*((SQRT('Résultats des tournois'!B$2+1)/'Résultats des tournois'!B6)-(1/(1+10^((B6-B6)/400)))))</f>
        <v>1501.104719</v>
      </c>
      <c r="D6" s="32">
        <f>IFERROR(__xludf.DUMMYFUNCTION("IF('Résultats des tournois'!C$2=0,"""",LET(
lastVal, INDEX(FILTER($B6:C6, ISNUMBER($B6:C6)), COUNTA(FILTER($B6:C6, ISNUMBER($B6:C6)))),
IFERROR(
IF('Résultats des tournois'!C6="""", INDEX(FILTER($C6:C6, ISNUMBER($C6:C6)), COUNTA(FILTER($C6:C6, ISNUMBER($C"&amp;"6:C6)))),
lastVal + 'K dynamique'!C6 * ((SQRT('Résultats des tournois'!C$2 + 1)/'Résultats des tournois'!C6) - (1 / (1 + 10^((C$103 - lastVal)/400)))))
)
))"),1497.982437797332)</f>
        <v>1497.982438</v>
      </c>
      <c r="E6" s="32">
        <f>IFERROR(__xludf.DUMMYFUNCTION("IF('Résultats des tournois'!D$2=0,"""",LET(
lastVal, INDEX(FILTER($B6:D6, ISNUMBER($B6:D6)), COUNTA(FILTER($B6:D6, ISNUMBER($B6:D6)))),
IFERROR(
IF('Résultats des tournois'!D6="""", INDEX(FILTER($C6:D6, ISNUMBER($C6:D6)), COUNTA(FILTER($C6:D6, ISNUMBER($C"&amp;"6:D6)))),
lastVal + 'K dynamique'!D6 * ((SQRT('Résultats des tournois'!D$2 + 1)/'Résultats des tournois'!D6) - (1 / (1 + 10^((D$103 - lastVal)/400)))))
)
))"),1607.10014652234)</f>
        <v>1607.100147</v>
      </c>
      <c r="F6" s="32">
        <f>IFERROR(__xludf.DUMMYFUNCTION("IF('Résultats des tournois'!E$2=0,"""",LET(
lastVal, INDEX(FILTER($B6:E6, ISNUMBER($B6:E6)), COUNTA(FILTER($B6:E6, ISNUMBER($B6:E6)))),
IFERROR(
IF('Résultats des tournois'!E6="""", INDEX(FILTER($C6:E6, ISNUMBER($C6:E6)), COUNTA(FILTER($C6:E6, ISNUMBER($C"&amp;"6:E6)))),
lastVal + 'K dynamique'!E6 * ((SQRT('Résultats des tournois'!E$2 + 1)/'Résultats des tournois'!E6) - (1 / (1 + 10^((E$103 - lastVal)/400)))))
)
))"),1606.168298028076)</f>
        <v>1606.168298</v>
      </c>
      <c r="G6" s="32">
        <f>IFERROR(__xludf.DUMMYFUNCTION("IF('Résultats des tournois'!F$2=0,"""",LET(
lastVal, INDEX(FILTER($B6:F6, ISNUMBER($B6:F6)), COUNTA(FILTER($B6:F6, ISNUMBER($B6:F6)))),
IFERROR(
IF('Résultats des tournois'!F6="""", INDEX(FILTER($C6:F6, ISNUMBER($C6:F6)), COUNTA(FILTER($C6:F6, ISNUMBER($C"&amp;"6:F6)))),
lastVal + 'K dynamique'!F6 * ((SQRT('Résultats des tournois'!F$2 + 1)/'Résultats des tournois'!F6) - (1 / (1 + 10^((F$103 - lastVal)/400)))))
)
))"),1598.766099090976)</f>
        <v>1598.766099</v>
      </c>
      <c r="H6" s="32">
        <f>IFERROR(__xludf.DUMMYFUNCTION("IF('Résultats des tournois'!G$2=0,"""",LET(
lastVal, INDEX(FILTER($B6:G6, ISNUMBER($B6:G6)), COUNTA(FILTER($B6:G6, ISNUMBER($B6:G6)))),
IFERROR(
IF('Résultats des tournois'!G6="""", INDEX(FILTER($C6:G6, ISNUMBER($C6:G6)), COUNTA(FILTER($C6:G6, ISNUMBER($C"&amp;"6:G6)))),
lastVal + 'K dynamique'!G6 * ((SQRT('Résultats des tournois'!G$2 + 1)/'Résultats des tournois'!G6) - (1 / (1 + 10^((G$103 - lastVal)/400)))))
)
))"),1597.4113264029966)</f>
        <v>1597.411326</v>
      </c>
      <c r="I6" s="32">
        <f>IFERROR(__xludf.DUMMYFUNCTION("IF('Résultats des tournois'!H$2=0,"""",LET(
lastVal, INDEX(FILTER($B6:H6, ISNUMBER($B6:H6)), COUNTA(FILTER($B6:H6, ISNUMBER($B6:H6)))),
IFERROR(
IF('Résultats des tournois'!H6="""", INDEX(FILTER($C6:H6, ISNUMBER($C6:H6)), COUNTA(FILTER($C6:H6, ISNUMBER($C"&amp;"6:H6)))),
lastVal + 'K dynamique'!H6 * ((SQRT('Résultats des tournois'!H$2 + 1)/'Résultats des tournois'!H6) - (1 / (1 + 10^((H$103 - lastVal)/400)))))
)
))"),1590.7961616228577)</f>
        <v>1590.796162</v>
      </c>
      <c r="J6" s="32">
        <f>IFERROR(__xludf.DUMMYFUNCTION("IF('Résultats des tournois'!I$2=0,"""",LET(
lastVal, INDEX(FILTER($B6:I6, ISNUMBER($B6:I6)), COUNTA(FILTER($B6:I6, ISNUMBER($B6:I6)))),
IFERROR(
IF('Résultats des tournois'!I6="""", INDEX(FILTER($C6:I6, ISNUMBER($C6:I6)), COUNTA(FILTER($C6:I6, ISNUMBER($C"&amp;"6:I6)))),
lastVal + 'K dynamique'!I6 * ((SQRT('Résultats des tournois'!I$2 + 1)/'Résultats des tournois'!I6) - (1 / (1 + 10^((I$103 - lastVal)/400)))))
)
))"),1593.5286640400439)</f>
        <v>1593.528664</v>
      </c>
      <c r="K6" s="32">
        <f>IFERROR(__xludf.DUMMYFUNCTION("IF('Résultats des tournois'!J$2=0,"""",LET(
lastVal, INDEX(FILTER($B6:J6, ISNUMBER($B6:J6)), COUNTA(FILTER($B6:J6, ISNUMBER($B6:J6)))),
IFERROR(
IF('Résultats des tournois'!J6="""", INDEX(FILTER($C6:J6, ISNUMBER($C6:J6)), COUNTA(FILTER($C6:J6, ISNUMBER($C"&amp;"6:J6)))),
lastVal + 'K dynamique'!J6 * ((SQRT('Résultats des tournois'!J$2 + 1)/'Résultats des tournois'!J6) - (1 / (1 + 10^((J$103 - lastVal)/400)))))
)
))"),1612.4265140023047)</f>
        <v>1612.426514</v>
      </c>
      <c r="L6" s="32">
        <f>IFERROR(__xludf.DUMMYFUNCTION("IF('Résultats des tournois'!K$2=0,"""",LET(
lastVal, INDEX(FILTER($B6:K6, ISNUMBER($B6:K6)), COUNTA(FILTER($B6:K6, ISNUMBER($B6:K6)))),
IFERROR(
IF('Résultats des tournois'!K6="""", INDEX(FILTER($C6:K6, ISNUMBER($C6:K6)), COUNTA(FILTER($C6:K6, ISNUMBER($C"&amp;"6:K6)))),
lastVal + 'K dynamique'!K6 * ((SQRT('Résultats des tournois'!K$2 + 1)/'Résultats des tournois'!K6) - (1 / (1 + 10^((K$103 - lastVal)/400)))))
)
))"),1612.6719415857935)</f>
        <v>1612.671942</v>
      </c>
      <c r="M6" s="32">
        <f>IFERROR(__xludf.DUMMYFUNCTION("IF('Résultats des tournois'!L$2=0,"""",LET(
lastVal, INDEX(FILTER($B6:L6, ISNUMBER($B6:L6)), COUNTA(FILTER($B6:L6, ISNUMBER($B6:L6)))),
IFERROR(
IF('Résultats des tournois'!L6="""", INDEX(FILTER($C6:L6, ISNUMBER($C6:L6)), COUNTA(FILTER($C6:L6, ISNUMBER($C"&amp;"6:L6)))),
lastVal + 'K dynamique'!L6 * ((SQRT('Résultats des tournois'!L$2 + 1)/'Résultats des tournois'!L6) - (1 / (1 + 10^((L$103 - lastVal)/400)))))
)
))"),1640.8841253513551)</f>
        <v>1640.884125</v>
      </c>
      <c r="N6" s="32" t="str">
        <f>IFERROR(__xludf.DUMMYFUNCTION("IF('Résultats des tournois'!M$2=0,"""",LET(
lastVal, INDEX(FILTER($B6:M6, ISNUMBER($B6:M6)), COUNTA(FILTER($B6:M6, ISNUMBER($B6:M6)))),
IFERROR(
IF('Résultats des tournois'!M6="""", INDEX(FILTER($C6:M6, ISNUMBER($C6:M6)), COUNTA(FILTER($C6:M6, ISNUMBER($C"&amp;"6:M6)))),
lastVal + 'K dynamique'!M6 * ((SQRT('Résultats des tournois'!M$2 + 1)/'Résultats des tournois'!M6) - (1 / (1 + 10^((M$103 - lastVal)/400)))))
)
))"),"")</f>
        <v/>
      </c>
      <c r="O6" s="32" t="str">
        <f>IFERROR(__xludf.DUMMYFUNCTION("IF('Résultats des tournois'!N$2=0,"""",LET(
lastVal, INDEX(FILTER($B6:N6, ISNUMBER($B6:N6)), COUNTA(FILTER($B6:N6, ISNUMBER($B6:N6)))),
IFERROR(
IF('Résultats des tournois'!N6="""", INDEX(FILTER($C6:N6, ISNUMBER($C6:N6)), COUNTA(FILTER($C6:N6, ISNUMBER($C"&amp;"6:N6)))),
lastVal + 'K dynamique'!N6 * ((SQRT('Résultats des tournois'!N$2 + 1)/'Résultats des tournois'!N6) - (1 / (1 + 10^((N$103 - lastVal)/400)))))
)
))"),"")</f>
        <v/>
      </c>
      <c r="P6" s="32" t="str">
        <f>IFERROR(__xludf.DUMMYFUNCTION("IF('Résultats des tournois'!O$2=0,"""",LET(
lastVal, INDEX(FILTER($B6:O6, ISNUMBER($B6:O6)), COUNTA(FILTER($B6:O6, ISNUMBER($B6:O6)))),
IFERROR(
IF('Résultats des tournois'!O6="""", INDEX(FILTER($C6:O6, ISNUMBER($C6:O6)), COUNTA(FILTER($C6:O6, ISNUMBER($C"&amp;"6:O6)))),
lastVal + 'K dynamique'!O6 * ((SQRT('Résultats des tournois'!O$2 + 1)/'Résultats des tournois'!O6) - (1 / (1 + 10^((O$103 - lastVal)/400)))))
)
))"),"")</f>
        <v/>
      </c>
      <c r="Q6" s="32" t="str">
        <f>IFERROR(__xludf.DUMMYFUNCTION("IF('Résultats des tournois'!P$2=0,"""",LET(
lastVal, INDEX(FILTER($B6:P6, ISNUMBER($B6:P6)), COUNTA(FILTER($B6:P6, ISNUMBER($B6:P6)))),
IFERROR(
IF('Résultats des tournois'!P6="""", INDEX(FILTER($C6:P6, ISNUMBER($C6:P6)), COUNTA(FILTER($C6:P6, ISNUMBER($C"&amp;"6:P6)))),
lastVal + 'K dynamique'!P6 * ((SQRT('Résultats des tournois'!P$2 + 1)/'Résultats des tournois'!P6) - (1 / (1 + 10^((P$103 - lastVal)/400)))))
)
))"),"")</f>
        <v/>
      </c>
      <c r="R6" s="32" t="str">
        <f>IFERROR(__xludf.DUMMYFUNCTION("IF('Résultats des tournois'!Q$2=0,"""",LET(
lastVal, INDEX(FILTER($B6:Q6, ISNUMBER($B6:Q6)), COUNTA(FILTER($B6:Q6, ISNUMBER($B6:Q6)))),
IFERROR(
IF('Résultats des tournois'!Q6="""", INDEX(FILTER($C6:Q6, ISNUMBER($C6:Q6)), COUNTA(FILTER($C6:Q6, ISNUMBER($C"&amp;"6:Q6)))),
lastVal + 'K dynamique'!Q6 * ((SQRT('Résultats des tournois'!Q$2 + 1)/'Résultats des tournois'!Q6) - (1 / (1 + 10^((Q$103 - lastVal)/400)))))
)
))"),"")</f>
        <v/>
      </c>
      <c r="S6" s="32" t="str">
        <f>IFERROR(__xludf.DUMMYFUNCTION("IF('Résultats des tournois'!R$2=0,"""",LET(
lastVal, INDEX(FILTER($B6:R6, ISNUMBER($B6:R6)), COUNTA(FILTER($B6:R6, ISNUMBER($B6:R6)))),
IFERROR(
IF('Résultats des tournois'!R6="""", INDEX(FILTER($C6:R6, ISNUMBER($C6:R6)), COUNTA(FILTER($C6:R6, ISNUMBER($C"&amp;"6:R6)))),
lastVal + 'K dynamique'!R6 * ((SQRT('Résultats des tournois'!R$2 + 1)/'Résultats des tournois'!R6) - (1 / (1 + 10^((R$103 - lastVal)/400)))))
)
))"),"")</f>
        <v/>
      </c>
      <c r="T6" s="32" t="str">
        <f>IFERROR(__xludf.DUMMYFUNCTION("IF('Résultats des tournois'!S$2=0,"""",LET(
lastVal, INDEX(FILTER($B6:S6, ISNUMBER($B6:S6)), COUNTA(FILTER($B6:S6, ISNUMBER($B6:S6)))),
IFERROR(
IF('Résultats des tournois'!S6="""", INDEX(FILTER($C6:S6, ISNUMBER($C6:S6)), COUNTA(FILTER($C6:S6, ISNUMBER($C"&amp;"6:S6)))),
lastVal + 'K dynamique'!S6 * ((SQRT('Résultats des tournois'!S$2 + 1)/'Résultats des tournois'!S6) - (1 / (1 + 10^((S$103 - lastVal)/400)))))
)
))"),"")</f>
        <v/>
      </c>
      <c r="U6" s="32" t="str">
        <f>IFERROR(__xludf.DUMMYFUNCTION("IF('Résultats des tournois'!T$2=0,"""",LET(
lastVal, INDEX(FILTER($B6:T6, ISNUMBER($B6:T6)), COUNTA(FILTER($B6:T6, ISNUMBER($B6:T6)))),
IFERROR(
IF('Résultats des tournois'!T6="""", INDEX(FILTER($C6:T6, ISNUMBER($C6:T6)), COUNTA(FILTER($C6:T6, ISNUMBER($C"&amp;"6:T6)))),
lastVal + 'K dynamique'!T6 * ((SQRT('Résultats des tournois'!T$2 + 1)/'Résultats des tournois'!T6) - (1 / (1 + 10^((T$103 - lastVal)/400)))))
)
))"),"")</f>
        <v/>
      </c>
      <c r="V6" s="32" t="str">
        <f>IFERROR(__xludf.DUMMYFUNCTION("IF('Résultats des tournois'!U$2=0,"""",LET(
lastVal, INDEX(FILTER($B6:U6, ISNUMBER($B6:U6)), COUNTA(FILTER($B6:U6, ISNUMBER($B6:U6)))),
IFERROR(
IF('Résultats des tournois'!U6="""", INDEX(FILTER($C6:U6, ISNUMBER($C6:U6)), COUNTA(FILTER($C6:U6, ISNUMBER($C"&amp;"6:U6)))),
lastVal + 'K dynamique'!U6 * ((SQRT('Résultats des tournois'!U$2 + 1)/'Résultats des tournois'!U6) - (1 / (1 + 10^((U$103 - lastVal)/400)))))
)
))"),"")</f>
        <v/>
      </c>
      <c r="W6" s="32" t="str">
        <f>IFERROR(__xludf.DUMMYFUNCTION("IF('Résultats des tournois'!V$2=0,"""",LET(
lastVal, INDEX(FILTER($B6:V6, ISNUMBER($B6:V6)), COUNTA(FILTER($B6:V6, ISNUMBER($B6:V6)))),
IFERROR(
IF('Résultats des tournois'!V6="""", INDEX(FILTER($C6:V6, ISNUMBER($C6:V6)), COUNTA(FILTER($C6:V6, ISNUMBER($C"&amp;"6:V6)))),
lastVal + 'K dynamique'!V6 * ((SQRT('Résultats des tournois'!V$2 + 1)/'Résultats des tournois'!V6) - (1 / (1 + 10^((V$103 - lastVal)/400)))))
)
))"),"")</f>
        <v/>
      </c>
      <c r="X6" s="32" t="str">
        <f>IFERROR(__xludf.DUMMYFUNCTION("IF('Résultats des tournois'!W$2=0,"""",LET(
lastVal, INDEX(FILTER($B6:W6, ISNUMBER($B6:W6)), COUNTA(FILTER($B6:W6, ISNUMBER($B6:W6)))),
IFERROR(
IF('Résultats des tournois'!W6="""", INDEX(FILTER($C6:W6, ISNUMBER($C6:W6)), COUNTA(FILTER($C6:W6, ISNUMBER($C"&amp;"6:W6)))),
lastVal + 'K dynamique'!W6 * ((SQRT('Résultats des tournois'!W$2 + 1)/'Résultats des tournois'!W6) - (1 / (1 + 10^((W$103 - lastVal)/400)))))
)
))"),"")</f>
        <v/>
      </c>
      <c r="Y6" s="32" t="str">
        <f>IFERROR(__xludf.DUMMYFUNCTION("IF('Résultats des tournois'!X$2=0,"""",LET(
lastVal, INDEX(FILTER($B6:X6, ISNUMBER($B6:X6)), COUNTA(FILTER($B6:X6, ISNUMBER($B6:X6)))),
IFERROR(
IF('Résultats des tournois'!X6="""", INDEX(FILTER($C6:X6, ISNUMBER($C6:X6)), COUNTA(FILTER($C6:X6, ISNUMBER($C"&amp;"6:X6)))),
lastVal + 'K dynamique'!X6 * ((SQRT('Résultats des tournois'!X$2 + 1)/'Résultats des tournois'!X6) - (1 / (1 + 10^((X$103 - lastVal)/400)))))
)
))"),"")</f>
        <v/>
      </c>
      <c r="Z6" s="32" t="str">
        <f>IFERROR(__xludf.DUMMYFUNCTION("IF('Résultats des tournois'!Y$2=0,"""",LET(
lastVal, INDEX(FILTER($B6:Y6, ISNUMBER($B6:Y6)), COUNTA(FILTER($B6:Y6, ISNUMBER($B6:Y6)))),
IFERROR(
IF('Résultats des tournois'!Y6="""", INDEX(FILTER($C6:Y6, ISNUMBER($C6:Y6)), COUNTA(FILTER($C6:Y6, ISNUMBER($C"&amp;"6:Y6)))),
lastVal + 'K dynamique'!Y6 * ((SQRT('Résultats des tournois'!Y$2 + 1)/'Résultats des tournois'!Y6) - (1 / (1 + 10^((Y$103 - lastVal)/400)))))
)
))"),"")</f>
        <v/>
      </c>
      <c r="AA6" s="32" t="str">
        <f>IFERROR(__xludf.DUMMYFUNCTION("IF('Résultats des tournois'!Z$2=0,"""",LET(
lastVal, INDEX(FILTER($B6:Z6, ISNUMBER($B6:Z6)), COUNTA(FILTER($B6:Z6, ISNUMBER($B6:Z6)))),
IFERROR(
IF('Résultats des tournois'!Z6="""", INDEX(FILTER($C6:Z6, ISNUMBER($C6:Z6)), COUNTA(FILTER($C6:Z6, ISNUMBER($C"&amp;"6:Z6)))),
lastVal + 'K dynamique'!Z6 * ((SQRT('Résultats des tournois'!Z$2 + 1)/'Résultats des tournois'!Z6) - (1 / (1 + 10^((Z$103 - lastVal)/400)))))
)
))"),"")</f>
        <v/>
      </c>
      <c r="AB6" s="32" t="str">
        <f>IFERROR(__xludf.DUMMYFUNCTION("IF('Résultats des tournois'!AA$2=0,"""",LET(
lastVal, INDEX(FILTER($B6:AA6, ISNUMBER($B6:AA6)), COUNTA(FILTER($B6:AA6, ISNUMBER($B6:AA6)))),
IFERROR(
IF('Résultats des tournois'!AA6="""", INDEX(FILTER($C6:AA6, ISNUMBER($C6:AA6)), COUNTA(FILTER($C6:AA6, IS"&amp;"NUMBER($C6:AA6)))),
lastVal + 'K dynamique'!AA6 * ((SQRT('Résultats des tournois'!AA$2 + 1)/'Résultats des tournois'!AA6) - (1 / (1 + 10^((AA$103 - lastVal)/400)))))
)
))"),"")</f>
        <v/>
      </c>
      <c r="AC6" s="32" t="str">
        <f>IFERROR(__xludf.DUMMYFUNCTION("IF('Résultats des tournois'!AB$2=0,"""",LET(
lastVal, INDEX(FILTER($B6:AB6, ISNUMBER($B6:AB6)), COUNTA(FILTER($B6:AB6, ISNUMBER($B6:AB6)))),
IFERROR(
IF('Résultats des tournois'!AB6="""", INDEX(FILTER($C6:AB6, ISNUMBER($C6:AB6)), COUNTA(FILTER($C6:AB6, IS"&amp;"NUMBER($C6:AB6)))),
lastVal + 'K dynamique'!AB6 * ((SQRT('Résultats des tournois'!AB$2 + 1)/'Résultats des tournois'!AB6) - (1 / (1 + 10^((AB$103 - lastVal)/400)))))
)
))"),"")</f>
        <v/>
      </c>
      <c r="AD6" s="32" t="str">
        <f>IFERROR(__xludf.DUMMYFUNCTION("IF('Résultats des tournois'!AC$2=0,"""",LET(
lastVal, INDEX(FILTER($B6:AC6, ISNUMBER($B6:AC6)), COUNTA(FILTER($B6:AC6, ISNUMBER($B6:AC6)))),
IFERROR(
IF('Résultats des tournois'!AC6="""", INDEX(FILTER($C6:AC6, ISNUMBER($C6:AC6)), COUNTA(FILTER($C6:AC6, IS"&amp;"NUMBER($C6:AC6)))),
lastVal + 'K dynamique'!AC6 * ((SQRT('Résultats des tournois'!AC$2 + 1)/'Résultats des tournois'!AC6) - (1 / (1 + 10^((AC$103 - lastVal)/400)))))
)
))"),"")</f>
        <v/>
      </c>
      <c r="AE6" s="32" t="str">
        <f>IFERROR(__xludf.DUMMYFUNCTION("IF('Résultats des tournois'!AD$2=0,"""",LET(
lastVal, INDEX(FILTER($B6:AD6, ISNUMBER($B6:AD6)), COUNTA(FILTER($B6:AD6, ISNUMBER($B6:AD6)))),
IFERROR(
IF('Résultats des tournois'!AD6="""", INDEX(FILTER($C6:AD6, ISNUMBER($C6:AD6)), COUNTA(FILTER($C6:AD6, IS"&amp;"NUMBER($C6:AD6)))),
lastVal + 'K dynamique'!AD6 * ((SQRT('Résultats des tournois'!AD$2 + 1)/'Résultats des tournois'!AD6) - (1 / (1 + 10^((AD$103 - lastVal)/400)))))
)
))"),"")</f>
        <v/>
      </c>
      <c r="AF6" s="32" t="str">
        <f>IFERROR(__xludf.DUMMYFUNCTION("IF('Résultats des tournois'!AE$2=0,"""",LET(
lastVal, INDEX(FILTER($B6:AE6, ISNUMBER($B6:AE6)), COUNTA(FILTER($B6:AE6, ISNUMBER($B6:AE6)))),
IFERROR(
IF('Résultats des tournois'!AE6="""", INDEX(FILTER($C6:AE6, ISNUMBER($C6:AE6)), COUNTA(FILTER($C6:AE6, IS"&amp;"NUMBER($C6:AE6)))),
lastVal + 'K dynamique'!AE6 * ((SQRT('Résultats des tournois'!AE$2 + 1)/'Résultats des tournois'!AE6) - (1 / (1 + 10^((AE$103 - lastVal)/400)))))
)
))"),"")</f>
        <v/>
      </c>
      <c r="AG6" s="32" t="str">
        <f>IFERROR(__xludf.DUMMYFUNCTION("IF('Résultats des tournois'!AF$2=0,"""",LET(
lastVal, INDEX(FILTER($B6:AF6, ISNUMBER($B6:AF6)), COUNTA(FILTER($B6:AF6, ISNUMBER($B6:AF6)))),
IFERROR(
IF('Résultats des tournois'!AF6="""", INDEX(FILTER($C6:AF6, ISNUMBER($C6:AF6)), COUNTA(FILTER($C6:AF6, IS"&amp;"NUMBER($C6:AF6)))),
lastVal + 'K dynamique'!AF6 * ((SQRT('Résultats des tournois'!AF$2 + 1)/'Résultats des tournois'!AF6) - (1 / (1 + 10^((AF$103 - lastVal)/400)))))
)
))"),"")</f>
        <v/>
      </c>
      <c r="AH6" s="32" t="str">
        <f>IFERROR(__xludf.DUMMYFUNCTION("IF('Résultats des tournois'!AG$2=0,"""",LET(
lastVal, INDEX(FILTER($B6:AG6, ISNUMBER($B6:AG6)), COUNTA(FILTER($B6:AG6, ISNUMBER($B6:AG6)))),
IFERROR(
IF('Résultats des tournois'!AG6="""", INDEX(FILTER($C6:AG6, ISNUMBER($C6:AG6)), COUNTA(FILTER($C6:AG6, IS"&amp;"NUMBER($C6:AG6)))),
lastVal + 'K dynamique'!AG6 * ((SQRT('Résultats des tournois'!AG$2 + 1)/'Résultats des tournois'!AG6) - (1 / (1 + 10^((AG$103 - lastVal)/400)))))
)
))"),"")</f>
        <v/>
      </c>
      <c r="AI6" s="32" t="str">
        <f>IFERROR(__xludf.DUMMYFUNCTION("IF('Résultats des tournois'!AH$2=0,"""",LET(
lastVal, INDEX(FILTER($B6:AH6, ISNUMBER($B6:AH6)), COUNTA(FILTER($B6:AH6, ISNUMBER($B6:AH6)))),
IFERROR(
IF('Résultats des tournois'!AH6="""", INDEX(FILTER($C6:AH6, ISNUMBER($C6:AH6)), COUNTA(FILTER($C6:AH6, IS"&amp;"NUMBER($C6:AH6)))),
lastVal + 'K dynamique'!AH6 * ((SQRT('Résultats des tournois'!AH$2 + 1)/'Résultats des tournois'!AH6) - (1 / (1 + 10^((AH$103 - lastVal)/400)))))
)
))"),"")</f>
        <v/>
      </c>
      <c r="AJ6" s="32" t="str">
        <f>IFERROR(__xludf.DUMMYFUNCTION("IF('Résultats des tournois'!AI$2=0,"""",LET(
lastVal, INDEX(FILTER($B6:AI6, ISNUMBER($B6:AI6)), COUNTA(FILTER($B6:AI6, ISNUMBER($B6:AI6)))),
IFERROR(
IF('Résultats des tournois'!AI6="""", INDEX(FILTER($C6:AI6, ISNUMBER($C6:AI6)), COUNTA(FILTER($C6:AI6, IS"&amp;"NUMBER($C6:AI6)))),
lastVal + 'K dynamique'!AI6 * ((SQRT('Résultats des tournois'!AI$2 + 1)/'Résultats des tournois'!AI6) - (1 / (1 + 10^((AI$103 - lastVal)/400)))))
)
))"),"")</f>
        <v/>
      </c>
      <c r="AK6" s="32" t="str">
        <f>IFERROR(__xludf.DUMMYFUNCTION("IF('Résultats des tournois'!AJ$2=0,"""",LET(
lastVal, INDEX(FILTER($B6:AJ6, ISNUMBER($B6:AJ6)), COUNTA(FILTER($B6:AJ6, ISNUMBER($B6:AJ6)))),
IFERROR(
IF('Résultats des tournois'!AJ6="""", INDEX(FILTER($C6:AJ6, ISNUMBER($C6:AJ6)), COUNTA(FILTER($C6:AJ6, IS"&amp;"NUMBER($C6:AJ6)))),
lastVal + 'K dynamique'!AJ6 * ((SQRT('Résultats des tournois'!AJ$2 + 1)/'Résultats des tournois'!AJ6) - (1 / (1 + 10^((AJ$103 - lastVal)/400)))))
)
))"),"")</f>
        <v/>
      </c>
      <c r="AL6" s="32" t="str">
        <f>IFERROR(__xludf.DUMMYFUNCTION("IF('Résultats des tournois'!AK$2=0,"""",LET(
lastVal, INDEX(FILTER($B6:AK6, ISNUMBER($B6:AK6)), COUNTA(FILTER($B6:AK6, ISNUMBER($B6:AK6)))),
IFERROR(
IF('Résultats des tournois'!AK6="""", INDEX(FILTER($C6:AK6, ISNUMBER($C6:AK6)), COUNTA(FILTER($C6:AK6, IS"&amp;"NUMBER($C6:AK6)))),
lastVal + 'K dynamique'!AK6 * ((SQRT('Résultats des tournois'!AK$2 + 1)/'Résultats des tournois'!AK6) - (1 / (1 + 10^((AK$103 - lastVal)/400)))))
)
))"),"")</f>
        <v/>
      </c>
      <c r="AM6" s="32" t="str">
        <f>IFERROR(__xludf.DUMMYFUNCTION("IF('Résultats des tournois'!AL$2=0,"""",LET(
lastVal, INDEX(FILTER($B6:AL6, ISNUMBER($B6:AL6)), COUNTA(FILTER($B6:AL6, ISNUMBER($B6:AL6)))),
IFERROR(
IF('Résultats des tournois'!AL6="""", INDEX(FILTER($C6:AL6, ISNUMBER($C6:AL6)), COUNTA(FILTER($C6:AL6, IS"&amp;"NUMBER($C6:AL6)))),
lastVal + 'K dynamique'!AL6 * ((SQRT('Résultats des tournois'!AL$2 + 1)/'Résultats des tournois'!AL6) - (1 / (1 + 10^((AL$103 - lastVal)/400)))))
)
))"),"")</f>
        <v/>
      </c>
      <c r="AN6" s="32" t="str">
        <f>IFERROR(__xludf.DUMMYFUNCTION("IF('Résultats des tournois'!AM$2=0,"""",LET(
lastVal, INDEX(FILTER($B6:AM6, ISNUMBER($B6:AM6)), COUNTA(FILTER($B6:AM6, ISNUMBER($B6:AM6)))),
IFERROR(
IF('Résultats des tournois'!AM6="""", INDEX(FILTER($C6:AM6, ISNUMBER($C6:AM6)), COUNTA(FILTER($C6:AM6, IS"&amp;"NUMBER($C6:AM6)))),
lastVal + 'K dynamique'!AM6 * ((SQRT('Résultats des tournois'!AM$2 + 1)/'Résultats des tournois'!AM6) - (1 / (1 + 10^((AM$103 - lastVal)/400)))))
)
))"),"")</f>
        <v/>
      </c>
      <c r="AO6" s="32" t="str">
        <f>IFERROR(__xludf.DUMMYFUNCTION("IF('Résultats des tournois'!AN$2=0,"""",LET(
lastVal, INDEX(FILTER($B6:AN6, ISNUMBER($B6:AN6)), COUNTA(FILTER($B6:AN6, ISNUMBER($B6:AN6)))),
IFERROR(
IF('Résultats des tournois'!AN6="""", INDEX(FILTER($C6:AN6, ISNUMBER($C6:AN6)), COUNTA(FILTER($C6:AN6, IS"&amp;"NUMBER($C6:AN6)))),
lastVal + 'K dynamique'!AN6 * ((SQRT('Résultats des tournois'!AN$2 + 1)/'Résultats des tournois'!AN6) - (1 / (1 + 10^((AN$103 - lastVal)/400)))))
)
))"),"")</f>
        <v/>
      </c>
      <c r="AP6" s="32" t="str">
        <f>IFERROR(__xludf.DUMMYFUNCTION("IF('Résultats des tournois'!AO$2=0,"""",LET(
lastVal, INDEX(FILTER($B6:AO6, ISNUMBER($B6:AO6)), COUNTA(FILTER($B6:AO6, ISNUMBER($B6:AO6)))),
IFERROR(
IF('Résultats des tournois'!AO6="""", INDEX(FILTER($C6:AO6, ISNUMBER($C6:AO6)), COUNTA(FILTER($C6:AO6, IS"&amp;"NUMBER($C6:AO6)))),
lastVal + 'K dynamique'!AO6 * ((SQRT('Résultats des tournois'!AO$2 + 1)/'Résultats des tournois'!AO6) - (1 / (1 + 10^((AO$103 - lastVal)/400)))))
)
))"),"")</f>
        <v/>
      </c>
      <c r="AQ6" s="32" t="str">
        <f>IFERROR(__xludf.DUMMYFUNCTION("IF('Résultats des tournois'!AP$2=0,"""",LET(
lastVal, INDEX(FILTER($B6:AP6, ISNUMBER($B6:AP6)), COUNTA(FILTER($B6:AP6, ISNUMBER($B6:AP6)))),
IFERROR(
IF('Résultats des tournois'!AP6="""", INDEX(FILTER($C6:AP6, ISNUMBER($C6:AP6)), COUNTA(FILTER($C6:AP6, IS"&amp;"NUMBER($C6:AP6)))),
lastVal + 'K dynamique'!AP6 * ((SQRT('Résultats des tournois'!AP$2 + 1)/'Résultats des tournois'!AP6) - (1 / (1 + 10^((AP$103 - lastVal)/400)))))
)
))"),"")</f>
        <v/>
      </c>
      <c r="AR6" s="32" t="str">
        <f>IFERROR(__xludf.DUMMYFUNCTION("IF('Résultats des tournois'!AQ$2=0,"""",LET(
lastVal, INDEX(FILTER($B6:AQ6, ISNUMBER($B6:AQ6)), COUNTA(FILTER($B6:AQ6, ISNUMBER($B6:AQ6)))),
IFERROR(
IF('Résultats des tournois'!AQ6="""", INDEX(FILTER($C6:AQ6, ISNUMBER($C6:AQ6)), COUNTA(FILTER($C6:AQ6, IS"&amp;"NUMBER($C6:AQ6)))),
lastVal + 'K dynamique'!AQ6 * ((SQRT('Résultats des tournois'!AQ$2 + 1)/'Résultats des tournois'!AQ6) - (1 / (1 + 10^((AQ$103 - lastVal)/400)))))
)
))"),"")</f>
        <v/>
      </c>
      <c r="AS6" s="32" t="str">
        <f>IFERROR(__xludf.DUMMYFUNCTION("IF('Résultats des tournois'!AR$2=0,"""",LET(
lastVal, INDEX(FILTER($B6:AR6, ISNUMBER($B6:AR6)), COUNTA(FILTER($B6:AR6, ISNUMBER($B6:AR6)))),
IFERROR(
IF('Résultats des tournois'!AR6="""", INDEX(FILTER($C6:AR6, ISNUMBER($C6:AR6)), COUNTA(FILTER($C6:AR6, IS"&amp;"NUMBER($C6:AR6)))),
lastVal + 'K dynamique'!AR6 * ((SQRT('Résultats des tournois'!AR$2 + 1)/'Résultats des tournois'!AR6) - (1 / (1 + 10^((AR$103 - lastVal)/400)))))
)
))"),"")</f>
        <v/>
      </c>
      <c r="AT6" s="32" t="str">
        <f>IFERROR(__xludf.DUMMYFUNCTION("IF('Résultats des tournois'!AS$2=0,"""",LET(
lastVal, INDEX(FILTER($B6:AS6, ISNUMBER($B6:AS6)), COUNTA(FILTER($B6:AS6, ISNUMBER($B6:AS6)))),
IFERROR(
IF('Résultats des tournois'!AS6="""", INDEX(FILTER($C6:AS6, ISNUMBER($C6:AS6)), COUNTA(FILTER($C6:AS6, IS"&amp;"NUMBER($C6:AS6)))),
lastVal + 'K dynamique'!AS6 * ((SQRT('Résultats des tournois'!AS$2 + 1)/'Résultats des tournois'!AS6) - (1 / (1 + 10^((AS$103 - lastVal)/400)))))
)
))"),"")</f>
        <v/>
      </c>
      <c r="AU6" s="32" t="str">
        <f>IFERROR(__xludf.DUMMYFUNCTION("IF('Résultats des tournois'!AT$2=0,"""",LET(
lastVal, INDEX(FILTER($B6:AT6, ISNUMBER($B6:AT6)), COUNTA(FILTER($B6:AT6, ISNUMBER($B6:AT6)))),
IFERROR(
IF('Résultats des tournois'!AT6="""", INDEX(FILTER($C6:AT6, ISNUMBER($C6:AT6)), COUNTA(FILTER($C6:AT6, IS"&amp;"NUMBER($C6:AT6)))),
lastVal + 'K dynamique'!AT6 * ((SQRT('Résultats des tournois'!AT$2 + 1)/'Résultats des tournois'!AT6) - (1 / (1 + 10^((AT$103 - lastVal)/400)))))
)
))"),"")</f>
        <v/>
      </c>
      <c r="AV6" s="32" t="str">
        <f>IFERROR(__xludf.DUMMYFUNCTION("IF('Résultats des tournois'!AU$2=0,"""",LET(
lastVal, INDEX(FILTER($B6:AU6, ISNUMBER($B6:AU6)), COUNTA(FILTER($B6:AU6, ISNUMBER($B6:AU6)))),
IFERROR(
IF('Résultats des tournois'!AU6="""", INDEX(FILTER($C6:AU6, ISNUMBER($C6:AU6)), COUNTA(FILTER($C6:AU6, IS"&amp;"NUMBER($C6:AU6)))),
lastVal + 'K dynamique'!AU6 * ((SQRT('Résultats des tournois'!AU$2 + 1)/'Résultats des tournois'!AU6) - (1 / (1 + 10^((AU$103 - lastVal)/400)))))
)
))"),"")</f>
        <v/>
      </c>
      <c r="AW6" s="32" t="str">
        <f>IFERROR(__xludf.DUMMYFUNCTION("IF('Résultats des tournois'!AV$2=0,"""",LET(
lastVal, INDEX(FILTER($B6:AV6, ISNUMBER($B6:AV6)), COUNTA(FILTER($B6:AV6, ISNUMBER($B6:AV6)))),
IFERROR(
IF('Résultats des tournois'!AV6="""", INDEX(FILTER($C6:AV6, ISNUMBER($C6:AV6)), COUNTA(FILTER($C6:AV6, IS"&amp;"NUMBER($C6:AV6)))),
lastVal + 'K dynamique'!AV6 * ((SQRT('Résultats des tournois'!AV$2 + 1)/'Résultats des tournois'!AV6) - (1 / (1 + 10^((AV$103 - lastVal)/400)))))
)
))"),"")</f>
        <v/>
      </c>
      <c r="AX6" s="32" t="str">
        <f>IFERROR(__xludf.DUMMYFUNCTION("IF('Résultats des tournois'!AW$2=0,"""",LET(
lastVal, INDEX(FILTER($B6:AW6, ISNUMBER($B6:AW6)), COUNTA(FILTER($B6:AW6, ISNUMBER($B6:AW6)))),
IFERROR(
IF('Résultats des tournois'!AW6="""", INDEX(FILTER($C6:AW6, ISNUMBER($C6:AW6)), COUNTA(FILTER($C6:AW6, IS"&amp;"NUMBER($C6:AW6)))),
lastVal + 'K dynamique'!AW6 * ((SQRT('Résultats des tournois'!AW$2 + 1)/'Résultats des tournois'!AW6) - (1 / (1 + 10^((AW$103 - lastVal)/400)))))
)
))"),"")</f>
        <v/>
      </c>
      <c r="AY6" s="32" t="str">
        <f>IFERROR(__xludf.DUMMYFUNCTION("IF('Résultats des tournois'!AX$2=0,"""",LET(
lastVal, INDEX(FILTER($B6:AX6, ISNUMBER($B6:AX6)), COUNTA(FILTER($B6:AX6, ISNUMBER($B6:AX6)))),
IFERROR(
IF('Résultats des tournois'!AX6="""", INDEX(FILTER($C6:AX6, ISNUMBER($C6:AX6)), COUNTA(FILTER($C6:AX6, IS"&amp;"NUMBER($C6:AX6)))),
lastVal + 'K dynamique'!AX6 * ((SQRT('Résultats des tournois'!AX$2 + 1)/'Résultats des tournois'!AX6) - (1 / (1 + 10^((AX$103 - lastVal)/400)))))
)
))"),"")</f>
        <v/>
      </c>
      <c r="AZ6" s="4">
        <f t="array" ref="AZ6">IF(MAX(($C6:AY6&lt;&gt;"")*COLUMN($C6:AY6))=0,"",INDEX($C6:AY6,1,MAX(($C6:AY6&lt;&gt;"")*COLUMN($C6:AY6))-COLUMN($C6)+1))</f>
        <v>1640.884125</v>
      </c>
      <c r="BA6" s="33">
        <f t="shared" si="1"/>
        <v>5</v>
      </c>
    </row>
    <row r="7" ht="14.25" customHeight="1">
      <c r="A7" s="32" t="str">
        <f>IF('Résultats des tournois'!A7="","",'Résultats des tournois'!A7)</f>
        <v>Gwen</v>
      </c>
      <c r="B7" s="32">
        <v>1500.0</v>
      </c>
      <c r="C7" s="32">
        <f>IF('Résultats des tournois'!B7="","",B7+'K dynamique'!B7*((SQRT('Résultats des tournois'!B$2+1)/'Résultats des tournois'!B7)-(1/(1+10^((B7-B7)/400)))))</f>
        <v>1498.96663</v>
      </c>
      <c r="D7" s="32">
        <f>IFERROR(__xludf.DUMMYFUNCTION("IF('Résultats des tournois'!C$2=0,"""",LET(
lastVal, INDEX(FILTER($B7:C7, ISNUMBER($B7:C7)), COUNTA(FILTER($B7:C7, ISNUMBER($B7:C7)))),
IFERROR(
IF('Résultats des tournois'!C7="""", INDEX(FILTER($C7:C7, ISNUMBER($C7:C7)), COUNTA(FILTER($C7:C7, ISNUMBER($C"&amp;"7:C7)))),
lastVal + 'K dynamique'!C7 * ((SQRT('Résultats des tournois'!C$2 + 1)/'Résultats des tournois'!C7) - (1 / (1 + 10^((C$103 - lastVal)/400)))))
)
))"),1494.7109865054574)</f>
        <v>1494.710987</v>
      </c>
      <c r="E7" s="32">
        <f>IFERROR(__xludf.DUMMYFUNCTION("IF('Résultats des tournois'!D$2=0,"""",LET(
lastVal, INDEX(FILTER($B7:D7, ISNUMBER($B7:D7)), COUNTA(FILTER($B7:D7, ISNUMBER($B7:D7)))),
IFERROR(
IF('Résultats des tournois'!D7="""", INDEX(FILTER($C7:D7, ISNUMBER($C7:D7)), COUNTA(FILTER($C7:D7, ISNUMBER($C"&amp;"7:D7)))),
lastVal + 'K dynamique'!D7 * ((SQRT('Résultats des tournois'!D$2 + 1)/'Résultats des tournois'!D7) - (1 / (1 + 10^((D$103 - lastVal)/400)))))
)
))"),1489.5764503801158)</f>
        <v>1489.57645</v>
      </c>
      <c r="F7" s="32">
        <f>IFERROR(__xludf.DUMMYFUNCTION("IF('Résultats des tournois'!E$2=0,"""",LET(
lastVal, INDEX(FILTER($B7:E7, ISNUMBER($B7:E7)), COUNTA(FILTER($B7:E7, ISNUMBER($B7:E7)))),
IFERROR(
IF('Résultats des tournois'!E7="""", INDEX(FILTER($C7:E7, ISNUMBER($C7:E7)), COUNTA(FILTER($C7:E7, ISNUMBER($C"&amp;"7:E7)))),
lastVal + 'K dynamique'!E7 * ((SQRT('Résultats des tournois'!E$2 + 1)/'Résultats des tournois'!E7) - (1 / (1 + 10^((E$103 - lastVal)/400)))))
)
))"),1489.5764503801158)</f>
        <v>1489.57645</v>
      </c>
      <c r="G7" s="32">
        <f>IFERROR(__xludf.DUMMYFUNCTION("IF('Résultats des tournois'!F$2=0,"""",LET(
lastVal, INDEX(FILTER($B7:F7, ISNUMBER($B7:F7)), COUNTA(FILTER($B7:F7, ISNUMBER($B7:F7)))),
IFERROR(
IF('Résultats des tournois'!F7="""", INDEX(FILTER($C7:F7, ISNUMBER($C7:F7)), COUNTA(FILTER($C7:F7, ISNUMBER($C"&amp;"7:F7)))),
lastVal + 'K dynamique'!F7 * ((SQRT('Résultats des tournois'!F$2 + 1)/'Résultats des tournois'!F7) - (1 / (1 + 10^((F$103 - lastVal)/400)))))
)
))"),1591.3318665248967)</f>
        <v>1591.331867</v>
      </c>
      <c r="H7" s="32">
        <f>IFERROR(__xludf.DUMMYFUNCTION("IF('Résultats des tournois'!G$2=0,"""",LET(
lastVal, INDEX(FILTER($B7:G7, ISNUMBER($B7:G7)), COUNTA(FILTER($B7:G7, ISNUMBER($B7:G7)))),
IFERROR(
IF('Résultats des tournois'!G7="""", INDEX(FILTER($C7:G7, ISNUMBER($C7:G7)), COUNTA(FILTER($C7:G7, ISNUMBER($C"&amp;"7:G7)))),
lastVal + 'K dynamique'!G7 * ((SQRT('Résultats des tournois'!G$2 + 1)/'Résultats des tournois'!G7) - (1 / (1 + 10^((G$103 - lastVal)/400)))))
)
))"),1591.3318665248967)</f>
        <v>1591.331867</v>
      </c>
      <c r="I7" s="32">
        <f>IFERROR(__xludf.DUMMYFUNCTION("IF('Résultats des tournois'!H$2=0,"""",LET(
lastVal, INDEX(FILTER($B7:H7, ISNUMBER($B7:H7)), COUNTA(FILTER($B7:H7, ISNUMBER($B7:H7)))),
IFERROR(
IF('Résultats des tournois'!H7="""", INDEX(FILTER($C7:H7, ISNUMBER($C7:H7)), COUNTA(FILTER($C7:H7, ISNUMBER($C"&amp;"7:H7)))),
lastVal + 'K dynamique'!H7 * ((SQRT('Résultats des tournois'!H$2 + 1)/'Résultats des tournois'!H7) - (1 / (1 + 10^((H$103 - lastVal)/400)))))
)
))"),1606.347357790802)</f>
        <v>1606.347358</v>
      </c>
      <c r="J7" s="32">
        <f>IFERROR(__xludf.DUMMYFUNCTION("IF('Résultats des tournois'!I$2=0,"""",LET(
lastVal, INDEX(FILTER($B7:I7, ISNUMBER($B7:I7)), COUNTA(FILTER($B7:I7, ISNUMBER($B7:I7)))),
IFERROR(
IF('Résultats des tournois'!I7="""", INDEX(FILTER($C7:I7, ISNUMBER($C7:I7)), COUNTA(FILTER($C7:I7, ISNUMBER($C"&amp;"7:I7)))),
lastVal + 'K dynamique'!I7 * ((SQRT('Résultats des tournois'!I$2 + 1)/'Résultats des tournois'!I7) - (1 / (1 + 10^((I$103 - lastVal)/400)))))
)
))"),1606.347357790802)</f>
        <v>1606.347358</v>
      </c>
      <c r="K7" s="32">
        <f>IFERROR(__xludf.DUMMYFUNCTION("IF('Résultats des tournois'!J$2=0,"""",LET(
lastVal, INDEX(FILTER($B7:J7, ISNUMBER($B7:J7)), COUNTA(FILTER($B7:J7, ISNUMBER($B7:J7)))),
IFERROR(
IF('Résultats des tournois'!J7="""", INDEX(FILTER($C7:J7, ISNUMBER($C7:J7)), COUNTA(FILTER($C7:J7, ISNUMBER($C"&amp;"7:J7)))),
lastVal + 'K dynamique'!J7 * ((SQRT('Résultats des tournois'!J$2 + 1)/'Résultats des tournois'!J7) - (1 / (1 + 10^((J$103 - lastVal)/400)))))
)
))"),1604.80788095046)</f>
        <v>1604.807881</v>
      </c>
      <c r="L7" s="32">
        <f>IFERROR(__xludf.DUMMYFUNCTION("IF('Résultats des tournois'!K$2=0,"""",LET(
lastVal, INDEX(FILTER($B7:K7, ISNUMBER($B7:K7)), COUNTA(FILTER($B7:K7, ISNUMBER($B7:K7)))),
IFERROR(
IF('Résultats des tournois'!K7="""", INDEX(FILTER($C7:K7, ISNUMBER($C7:K7)), COUNTA(FILTER($C7:K7, ISNUMBER($C"&amp;"7:K7)))),
lastVal + 'K dynamique'!K7 * ((SQRT('Résultats des tournois'!K$2 + 1)/'Résultats des tournois'!K7) - (1 / (1 + 10^((K$103 - lastVal)/400)))))
)
))"),1604.80788095046)</f>
        <v>1604.807881</v>
      </c>
      <c r="M7" s="32">
        <f>IFERROR(__xludf.DUMMYFUNCTION("IF('Résultats des tournois'!L$2=0,"""",LET(
lastVal, INDEX(FILTER($B7:L7, ISNUMBER($B7:L7)), COUNTA(FILTER($B7:L7, ISNUMBER($B7:L7)))),
IFERROR(
IF('Résultats des tournois'!L7="""", INDEX(FILTER($C7:L7, ISNUMBER($C7:L7)), COUNTA(FILTER($C7:L7, ISNUMBER($C"&amp;"7:L7)))),
lastVal + 'K dynamique'!L7 * ((SQRT('Résultats des tournois'!L$2 + 1)/'Résultats des tournois'!L7) - (1 / (1 + 10^((L$103 - lastVal)/400)))))
)
))"),1608.3473166619951)</f>
        <v>1608.347317</v>
      </c>
      <c r="N7" s="32" t="str">
        <f>IFERROR(__xludf.DUMMYFUNCTION("IF('Résultats des tournois'!M$2=0,"""",LET(
lastVal, INDEX(FILTER($B7:M7, ISNUMBER($B7:M7)), COUNTA(FILTER($B7:M7, ISNUMBER($B7:M7)))),
IFERROR(
IF('Résultats des tournois'!M7="""", INDEX(FILTER($C7:M7, ISNUMBER($C7:M7)), COUNTA(FILTER($C7:M7, ISNUMBER($C"&amp;"7:M7)))),
lastVal + 'K dynamique'!M7 * ((SQRT('Résultats des tournois'!M$2 + 1)/'Résultats des tournois'!M7) - (1 / (1 + 10^((M$103 - lastVal)/400)))))
)
))"),"")</f>
        <v/>
      </c>
      <c r="O7" s="32" t="str">
        <f>IFERROR(__xludf.DUMMYFUNCTION("IF('Résultats des tournois'!N$2=0,"""",LET(
lastVal, INDEX(FILTER($B7:N7, ISNUMBER($B7:N7)), COUNTA(FILTER($B7:N7, ISNUMBER($B7:N7)))),
IFERROR(
IF('Résultats des tournois'!N7="""", INDEX(FILTER($C7:N7, ISNUMBER($C7:N7)), COUNTA(FILTER($C7:N7, ISNUMBER($C"&amp;"7:N7)))),
lastVal + 'K dynamique'!N7 * ((SQRT('Résultats des tournois'!N$2 + 1)/'Résultats des tournois'!N7) - (1 / (1 + 10^((N$103 - lastVal)/400)))))
)
))"),"")</f>
        <v/>
      </c>
      <c r="P7" s="32" t="str">
        <f>IFERROR(__xludf.DUMMYFUNCTION("IF('Résultats des tournois'!O$2=0,"""",LET(
lastVal, INDEX(FILTER($B7:O7, ISNUMBER($B7:O7)), COUNTA(FILTER($B7:O7, ISNUMBER($B7:O7)))),
IFERROR(
IF('Résultats des tournois'!O7="""", INDEX(FILTER($C7:O7, ISNUMBER($C7:O7)), COUNTA(FILTER($C7:O7, ISNUMBER($C"&amp;"7:O7)))),
lastVal + 'K dynamique'!O7 * ((SQRT('Résultats des tournois'!O$2 + 1)/'Résultats des tournois'!O7) - (1 / (1 + 10^((O$103 - lastVal)/400)))))
)
))"),"")</f>
        <v/>
      </c>
      <c r="Q7" s="32" t="str">
        <f>IFERROR(__xludf.DUMMYFUNCTION("IF('Résultats des tournois'!P$2=0,"""",LET(
lastVal, INDEX(FILTER($B7:P7, ISNUMBER($B7:P7)), COUNTA(FILTER($B7:P7, ISNUMBER($B7:P7)))),
IFERROR(
IF('Résultats des tournois'!P7="""", INDEX(FILTER($C7:P7, ISNUMBER($C7:P7)), COUNTA(FILTER($C7:P7, ISNUMBER($C"&amp;"7:P7)))),
lastVal + 'K dynamique'!P7 * ((SQRT('Résultats des tournois'!P$2 + 1)/'Résultats des tournois'!P7) - (1 / (1 + 10^((P$103 - lastVal)/400)))))
)
))"),"")</f>
        <v/>
      </c>
      <c r="R7" s="32" t="str">
        <f>IFERROR(__xludf.DUMMYFUNCTION("IF('Résultats des tournois'!Q$2=0,"""",LET(
lastVal, INDEX(FILTER($B7:Q7, ISNUMBER($B7:Q7)), COUNTA(FILTER($B7:Q7, ISNUMBER($B7:Q7)))),
IFERROR(
IF('Résultats des tournois'!Q7="""", INDEX(FILTER($C7:Q7, ISNUMBER($C7:Q7)), COUNTA(FILTER($C7:Q7, ISNUMBER($C"&amp;"7:Q7)))),
lastVal + 'K dynamique'!Q7 * ((SQRT('Résultats des tournois'!Q$2 + 1)/'Résultats des tournois'!Q7) - (1 / (1 + 10^((Q$103 - lastVal)/400)))))
)
))"),"")</f>
        <v/>
      </c>
      <c r="S7" s="32" t="str">
        <f>IFERROR(__xludf.DUMMYFUNCTION("IF('Résultats des tournois'!R$2=0,"""",LET(
lastVal, INDEX(FILTER($B7:R7, ISNUMBER($B7:R7)), COUNTA(FILTER($B7:R7, ISNUMBER($B7:R7)))),
IFERROR(
IF('Résultats des tournois'!R7="""", INDEX(FILTER($C7:R7, ISNUMBER($C7:R7)), COUNTA(FILTER($C7:R7, ISNUMBER($C"&amp;"7:R7)))),
lastVal + 'K dynamique'!R7 * ((SQRT('Résultats des tournois'!R$2 + 1)/'Résultats des tournois'!R7) - (1 / (1 + 10^((R$103 - lastVal)/400)))))
)
))"),"")</f>
        <v/>
      </c>
      <c r="T7" s="32" t="str">
        <f>IFERROR(__xludf.DUMMYFUNCTION("IF('Résultats des tournois'!S$2=0,"""",LET(
lastVal, INDEX(FILTER($B7:S7, ISNUMBER($B7:S7)), COUNTA(FILTER($B7:S7, ISNUMBER($B7:S7)))),
IFERROR(
IF('Résultats des tournois'!S7="""", INDEX(FILTER($C7:S7, ISNUMBER($C7:S7)), COUNTA(FILTER($C7:S7, ISNUMBER($C"&amp;"7:S7)))),
lastVal + 'K dynamique'!S7 * ((SQRT('Résultats des tournois'!S$2 + 1)/'Résultats des tournois'!S7) - (1 / (1 + 10^((S$103 - lastVal)/400)))))
)
))"),"")</f>
        <v/>
      </c>
      <c r="U7" s="32" t="str">
        <f>IFERROR(__xludf.DUMMYFUNCTION("IF('Résultats des tournois'!T$2=0,"""",LET(
lastVal, INDEX(FILTER($B7:T7, ISNUMBER($B7:T7)), COUNTA(FILTER($B7:T7, ISNUMBER($B7:T7)))),
IFERROR(
IF('Résultats des tournois'!T7="""", INDEX(FILTER($C7:T7, ISNUMBER($C7:T7)), COUNTA(FILTER($C7:T7, ISNUMBER($C"&amp;"7:T7)))),
lastVal + 'K dynamique'!T7 * ((SQRT('Résultats des tournois'!T$2 + 1)/'Résultats des tournois'!T7) - (1 / (1 + 10^((T$103 - lastVal)/400)))))
)
))"),"")</f>
        <v/>
      </c>
      <c r="V7" s="32" t="str">
        <f>IFERROR(__xludf.DUMMYFUNCTION("IF('Résultats des tournois'!U$2=0,"""",LET(
lastVal, INDEX(FILTER($B7:U7, ISNUMBER($B7:U7)), COUNTA(FILTER($B7:U7, ISNUMBER($B7:U7)))),
IFERROR(
IF('Résultats des tournois'!U7="""", INDEX(FILTER($C7:U7, ISNUMBER($C7:U7)), COUNTA(FILTER($C7:U7, ISNUMBER($C"&amp;"7:U7)))),
lastVal + 'K dynamique'!U7 * ((SQRT('Résultats des tournois'!U$2 + 1)/'Résultats des tournois'!U7) - (1 / (1 + 10^((U$103 - lastVal)/400)))))
)
))"),"")</f>
        <v/>
      </c>
      <c r="W7" s="32" t="str">
        <f>IFERROR(__xludf.DUMMYFUNCTION("IF('Résultats des tournois'!V$2=0,"""",LET(
lastVal, INDEX(FILTER($B7:V7, ISNUMBER($B7:V7)), COUNTA(FILTER($B7:V7, ISNUMBER($B7:V7)))),
IFERROR(
IF('Résultats des tournois'!V7="""", INDEX(FILTER($C7:V7, ISNUMBER($C7:V7)), COUNTA(FILTER($C7:V7, ISNUMBER($C"&amp;"7:V7)))),
lastVal + 'K dynamique'!V7 * ((SQRT('Résultats des tournois'!V$2 + 1)/'Résultats des tournois'!V7) - (1 / (1 + 10^((V$103 - lastVal)/400)))))
)
))"),"")</f>
        <v/>
      </c>
      <c r="X7" s="32" t="str">
        <f>IFERROR(__xludf.DUMMYFUNCTION("IF('Résultats des tournois'!W$2=0,"""",LET(
lastVal, INDEX(FILTER($B7:W7, ISNUMBER($B7:W7)), COUNTA(FILTER($B7:W7, ISNUMBER($B7:W7)))),
IFERROR(
IF('Résultats des tournois'!W7="""", INDEX(FILTER($C7:W7, ISNUMBER($C7:W7)), COUNTA(FILTER($C7:W7, ISNUMBER($C"&amp;"7:W7)))),
lastVal + 'K dynamique'!W7 * ((SQRT('Résultats des tournois'!W$2 + 1)/'Résultats des tournois'!W7) - (1 / (1 + 10^((W$103 - lastVal)/400)))))
)
))"),"")</f>
        <v/>
      </c>
      <c r="Y7" s="32" t="str">
        <f>IFERROR(__xludf.DUMMYFUNCTION("IF('Résultats des tournois'!X$2=0,"""",LET(
lastVal, INDEX(FILTER($B7:X7, ISNUMBER($B7:X7)), COUNTA(FILTER($B7:X7, ISNUMBER($B7:X7)))),
IFERROR(
IF('Résultats des tournois'!X7="""", INDEX(FILTER($C7:X7, ISNUMBER($C7:X7)), COUNTA(FILTER($C7:X7, ISNUMBER($C"&amp;"7:X7)))),
lastVal + 'K dynamique'!X7 * ((SQRT('Résultats des tournois'!X$2 + 1)/'Résultats des tournois'!X7) - (1 / (1 + 10^((X$103 - lastVal)/400)))))
)
))"),"")</f>
        <v/>
      </c>
      <c r="Z7" s="32" t="str">
        <f>IFERROR(__xludf.DUMMYFUNCTION("IF('Résultats des tournois'!Y$2=0,"""",LET(
lastVal, INDEX(FILTER($B7:Y7, ISNUMBER($B7:Y7)), COUNTA(FILTER($B7:Y7, ISNUMBER($B7:Y7)))),
IFERROR(
IF('Résultats des tournois'!Y7="""", INDEX(FILTER($C7:Y7, ISNUMBER($C7:Y7)), COUNTA(FILTER($C7:Y7, ISNUMBER($C"&amp;"7:Y7)))),
lastVal + 'K dynamique'!Y7 * ((SQRT('Résultats des tournois'!Y$2 + 1)/'Résultats des tournois'!Y7) - (1 / (1 + 10^((Y$103 - lastVal)/400)))))
)
))"),"")</f>
        <v/>
      </c>
      <c r="AA7" s="32" t="str">
        <f>IFERROR(__xludf.DUMMYFUNCTION("IF('Résultats des tournois'!Z$2=0,"""",LET(
lastVal, INDEX(FILTER($B7:Z7, ISNUMBER($B7:Z7)), COUNTA(FILTER($B7:Z7, ISNUMBER($B7:Z7)))),
IFERROR(
IF('Résultats des tournois'!Z7="""", INDEX(FILTER($C7:Z7, ISNUMBER($C7:Z7)), COUNTA(FILTER($C7:Z7, ISNUMBER($C"&amp;"7:Z7)))),
lastVal + 'K dynamique'!Z7 * ((SQRT('Résultats des tournois'!Z$2 + 1)/'Résultats des tournois'!Z7) - (1 / (1 + 10^((Z$103 - lastVal)/400)))))
)
))"),"")</f>
        <v/>
      </c>
      <c r="AB7" s="32" t="str">
        <f>IFERROR(__xludf.DUMMYFUNCTION("IF('Résultats des tournois'!AA$2=0,"""",LET(
lastVal, INDEX(FILTER($B7:AA7, ISNUMBER($B7:AA7)), COUNTA(FILTER($B7:AA7, ISNUMBER($B7:AA7)))),
IFERROR(
IF('Résultats des tournois'!AA7="""", INDEX(FILTER($C7:AA7, ISNUMBER($C7:AA7)), COUNTA(FILTER($C7:AA7, IS"&amp;"NUMBER($C7:AA7)))),
lastVal + 'K dynamique'!AA7 * ((SQRT('Résultats des tournois'!AA$2 + 1)/'Résultats des tournois'!AA7) - (1 / (1 + 10^((AA$103 - lastVal)/400)))))
)
))"),"")</f>
        <v/>
      </c>
      <c r="AC7" s="32" t="str">
        <f>IFERROR(__xludf.DUMMYFUNCTION("IF('Résultats des tournois'!AB$2=0,"""",LET(
lastVal, INDEX(FILTER($B7:AB7, ISNUMBER($B7:AB7)), COUNTA(FILTER($B7:AB7, ISNUMBER($B7:AB7)))),
IFERROR(
IF('Résultats des tournois'!AB7="""", INDEX(FILTER($C7:AB7, ISNUMBER($C7:AB7)), COUNTA(FILTER($C7:AB7, IS"&amp;"NUMBER($C7:AB7)))),
lastVal + 'K dynamique'!AB7 * ((SQRT('Résultats des tournois'!AB$2 + 1)/'Résultats des tournois'!AB7) - (1 / (1 + 10^((AB$103 - lastVal)/400)))))
)
))"),"")</f>
        <v/>
      </c>
      <c r="AD7" s="32" t="str">
        <f>IFERROR(__xludf.DUMMYFUNCTION("IF('Résultats des tournois'!AC$2=0,"""",LET(
lastVal, INDEX(FILTER($B7:AC7, ISNUMBER($B7:AC7)), COUNTA(FILTER($B7:AC7, ISNUMBER($B7:AC7)))),
IFERROR(
IF('Résultats des tournois'!AC7="""", INDEX(FILTER($C7:AC7, ISNUMBER($C7:AC7)), COUNTA(FILTER($C7:AC7, IS"&amp;"NUMBER($C7:AC7)))),
lastVal + 'K dynamique'!AC7 * ((SQRT('Résultats des tournois'!AC$2 + 1)/'Résultats des tournois'!AC7) - (1 / (1 + 10^((AC$103 - lastVal)/400)))))
)
))"),"")</f>
        <v/>
      </c>
      <c r="AE7" s="32" t="str">
        <f>IFERROR(__xludf.DUMMYFUNCTION("IF('Résultats des tournois'!AD$2=0,"""",LET(
lastVal, INDEX(FILTER($B7:AD7, ISNUMBER($B7:AD7)), COUNTA(FILTER($B7:AD7, ISNUMBER($B7:AD7)))),
IFERROR(
IF('Résultats des tournois'!AD7="""", INDEX(FILTER($C7:AD7, ISNUMBER($C7:AD7)), COUNTA(FILTER($C7:AD7, IS"&amp;"NUMBER($C7:AD7)))),
lastVal + 'K dynamique'!AD7 * ((SQRT('Résultats des tournois'!AD$2 + 1)/'Résultats des tournois'!AD7) - (1 / (1 + 10^((AD$103 - lastVal)/400)))))
)
))"),"")</f>
        <v/>
      </c>
      <c r="AF7" s="32" t="str">
        <f>IFERROR(__xludf.DUMMYFUNCTION("IF('Résultats des tournois'!AE$2=0,"""",LET(
lastVal, INDEX(FILTER($B7:AE7, ISNUMBER($B7:AE7)), COUNTA(FILTER($B7:AE7, ISNUMBER($B7:AE7)))),
IFERROR(
IF('Résultats des tournois'!AE7="""", INDEX(FILTER($C7:AE7, ISNUMBER($C7:AE7)), COUNTA(FILTER($C7:AE7, IS"&amp;"NUMBER($C7:AE7)))),
lastVal + 'K dynamique'!AE7 * ((SQRT('Résultats des tournois'!AE$2 + 1)/'Résultats des tournois'!AE7) - (1 / (1 + 10^((AE$103 - lastVal)/400)))))
)
))"),"")</f>
        <v/>
      </c>
      <c r="AG7" s="32" t="str">
        <f>IFERROR(__xludf.DUMMYFUNCTION("IF('Résultats des tournois'!AF$2=0,"""",LET(
lastVal, INDEX(FILTER($B7:AF7, ISNUMBER($B7:AF7)), COUNTA(FILTER($B7:AF7, ISNUMBER($B7:AF7)))),
IFERROR(
IF('Résultats des tournois'!AF7="""", INDEX(FILTER($C7:AF7, ISNUMBER($C7:AF7)), COUNTA(FILTER($C7:AF7, IS"&amp;"NUMBER($C7:AF7)))),
lastVal + 'K dynamique'!AF7 * ((SQRT('Résultats des tournois'!AF$2 + 1)/'Résultats des tournois'!AF7) - (1 / (1 + 10^((AF$103 - lastVal)/400)))))
)
))"),"")</f>
        <v/>
      </c>
      <c r="AH7" s="32" t="str">
        <f>IFERROR(__xludf.DUMMYFUNCTION("IF('Résultats des tournois'!AG$2=0,"""",LET(
lastVal, INDEX(FILTER($B7:AG7, ISNUMBER($B7:AG7)), COUNTA(FILTER($B7:AG7, ISNUMBER($B7:AG7)))),
IFERROR(
IF('Résultats des tournois'!AG7="""", INDEX(FILTER($C7:AG7, ISNUMBER($C7:AG7)), COUNTA(FILTER($C7:AG7, IS"&amp;"NUMBER($C7:AG7)))),
lastVal + 'K dynamique'!AG7 * ((SQRT('Résultats des tournois'!AG$2 + 1)/'Résultats des tournois'!AG7) - (1 / (1 + 10^((AG$103 - lastVal)/400)))))
)
))"),"")</f>
        <v/>
      </c>
      <c r="AI7" s="32" t="str">
        <f>IFERROR(__xludf.DUMMYFUNCTION("IF('Résultats des tournois'!AH$2=0,"""",LET(
lastVal, INDEX(FILTER($B7:AH7, ISNUMBER($B7:AH7)), COUNTA(FILTER($B7:AH7, ISNUMBER($B7:AH7)))),
IFERROR(
IF('Résultats des tournois'!AH7="""", INDEX(FILTER($C7:AH7, ISNUMBER($C7:AH7)), COUNTA(FILTER($C7:AH7, IS"&amp;"NUMBER($C7:AH7)))),
lastVal + 'K dynamique'!AH7 * ((SQRT('Résultats des tournois'!AH$2 + 1)/'Résultats des tournois'!AH7) - (1 / (1 + 10^((AH$103 - lastVal)/400)))))
)
))"),"")</f>
        <v/>
      </c>
      <c r="AJ7" s="32" t="str">
        <f>IFERROR(__xludf.DUMMYFUNCTION("IF('Résultats des tournois'!AI$2=0,"""",LET(
lastVal, INDEX(FILTER($B7:AI7, ISNUMBER($B7:AI7)), COUNTA(FILTER($B7:AI7, ISNUMBER($B7:AI7)))),
IFERROR(
IF('Résultats des tournois'!AI7="""", INDEX(FILTER($C7:AI7, ISNUMBER($C7:AI7)), COUNTA(FILTER($C7:AI7, IS"&amp;"NUMBER($C7:AI7)))),
lastVal + 'K dynamique'!AI7 * ((SQRT('Résultats des tournois'!AI$2 + 1)/'Résultats des tournois'!AI7) - (1 / (1 + 10^((AI$103 - lastVal)/400)))))
)
))"),"")</f>
        <v/>
      </c>
      <c r="AK7" s="32" t="str">
        <f>IFERROR(__xludf.DUMMYFUNCTION("IF('Résultats des tournois'!AJ$2=0,"""",LET(
lastVal, INDEX(FILTER($B7:AJ7, ISNUMBER($B7:AJ7)), COUNTA(FILTER($B7:AJ7, ISNUMBER($B7:AJ7)))),
IFERROR(
IF('Résultats des tournois'!AJ7="""", INDEX(FILTER($C7:AJ7, ISNUMBER($C7:AJ7)), COUNTA(FILTER($C7:AJ7, IS"&amp;"NUMBER($C7:AJ7)))),
lastVal + 'K dynamique'!AJ7 * ((SQRT('Résultats des tournois'!AJ$2 + 1)/'Résultats des tournois'!AJ7) - (1 / (1 + 10^((AJ$103 - lastVal)/400)))))
)
))"),"")</f>
        <v/>
      </c>
      <c r="AL7" s="32" t="str">
        <f>IFERROR(__xludf.DUMMYFUNCTION("IF('Résultats des tournois'!AK$2=0,"""",LET(
lastVal, INDEX(FILTER($B7:AK7, ISNUMBER($B7:AK7)), COUNTA(FILTER($B7:AK7, ISNUMBER($B7:AK7)))),
IFERROR(
IF('Résultats des tournois'!AK7="""", INDEX(FILTER($C7:AK7, ISNUMBER($C7:AK7)), COUNTA(FILTER($C7:AK7, IS"&amp;"NUMBER($C7:AK7)))),
lastVal + 'K dynamique'!AK7 * ((SQRT('Résultats des tournois'!AK$2 + 1)/'Résultats des tournois'!AK7) - (1 / (1 + 10^((AK$103 - lastVal)/400)))))
)
))"),"")</f>
        <v/>
      </c>
      <c r="AM7" s="32" t="str">
        <f>IFERROR(__xludf.DUMMYFUNCTION("IF('Résultats des tournois'!AL$2=0,"""",LET(
lastVal, INDEX(FILTER($B7:AL7, ISNUMBER($B7:AL7)), COUNTA(FILTER($B7:AL7, ISNUMBER($B7:AL7)))),
IFERROR(
IF('Résultats des tournois'!AL7="""", INDEX(FILTER($C7:AL7, ISNUMBER($C7:AL7)), COUNTA(FILTER($C7:AL7, IS"&amp;"NUMBER($C7:AL7)))),
lastVal + 'K dynamique'!AL7 * ((SQRT('Résultats des tournois'!AL$2 + 1)/'Résultats des tournois'!AL7) - (1 / (1 + 10^((AL$103 - lastVal)/400)))))
)
))"),"")</f>
        <v/>
      </c>
      <c r="AN7" s="32" t="str">
        <f>IFERROR(__xludf.DUMMYFUNCTION("IF('Résultats des tournois'!AM$2=0,"""",LET(
lastVal, INDEX(FILTER($B7:AM7, ISNUMBER($B7:AM7)), COUNTA(FILTER($B7:AM7, ISNUMBER($B7:AM7)))),
IFERROR(
IF('Résultats des tournois'!AM7="""", INDEX(FILTER($C7:AM7, ISNUMBER($C7:AM7)), COUNTA(FILTER($C7:AM7, IS"&amp;"NUMBER($C7:AM7)))),
lastVal + 'K dynamique'!AM7 * ((SQRT('Résultats des tournois'!AM$2 + 1)/'Résultats des tournois'!AM7) - (1 / (1 + 10^((AM$103 - lastVal)/400)))))
)
))"),"")</f>
        <v/>
      </c>
      <c r="AO7" s="32" t="str">
        <f>IFERROR(__xludf.DUMMYFUNCTION("IF('Résultats des tournois'!AN$2=0,"""",LET(
lastVal, INDEX(FILTER($B7:AN7, ISNUMBER($B7:AN7)), COUNTA(FILTER($B7:AN7, ISNUMBER($B7:AN7)))),
IFERROR(
IF('Résultats des tournois'!AN7="""", INDEX(FILTER($C7:AN7, ISNUMBER($C7:AN7)), COUNTA(FILTER($C7:AN7, IS"&amp;"NUMBER($C7:AN7)))),
lastVal + 'K dynamique'!AN7 * ((SQRT('Résultats des tournois'!AN$2 + 1)/'Résultats des tournois'!AN7) - (1 / (1 + 10^((AN$103 - lastVal)/400)))))
)
))"),"")</f>
        <v/>
      </c>
      <c r="AP7" s="32" t="str">
        <f>IFERROR(__xludf.DUMMYFUNCTION("IF('Résultats des tournois'!AO$2=0,"""",LET(
lastVal, INDEX(FILTER($B7:AO7, ISNUMBER($B7:AO7)), COUNTA(FILTER($B7:AO7, ISNUMBER($B7:AO7)))),
IFERROR(
IF('Résultats des tournois'!AO7="""", INDEX(FILTER($C7:AO7, ISNUMBER($C7:AO7)), COUNTA(FILTER($C7:AO7, IS"&amp;"NUMBER($C7:AO7)))),
lastVal + 'K dynamique'!AO7 * ((SQRT('Résultats des tournois'!AO$2 + 1)/'Résultats des tournois'!AO7) - (1 / (1 + 10^((AO$103 - lastVal)/400)))))
)
))"),"")</f>
        <v/>
      </c>
      <c r="AQ7" s="32" t="str">
        <f>IFERROR(__xludf.DUMMYFUNCTION("IF('Résultats des tournois'!AP$2=0,"""",LET(
lastVal, INDEX(FILTER($B7:AP7, ISNUMBER($B7:AP7)), COUNTA(FILTER($B7:AP7, ISNUMBER($B7:AP7)))),
IFERROR(
IF('Résultats des tournois'!AP7="""", INDEX(FILTER($C7:AP7, ISNUMBER($C7:AP7)), COUNTA(FILTER($C7:AP7, IS"&amp;"NUMBER($C7:AP7)))),
lastVal + 'K dynamique'!AP7 * ((SQRT('Résultats des tournois'!AP$2 + 1)/'Résultats des tournois'!AP7) - (1 / (1 + 10^((AP$103 - lastVal)/400)))))
)
))"),"")</f>
        <v/>
      </c>
      <c r="AR7" s="32" t="str">
        <f>IFERROR(__xludf.DUMMYFUNCTION("IF('Résultats des tournois'!AQ$2=0,"""",LET(
lastVal, INDEX(FILTER($B7:AQ7, ISNUMBER($B7:AQ7)), COUNTA(FILTER($B7:AQ7, ISNUMBER($B7:AQ7)))),
IFERROR(
IF('Résultats des tournois'!AQ7="""", INDEX(FILTER($C7:AQ7, ISNUMBER($C7:AQ7)), COUNTA(FILTER($C7:AQ7, IS"&amp;"NUMBER($C7:AQ7)))),
lastVal + 'K dynamique'!AQ7 * ((SQRT('Résultats des tournois'!AQ$2 + 1)/'Résultats des tournois'!AQ7) - (1 / (1 + 10^((AQ$103 - lastVal)/400)))))
)
))"),"")</f>
        <v/>
      </c>
      <c r="AS7" s="32" t="str">
        <f>IFERROR(__xludf.DUMMYFUNCTION("IF('Résultats des tournois'!AR$2=0,"""",LET(
lastVal, INDEX(FILTER($B7:AR7, ISNUMBER($B7:AR7)), COUNTA(FILTER($B7:AR7, ISNUMBER($B7:AR7)))),
IFERROR(
IF('Résultats des tournois'!AR7="""", INDEX(FILTER($C7:AR7, ISNUMBER($C7:AR7)), COUNTA(FILTER($C7:AR7, IS"&amp;"NUMBER($C7:AR7)))),
lastVal + 'K dynamique'!AR7 * ((SQRT('Résultats des tournois'!AR$2 + 1)/'Résultats des tournois'!AR7) - (1 / (1 + 10^((AR$103 - lastVal)/400)))))
)
))"),"")</f>
        <v/>
      </c>
      <c r="AT7" s="32" t="str">
        <f>IFERROR(__xludf.DUMMYFUNCTION("IF('Résultats des tournois'!AS$2=0,"""",LET(
lastVal, INDEX(FILTER($B7:AS7, ISNUMBER($B7:AS7)), COUNTA(FILTER($B7:AS7, ISNUMBER($B7:AS7)))),
IFERROR(
IF('Résultats des tournois'!AS7="""", INDEX(FILTER($C7:AS7, ISNUMBER($C7:AS7)), COUNTA(FILTER($C7:AS7, IS"&amp;"NUMBER($C7:AS7)))),
lastVal + 'K dynamique'!AS7 * ((SQRT('Résultats des tournois'!AS$2 + 1)/'Résultats des tournois'!AS7) - (1 / (1 + 10^((AS$103 - lastVal)/400)))))
)
))"),"")</f>
        <v/>
      </c>
      <c r="AU7" s="32" t="str">
        <f>IFERROR(__xludf.DUMMYFUNCTION("IF('Résultats des tournois'!AT$2=0,"""",LET(
lastVal, INDEX(FILTER($B7:AT7, ISNUMBER($B7:AT7)), COUNTA(FILTER($B7:AT7, ISNUMBER($B7:AT7)))),
IFERROR(
IF('Résultats des tournois'!AT7="""", INDEX(FILTER($C7:AT7, ISNUMBER($C7:AT7)), COUNTA(FILTER($C7:AT7, IS"&amp;"NUMBER($C7:AT7)))),
lastVal + 'K dynamique'!AT7 * ((SQRT('Résultats des tournois'!AT$2 + 1)/'Résultats des tournois'!AT7) - (1 / (1 + 10^((AT$103 - lastVal)/400)))))
)
))"),"")</f>
        <v/>
      </c>
      <c r="AV7" s="32" t="str">
        <f>IFERROR(__xludf.DUMMYFUNCTION("IF('Résultats des tournois'!AU$2=0,"""",LET(
lastVal, INDEX(FILTER($B7:AU7, ISNUMBER($B7:AU7)), COUNTA(FILTER($B7:AU7, ISNUMBER($B7:AU7)))),
IFERROR(
IF('Résultats des tournois'!AU7="""", INDEX(FILTER($C7:AU7, ISNUMBER($C7:AU7)), COUNTA(FILTER($C7:AU7, IS"&amp;"NUMBER($C7:AU7)))),
lastVal + 'K dynamique'!AU7 * ((SQRT('Résultats des tournois'!AU$2 + 1)/'Résultats des tournois'!AU7) - (1 / (1 + 10^((AU$103 - lastVal)/400)))))
)
))"),"")</f>
        <v/>
      </c>
      <c r="AW7" s="32" t="str">
        <f>IFERROR(__xludf.DUMMYFUNCTION("IF('Résultats des tournois'!AV$2=0,"""",LET(
lastVal, INDEX(FILTER($B7:AV7, ISNUMBER($B7:AV7)), COUNTA(FILTER($B7:AV7, ISNUMBER($B7:AV7)))),
IFERROR(
IF('Résultats des tournois'!AV7="""", INDEX(FILTER($C7:AV7, ISNUMBER($C7:AV7)), COUNTA(FILTER($C7:AV7, IS"&amp;"NUMBER($C7:AV7)))),
lastVal + 'K dynamique'!AV7 * ((SQRT('Résultats des tournois'!AV$2 + 1)/'Résultats des tournois'!AV7) - (1 / (1 + 10^((AV$103 - lastVal)/400)))))
)
))"),"")</f>
        <v/>
      </c>
      <c r="AX7" s="32" t="str">
        <f>IFERROR(__xludf.DUMMYFUNCTION("IF('Résultats des tournois'!AW$2=0,"""",LET(
lastVal, INDEX(FILTER($B7:AW7, ISNUMBER($B7:AW7)), COUNTA(FILTER($B7:AW7, ISNUMBER($B7:AW7)))),
IFERROR(
IF('Résultats des tournois'!AW7="""", INDEX(FILTER($C7:AW7, ISNUMBER($C7:AW7)), COUNTA(FILTER($C7:AW7, IS"&amp;"NUMBER($C7:AW7)))),
lastVal + 'K dynamique'!AW7 * ((SQRT('Résultats des tournois'!AW$2 + 1)/'Résultats des tournois'!AW7) - (1 / (1 + 10^((AW$103 - lastVal)/400)))))
)
))"),"")</f>
        <v/>
      </c>
      <c r="AY7" s="32" t="str">
        <f>IFERROR(__xludf.DUMMYFUNCTION("IF('Résultats des tournois'!AX$2=0,"""",LET(
lastVal, INDEX(FILTER($B7:AX7, ISNUMBER($B7:AX7)), COUNTA(FILTER($B7:AX7, ISNUMBER($B7:AX7)))),
IFERROR(
IF('Résultats des tournois'!AX7="""", INDEX(FILTER($C7:AX7, ISNUMBER($C7:AX7)), COUNTA(FILTER($C7:AX7, IS"&amp;"NUMBER($C7:AX7)))),
lastVal + 'K dynamique'!AX7 * ((SQRT('Résultats des tournois'!AX$2 + 1)/'Résultats des tournois'!AX7) - (1 / (1 + 10^((AX$103 - lastVal)/400)))))
)
))"),"")</f>
        <v/>
      </c>
      <c r="AZ7" s="4">
        <f t="array" ref="AZ7">IF(MAX(($C7:AY7&lt;&gt;"")*COLUMN($C7:AY7))=0,"",INDEX($C7:AY7,1,MAX(($C7:AY7&lt;&gt;"")*COLUMN($C7:AY7))-COLUMN($C7)+1))</f>
        <v>1608.347317</v>
      </c>
      <c r="BA7" s="33">
        <f t="shared" si="1"/>
        <v>9</v>
      </c>
    </row>
    <row r="8" ht="14.25" customHeight="1">
      <c r="A8" s="32" t="str">
        <f>IF('Résultats des tournois'!A8="","",'Résultats des tournois'!A8)</f>
        <v>Howie</v>
      </c>
      <c r="B8" s="32">
        <v>1500.0</v>
      </c>
      <c r="C8" s="32">
        <f>IF('Résultats des tournois'!B8="","",B8+'K dynamique'!B8*((SQRT('Résultats des tournois'!B$2+1)/'Résultats des tournois'!B8)-(1/(1+10^((B8-B8)/400)))))</f>
        <v>1543.866518</v>
      </c>
      <c r="D8" s="32">
        <f>IFERROR(__xludf.DUMMYFUNCTION("IF('Résultats des tournois'!C$2=0,"""",LET(
lastVal, INDEX(FILTER($B8:C8, ISNUMBER($B8:C8)), COUNTA(FILTER($B8:C8, ISNUMBER($B8:C8)))),
IFERROR(
IF('Résultats des tournois'!C8="""", INDEX(FILTER($C8:C8, ISNUMBER($C8:C8)), COUNTA(FILTER($C8:C8, ISNUMBER($C"&amp;"8:C8)))),
lastVal + 'K dynamique'!C8 * ((SQRT('Résultats des tournois'!C$2 + 1)/'Résultats des tournois'!C8) - (1 / (1 + 10^((C$103 - lastVal)/400)))))
)
))"),1543.866518188383)</f>
        <v>1543.866518</v>
      </c>
      <c r="E8" s="32">
        <f>IFERROR(__xludf.DUMMYFUNCTION("IF('Résultats des tournois'!D$2=0,"""",LET(
lastVal, INDEX(FILTER($B8:D8, ISNUMBER($B8:D8)), COUNTA(FILTER($B8:D8, ISNUMBER($B8:D8)))),
IFERROR(
IF('Résultats des tournois'!D8="""", INDEX(FILTER($C8:D8, ISNUMBER($C8:D8)), COUNTA(FILTER($C8:D8, ISNUMBER($C"&amp;"8:D8)))),
lastVal + 'K dynamique'!D8 * ((SQRT('Résultats des tournois'!D$2 + 1)/'Résultats des tournois'!D8) - (1 / (1 + 10^((D$103 - lastVal)/400)))))
)
))"),1542.430853232949)</f>
        <v>1542.430853</v>
      </c>
      <c r="F8" s="32">
        <f>IFERROR(__xludf.DUMMYFUNCTION("IF('Résultats des tournois'!E$2=0,"""",LET(
lastVal, INDEX(FILTER($B8:E8, ISNUMBER($B8:E8)), COUNTA(FILTER($B8:E8, ISNUMBER($B8:E8)))),
IFERROR(
IF('Résultats des tournois'!E8="""", INDEX(FILTER($C8:E8, ISNUMBER($C8:E8)), COUNTA(FILTER($C8:E8, ISNUMBER($C"&amp;"8:E8)))),
lastVal + 'K dynamique'!E8 * ((SQRT('Résultats des tournois'!E$2 + 1)/'Résultats des tournois'!E8) - (1 / (1 + 10^((E$103 - lastVal)/400)))))
)
))"),1542.430853232949)</f>
        <v>1542.430853</v>
      </c>
      <c r="G8" s="32">
        <f>IFERROR(__xludf.DUMMYFUNCTION("IF('Résultats des tournois'!F$2=0,"""",LET(
lastVal, INDEX(FILTER($B8:F8, ISNUMBER($B8:F8)), COUNTA(FILTER($B8:F8, ISNUMBER($B8:F8)))),
IFERROR(
IF('Résultats des tournois'!F8="""", INDEX(FILTER($C8:F8, ISNUMBER($C8:F8)), COUNTA(FILTER($C8:F8, ISNUMBER($C"&amp;"8:F8)))),
lastVal + 'K dynamique'!F8 * ((SQRT('Résultats des tournois'!F$2 + 1)/'Résultats des tournois'!F8) - (1 / (1 + 10^((F$103 - lastVal)/400)))))
)
))"),1542.430853232949)</f>
        <v>1542.430853</v>
      </c>
      <c r="H8" s="32">
        <f>IFERROR(__xludf.DUMMYFUNCTION("IF('Résultats des tournois'!G$2=0,"""",LET(
lastVal, INDEX(FILTER($B8:G8, ISNUMBER($B8:G8)), COUNTA(FILTER($B8:G8, ISNUMBER($B8:G8)))),
IFERROR(
IF('Résultats des tournois'!G8="""", INDEX(FILTER($C8:G8, ISNUMBER($C8:G8)), COUNTA(FILTER($C8:G8, ISNUMBER($C"&amp;"8:G8)))),
lastVal + 'K dynamique'!G8 * ((SQRT('Résultats des tournois'!G$2 + 1)/'Résultats des tournois'!G8) - (1 / (1 + 10^((G$103 - lastVal)/400)))))
)
))"),1542.430853232949)</f>
        <v>1542.430853</v>
      </c>
      <c r="I8" s="32">
        <f>IFERROR(__xludf.DUMMYFUNCTION("IF('Résultats des tournois'!H$2=0,"""",LET(
lastVal, INDEX(FILTER($B8:H8, ISNUMBER($B8:H8)), COUNTA(FILTER($B8:H8, ISNUMBER($B8:H8)))),
IFERROR(
IF('Résultats des tournois'!H8="""", INDEX(FILTER($C8:H8, ISNUMBER($C8:H8)), COUNTA(FILTER($C8:H8, ISNUMBER($C"&amp;"8:H8)))),
lastVal + 'K dynamique'!H8 * ((SQRT('Résultats des tournois'!H$2 + 1)/'Résultats des tournois'!H8) - (1 / (1 + 10^((H$103 - lastVal)/400)))))
)
))"),1542.430853232949)</f>
        <v>1542.430853</v>
      </c>
      <c r="J8" s="32">
        <f>IFERROR(__xludf.DUMMYFUNCTION("IF('Résultats des tournois'!I$2=0,"""",LET(
lastVal, INDEX(FILTER($B8:I8, ISNUMBER($B8:I8)), COUNTA(FILTER($B8:I8, ISNUMBER($B8:I8)))),
IFERROR(
IF('Résultats des tournois'!I8="""", INDEX(FILTER($C8:I8, ISNUMBER($C8:I8)), COUNTA(FILTER($C8:I8, ISNUMBER($C"&amp;"8:I8)))),
lastVal + 'K dynamique'!I8 * ((SQRT('Résultats des tournois'!I$2 + 1)/'Résultats des tournois'!I8) - (1 / (1 + 10^((I$103 - lastVal)/400)))))
)
))"),1542.430853232949)</f>
        <v>1542.430853</v>
      </c>
      <c r="K8" s="32">
        <f>IFERROR(__xludf.DUMMYFUNCTION("IF('Résultats des tournois'!J$2=0,"""",LET(
lastVal, INDEX(FILTER($B8:J8, ISNUMBER($B8:J8)), COUNTA(FILTER($B8:J8, ISNUMBER($B8:J8)))),
IFERROR(
IF('Résultats des tournois'!J8="""", INDEX(FILTER($C8:J8, ISNUMBER($C8:J8)), COUNTA(FILTER($C8:J8, ISNUMBER($C"&amp;"8:J8)))),
lastVal + 'K dynamique'!J8 * ((SQRT('Résultats des tournois'!J$2 + 1)/'Résultats des tournois'!J8) - (1 / (1 + 10^((J$103 - lastVal)/400)))))
)
))"),1542.430853232949)</f>
        <v>1542.430853</v>
      </c>
      <c r="L8" s="32">
        <f>IFERROR(__xludf.DUMMYFUNCTION("IF('Résultats des tournois'!K$2=0,"""",LET(
lastVal, INDEX(FILTER($B8:K8, ISNUMBER($B8:K8)), COUNTA(FILTER($B8:K8, ISNUMBER($B8:K8)))),
IFERROR(
IF('Résultats des tournois'!K8="""", INDEX(FILTER($C8:K8, ISNUMBER($C8:K8)), COUNTA(FILTER($C8:K8, ISNUMBER($C"&amp;"8:K8)))),
lastVal + 'K dynamique'!K8 * ((SQRT('Résultats des tournois'!K$2 + 1)/'Résultats des tournois'!K8) - (1 / (1 + 10^((K$103 - lastVal)/400)))))
)
))"),1542.430853232949)</f>
        <v>1542.430853</v>
      </c>
      <c r="M8" s="32">
        <f>IFERROR(__xludf.DUMMYFUNCTION("IF('Résultats des tournois'!L$2=0,"""",LET(
lastVal, INDEX(FILTER($B8:L8, ISNUMBER($B8:L8)), COUNTA(FILTER($B8:L8, ISNUMBER($B8:L8)))),
IFERROR(
IF('Résultats des tournois'!L8="""", INDEX(FILTER($C8:L8, ISNUMBER($C8:L8)), COUNTA(FILTER($C8:L8, ISNUMBER($C"&amp;"8:L8)))),
lastVal + 'K dynamique'!L8 * ((SQRT('Résultats des tournois'!L$2 + 1)/'Résultats des tournois'!L8) - (1 / (1 + 10^((L$103 - lastVal)/400)))))
)
))"),1542.430853232949)</f>
        <v>1542.430853</v>
      </c>
      <c r="N8" s="32" t="str">
        <f>IFERROR(__xludf.DUMMYFUNCTION("IF('Résultats des tournois'!M$2=0,"""",LET(
lastVal, INDEX(FILTER($B8:M8, ISNUMBER($B8:M8)), COUNTA(FILTER($B8:M8, ISNUMBER($B8:M8)))),
IFERROR(
IF('Résultats des tournois'!M8="""", INDEX(FILTER($C8:M8, ISNUMBER($C8:M8)), COUNTA(FILTER($C8:M8, ISNUMBER($C"&amp;"8:M8)))),
lastVal + 'K dynamique'!M8 * ((SQRT('Résultats des tournois'!M$2 + 1)/'Résultats des tournois'!M8) - (1 / (1 + 10^((M$103 - lastVal)/400)))))
)
))"),"")</f>
        <v/>
      </c>
      <c r="O8" s="32" t="str">
        <f>IFERROR(__xludf.DUMMYFUNCTION("IF('Résultats des tournois'!N$2=0,"""",LET(
lastVal, INDEX(FILTER($B8:N8, ISNUMBER($B8:N8)), COUNTA(FILTER($B8:N8, ISNUMBER($B8:N8)))),
IFERROR(
IF('Résultats des tournois'!N8="""", INDEX(FILTER($C8:N8, ISNUMBER($C8:N8)), COUNTA(FILTER($C8:N8, ISNUMBER($C"&amp;"8:N8)))),
lastVal + 'K dynamique'!N8 * ((SQRT('Résultats des tournois'!N$2 + 1)/'Résultats des tournois'!N8) - (1 / (1 + 10^((N$103 - lastVal)/400)))))
)
))"),"")</f>
        <v/>
      </c>
      <c r="P8" s="32" t="str">
        <f>IFERROR(__xludf.DUMMYFUNCTION("IF('Résultats des tournois'!O$2=0,"""",LET(
lastVal, INDEX(FILTER($B8:O8, ISNUMBER($B8:O8)), COUNTA(FILTER($B8:O8, ISNUMBER($B8:O8)))),
IFERROR(
IF('Résultats des tournois'!O8="""", INDEX(FILTER($C8:O8, ISNUMBER($C8:O8)), COUNTA(FILTER($C8:O8, ISNUMBER($C"&amp;"8:O8)))),
lastVal + 'K dynamique'!O8 * ((SQRT('Résultats des tournois'!O$2 + 1)/'Résultats des tournois'!O8) - (1 / (1 + 10^((O$103 - lastVal)/400)))))
)
))"),"")</f>
        <v/>
      </c>
      <c r="Q8" s="32" t="str">
        <f>IFERROR(__xludf.DUMMYFUNCTION("IF('Résultats des tournois'!P$2=0,"""",LET(
lastVal, INDEX(FILTER($B8:P8, ISNUMBER($B8:P8)), COUNTA(FILTER($B8:P8, ISNUMBER($B8:P8)))),
IFERROR(
IF('Résultats des tournois'!P8="""", INDEX(FILTER($C8:P8, ISNUMBER($C8:P8)), COUNTA(FILTER($C8:P8, ISNUMBER($C"&amp;"8:P8)))),
lastVal + 'K dynamique'!P8 * ((SQRT('Résultats des tournois'!P$2 + 1)/'Résultats des tournois'!P8) - (1 / (1 + 10^((P$103 - lastVal)/400)))))
)
))"),"")</f>
        <v/>
      </c>
      <c r="R8" s="32" t="str">
        <f>IFERROR(__xludf.DUMMYFUNCTION("IF('Résultats des tournois'!Q$2=0,"""",LET(
lastVal, INDEX(FILTER($B8:Q8, ISNUMBER($B8:Q8)), COUNTA(FILTER($B8:Q8, ISNUMBER($B8:Q8)))),
IFERROR(
IF('Résultats des tournois'!Q8="""", INDEX(FILTER($C8:Q8, ISNUMBER($C8:Q8)), COUNTA(FILTER($C8:Q8, ISNUMBER($C"&amp;"8:Q8)))),
lastVal + 'K dynamique'!Q8 * ((SQRT('Résultats des tournois'!Q$2 + 1)/'Résultats des tournois'!Q8) - (1 / (1 + 10^((Q$103 - lastVal)/400)))))
)
))"),"")</f>
        <v/>
      </c>
      <c r="S8" s="32" t="str">
        <f>IFERROR(__xludf.DUMMYFUNCTION("IF('Résultats des tournois'!R$2=0,"""",LET(
lastVal, INDEX(FILTER($B8:R8, ISNUMBER($B8:R8)), COUNTA(FILTER($B8:R8, ISNUMBER($B8:R8)))),
IFERROR(
IF('Résultats des tournois'!R8="""", INDEX(FILTER($C8:R8, ISNUMBER($C8:R8)), COUNTA(FILTER($C8:R8, ISNUMBER($C"&amp;"8:R8)))),
lastVal + 'K dynamique'!R8 * ((SQRT('Résultats des tournois'!R$2 + 1)/'Résultats des tournois'!R8) - (1 / (1 + 10^((R$103 - lastVal)/400)))))
)
))"),"")</f>
        <v/>
      </c>
      <c r="T8" s="32" t="str">
        <f>IFERROR(__xludf.DUMMYFUNCTION("IF('Résultats des tournois'!S$2=0,"""",LET(
lastVal, INDEX(FILTER($B8:S8, ISNUMBER($B8:S8)), COUNTA(FILTER($B8:S8, ISNUMBER($B8:S8)))),
IFERROR(
IF('Résultats des tournois'!S8="""", INDEX(FILTER($C8:S8, ISNUMBER($C8:S8)), COUNTA(FILTER($C8:S8, ISNUMBER($C"&amp;"8:S8)))),
lastVal + 'K dynamique'!S8 * ((SQRT('Résultats des tournois'!S$2 + 1)/'Résultats des tournois'!S8) - (1 / (1 + 10^((S$103 - lastVal)/400)))))
)
))"),"")</f>
        <v/>
      </c>
      <c r="U8" s="32" t="str">
        <f>IFERROR(__xludf.DUMMYFUNCTION("IF('Résultats des tournois'!T$2=0,"""",LET(
lastVal, INDEX(FILTER($B8:T8, ISNUMBER($B8:T8)), COUNTA(FILTER($B8:T8, ISNUMBER($B8:T8)))),
IFERROR(
IF('Résultats des tournois'!T8="""", INDEX(FILTER($C8:T8, ISNUMBER($C8:T8)), COUNTA(FILTER($C8:T8, ISNUMBER($C"&amp;"8:T8)))),
lastVal + 'K dynamique'!T8 * ((SQRT('Résultats des tournois'!T$2 + 1)/'Résultats des tournois'!T8) - (1 / (1 + 10^((T$103 - lastVal)/400)))))
)
))"),"")</f>
        <v/>
      </c>
      <c r="V8" s="32" t="str">
        <f>IFERROR(__xludf.DUMMYFUNCTION("IF('Résultats des tournois'!U$2=0,"""",LET(
lastVal, INDEX(FILTER($B8:U8, ISNUMBER($B8:U8)), COUNTA(FILTER($B8:U8, ISNUMBER($B8:U8)))),
IFERROR(
IF('Résultats des tournois'!U8="""", INDEX(FILTER($C8:U8, ISNUMBER($C8:U8)), COUNTA(FILTER($C8:U8, ISNUMBER($C"&amp;"8:U8)))),
lastVal + 'K dynamique'!U8 * ((SQRT('Résultats des tournois'!U$2 + 1)/'Résultats des tournois'!U8) - (1 / (1 + 10^((U$103 - lastVal)/400)))))
)
))"),"")</f>
        <v/>
      </c>
      <c r="W8" s="32" t="str">
        <f>IFERROR(__xludf.DUMMYFUNCTION("IF('Résultats des tournois'!V$2=0,"""",LET(
lastVal, INDEX(FILTER($B8:V8, ISNUMBER($B8:V8)), COUNTA(FILTER($B8:V8, ISNUMBER($B8:V8)))),
IFERROR(
IF('Résultats des tournois'!V8="""", INDEX(FILTER($C8:V8, ISNUMBER($C8:V8)), COUNTA(FILTER($C8:V8, ISNUMBER($C"&amp;"8:V8)))),
lastVal + 'K dynamique'!V8 * ((SQRT('Résultats des tournois'!V$2 + 1)/'Résultats des tournois'!V8) - (1 / (1 + 10^((V$103 - lastVal)/400)))))
)
))"),"")</f>
        <v/>
      </c>
      <c r="X8" s="32" t="str">
        <f>IFERROR(__xludf.DUMMYFUNCTION("IF('Résultats des tournois'!W$2=0,"""",LET(
lastVal, INDEX(FILTER($B8:W8, ISNUMBER($B8:W8)), COUNTA(FILTER($B8:W8, ISNUMBER($B8:W8)))),
IFERROR(
IF('Résultats des tournois'!W8="""", INDEX(FILTER($C8:W8, ISNUMBER($C8:W8)), COUNTA(FILTER($C8:W8, ISNUMBER($C"&amp;"8:W8)))),
lastVal + 'K dynamique'!W8 * ((SQRT('Résultats des tournois'!W$2 + 1)/'Résultats des tournois'!W8) - (1 / (1 + 10^((W$103 - lastVal)/400)))))
)
))"),"")</f>
        <v/>
      </c>
      <c r="Y8" s="32" t="str">
        <f>IFERROR(__xludf.DUMMYFUNCTION("IF('Résultats des tournois'!X$2=0,"""",LET(
lastVal, INDEX(FILTER($B8:X8, ISNUMBER($B8:X8)), COUNTA(FILTER($B8:X8, ISNUMBER($B8:X8)))),
IFERROR(
IF('Résultats des tournois'!X8="""", INDEX(FILTER($C8:X8, ISNUMBER($C8:X8)), COUNTA(FILTER($C8:X8, ISNUMBER($C"&amp;"8:X8)))),
lastVal + 'K dynamique'!X8 * ((SQRT('Résultats des tournois'!X$2 + 1)/'Résultats des tournois'!X8) - (1 / (1 + 10^((X$103 - lastVal)/400)))))
)
))"),"")</f>
        <v/>
      </c>
      <c r="Z8" s="32" t="str">
        <f>IFERROR(__xludf.DUMMYFUNCTION("IF('Résultats des tournois'!Y$2=0,"""",LET(
lastVal, INDEX(FILTER($B8:Y8, ISNUMBER($B8:Y8)), COUNTA(FILTER($B8:Y8, ISNUMBER($B8:Y8)))),
IFERROR(
IF('Résultats des tournois'!Y8="""", INDEX(FILTER($C8:Y8, ISNUMBER($C8:Y8)), COUNTA(FILTER($C8:Y8, ISNUMBER($C"&amp;"8:Y8)))),
lastVal + 'K dynamique'!Y8 * ((SQRT('Résultats des tournois'!Y$2 + 1)/'Résultats des tournois'!Y8) - (1 / (1 + 10^((Y$103 - lastVal)/400)))))
)
))"),"")</f>
        <v/>
      </c>
      <c r="AA8" s="32" t="str">
        <f>IFERROR(__xludf.DUMMYFUNCTION("IF('Résultats des tournois'!Z$2=0,"""",LET(
lastVal, INDEX(FILTER($B8:Z8, ISNUMBER($B8:Z8)), COUNTA(FILTER($B8:Z8, ISNUMBER($B8:Z8)))),
IFERROR(
IF('Résultats des tournois'!Z8="""", INDEX(FILTER($C8:Z8, ISNUMBER($C8:Z8)), COUNTA(FILTER($C8:Z8, ISNUMBER($C"&amp;"8:Z8)))),
lastVal + 'K dynamique'!Z8 * ((SQRT('Résultats des tournois'!Z$2 + 1)/'Résultats des tournois'!Z8) - (1 / (1 + 10^((Z$103 - lastVal)/400)))))
)
))"),"")</f>
        <v/>
      </c>
      <c r="AB8" s="32" t="str">
        <f>IFERROR(__xludf.DUMMYFUNCTION("IF('Résultats des tournois'!AA$2=0,"""",LET(
lastVal, INDEX(FILTER($B8:AA8, ISNUMBER($B8:AA8)), COUNTA(FILTER($B8:AA8, ISNUMBER($B8:AA8)))),
IFERROR(
IF('Résultats des tournois'!AA8="""", INDEX(FILTER($C8:AA8, ISNUMBER($C8:AA8)), COUNTA(FILTER($C8:AA8, IS"&amp;"NUMBER($C8:AA8)))),
lastVal + 'K dynamique'!AA8 * ((SQRT('Résultats des tournois'!AA$2 + 1)/'Résultats des tournois'!AA8) - (1 / (1 + 10^((AA$103 - lastVal)/400)))))
)
))"),"")</f>
        <v/>
      </c>
      <c r="AC8" s="32" t="str">
        <f>IFERROR(__xludf.DUMMYFUNCTION("IF('Résultats des tournois'!AB$2=0,"""",LET(
lastVal, INDEX(FILTER($B8:AB8, ISNUMBER($B8:AB8)), COUNTA(FILTER($B8:AB8, ISNUMBER($B8:AB8)))),
IFERROR(
IF('Résultats des tournois'!AB8="""", INDEX(FILTER($C8:AB8, ISNUMBER($C8:AB8)), COUNTA(FILTER($C8:AB8, IS"&amp;"NUMBER($C8:AB8)))),
lastVal + 'K dynamique'!AB8 * ((SQRT('Résultats des tournois'!AB$2 + 1)/'Résultats des tournois'!AB8) - (1 / (1 + 10^((AB$103 - lastVal)/400)))))
)
))"),"")</f>
        <v/>
      </c>
      <c r="AD8" s="32" t="str">
        <f>IFERROR(__xludf.DUMMYFUNCTION("IF('Résultats des tournois'!AC$2=0,"""",LET(
lastVal, INDEX(FILTER($B8:AC8, ISNUMBER($B8:AC8)), COUNTA(FILTER($B8:AC8, ISNUMBER($B8:AC8)))),
IFERROR(
IF('Résultats des tournois'!AC8="""", INDEX(FILTER($C8:AC8, ISNUMBER($C8:AC8)), COUNTA(FILTER($C8:AC8, IS"&amp;"NUMBER($C8:AC8)))),
lastVal + 'K dynamique'!AC8 * ((SQRT('Résultats des tournois'!AC$2 + 1)/'Résultats des tournois'!AC8) - (1 / (1 + 10^((AC$103 - lastVal)/400)))))
)
))"),"")</f>
        <v/>
      </c>
      <c r="AE8" s="32" t="str">
        <f>IFERROR(__xludf.DUMMYFUNCTION("IF('Résultats des tournois'!AD$2=0,"""",LET(
lastVal, INDEX(FILTER($B8:AD8, ISNUMBER($B8:AD8)), COUNTA(FILTER($B8:AD8, ISNUMBER($B8:AD8)))),
IFERROR(
IF('Résultats des tournois'!AD8="""", INDEX(FILTER($C8:AD8, ISNUMBER($C8:AD8)), COUNTA(FILTER($C8:AD8, IS"&amp;"NUMBER($C8:AD8)))),
lastVal + 'K dynamique'!AD8 * ((SQRT('Résultats des tournois'!AD$2 + 1)/'Résultats des tournois'!AD8) - (1 / (1 + 10^((AD$103 - lastVal)/400)))))
)
))"),"")</f>
        <v/>
      </c>
      <c r="AF8" s="32" t="str">
        <f>IFERROR(__xludf.DUMMYFUNCTION("IF('Résultats des tournois'!AE$2=0,"""",LET(
lastVal, INDEX(FILTER($B8:AE8, ISNUMBER($B8:AE8)), COUNTA(FILTER($B8:AE8, ISNUMBER($B8:AE8)))),
IFERROR(
IF('Résultats des tournois'!AE8="""", INDEX(FILTER($C8:AE8, ISNUMBER($C8:AE8)), COUNTA(FILTER($C8:AE8, IS"&amp;"NUMBER($C8:AE8)))),
lastVal + 'K dynamique'!AE8 * ((SQRT('Résultats des tournois'!AE$2 + 1)/'Résultats des tournois'!AE8) - (1 / (1 + 10^((AE$103 - lastVal)/400)))))
)
))"),"")</f>
        <v/>
      </c>
      <c r="AG8" s="32" t="str">
        <f>IFERROR(__xludf.DUMMYFUNCTION("IF('Résultats des tournois'!AF$2=0,"""",LET(
lastVal, INDEX(FILTER($B8:AF8, ISNUMBER($B8:AF8)), COUNTA(FILTER($B8:AF8, ISNUMBER($B8:AF8)))),
IFERROR(
IF('Résultats des tournois'!AF8="""", INDEX(FILTER($C8:AF8, ISNUMBER($C8:AF8)), COUNTA(FILTER($C8:AF8, IS"&amp;"NUMBER($C8:AF8)))),
lastVal + 'K dynamique'!AF8 * ((SQRT('Résultats des tournois'!AF$2 + 1)/'Résultats des tournois'!AF8) - (1 / (1 + 10^((AF$103 - lastVal)/400)))))
)
))"),"")</f>
        <v/>
      </c>
      <c r="AH8" s="32" t="str">
        <f>IFERROR(__xludf.DUMMYFUNCTION("IF('Résultats des tournois'!AG$2=0,"""",LET(
lastVal, INDEX(FILTER($B8:AG8, ISNUMBER($B8:AG8)), COUNTA(FILTER($B8:AG8, ISNUMBER($B8:AG8)))),
IFERROR(
IF('Résultats des tournois'!AG8="""", INDEX(FILTER($C8:AG8, ISNUMBER($C8:AG8)), COUNTA(FILTER($C8:AG8, IS"&amp;"NUMBER($C8:AG8)))),
lastVal + 'K dynamique'!AG8 * ((SQRT('Résultats des tournois'!AG$2 + 1)/'Résultats des tournois'!AG8) - (1 / (1 + 10^((AG$103 - lastVal)/400)))))
)
))"),"")</f>
        <v/>
      </c>
      <c r="AI8" s="32" t="str">
        <f>IFERROR(__xludf.DUMMYFUNCTION("IF('Résultats des tournois'!AH$2=0,"""",LET(
lastVal, INDEX(FILTER($B8:AH8, ISNUMBER($B8:AH8)), COUNTA(FILTER($B8:AH8, ISNUMBER($B8:AH8)))),
IFERROR(
IF('Résultats des tournois'!AH8="""", INDEX(FILTER($C8:AH8, ISNUMBER($C8:AH8)), COUNTA(FILTER($C8:AH8, IS"&amp;"NUMBER($C8:AH8)))),
lastVal + 'K dynamique'!AH8 * ((SQRT('Résultats des tournois'!AH$2 + 1)/'Résultats des tournois'!AH8) - (1 / (1 + 10^((AH$103 - lastVal)/400)))))
)
))"),"")</f>
        <v/>
      </c>
      <c r="AJ8" s="32" t="str">
        <f>IFERROR(__xludf.DUMMYFUNCTION("IF('Résultats des tournois'!AI$2=0,"""",LET(
lastVal, INDEX(FILTER($B8:AI8, ISNUMBER($B8:AI8)), COUNTA(FILTER($B8:AI8, ISNUMBER($B8:AI8)))),
IFERROR(
IF('Résultats des tournois'!AI8="""", INDEX(FILTER($C8:AI8, ISNUMBER($C8:AI8)), COUNTA(FILTER($C8:AI8, IS"&amp;"NUMBER($C8:AI8)))),
lastVal + 'K dynamique'!AI8 * ((SQRT('Résultats des tournois'!AI$2 + 1)/'Résultats des tournois'!AI8) - (1 / (1 + 10^((AI$103 - lastVal)/400)))))
)
))"),"")</f>
        <v/>
      </c>
      <c r="AK8" s="32" t="str">
        <f>IFERROR(__xludf.DUMMYFUNCTION("IF('Résultats des tournois'!AJ$2=0,"""",LET(
lastVal, INDEX(FILTER($B8:AJ8, ISNUMBER($B8:AJ8)), COUNTA(FILTER($B8:AJ8, ISNUMBER($B8:AJ8)))),
IFERROR(
IF('Résultats des tournois'!AJ8="""", INDEX(FILTER($C8:AJ8, ISNUMBER($C8:AJ8)), COUNTA(FILTER($C8:AJ8, IS"&amp;"NUMBER($C8:AJ8)))),
lastVal + 'K dynamique'!AJ8 * ((SQRT('Résultats des tournois'!AJ$2 + 1)/'Résultats des tournois'!AJ8) - (1 / (1 + 10^((AJ$103 - lastVal)/400)))))
)
))"),"")</f>
        <v/>
      </c>
      <c r="AL8" s="32" t="str">
        <f>IFERROR(__xludf.DUMMYFUNCTION("IF('Résultats des tournois'!AK$2=0,"""",LET(
lastVal, INDEX(FILTER($B8:AK8, ISNUMBER($B8:AK8)), COUNTA(FILTER($B8:AK8, ISNUMBER($B8:AK8)))),
IFERROR(
IF('Résultats des tournois'!AK8="""", INDEX(FILTER($C8:AK8, ISNUMBER($C8:AK8)), COUNTA(FILTER($C8:AK8, IS"&amp;"NUMBER($C8:AK8)))),
lastVal + 'K dynamique'!AK8 * ((SQRT('Résultats des tournois'!AK$2 + 1)/'Résultats des tournois'!AK8) - (1 / (1 + 10^((AK$103 - lastVal)/400)))))
)
))"),"")</f>
        <v/>
      </c>
      <c r="AM8" s="32" t="str">
        <f>IFERROR(__xludf.DUMMYFUNCTION("IF('Résultats des tournois'!AL$2=0,"""",LET(
lastVal, INDEX(FILTER($B8:AL8, ISNUMBER($B8:AL8)), COUNTA(FILTER($B8:AL8, ISNUMBER($B8:AL8)))),
IFERROR(
IF('Résultats des tournois'!AL8="""", INDEX(FILTER($C8:AL8, ISNUMBER($C8:AL8)), COUNTA(FILTER($C8:AL8, IS"&amp;"NUMBER($C8:AL8)))),
lastVal + 'K dynamique'!AL8 * ((SQRT('Résultats des tournois'!AL$2 + 1)/'Résultats des tournois'!AL8) - (1 / (1 + 10^((AL$103 - lastVal)/400)))))
)
))"),"")</f>
        <v/>
      </c>
      <c r="AN8" s="32" t="str">
        <f>IFERROR(__xludf.DUMMYFUNCTION("IF('Résultats des tournois'!AM$2=0,"""",LET(
lastVal, INDEX(FILTER($B8:AM8, ISNUMBER($B8:AM8)), COUNTA(FILTER($B8:AM8, ISNUMBER($B8:AM8)))),
IFERROR(
IF('Résultats des tournois'!AM8="""", INDEX(FILTER($C8:AM8, ISNUMBER($C8:AM8)), COUNTA(FILTER($C8:AM8, IS"&amp;"NUMBER($C8:AM8)))),
lastVal + 'K dynamique'!AM8 * ((SQRT('Résultats des tournois'!AM$2 + 1)/'Résultats des tournois'!AM8) - (1 / (1 + 10^((AM$103 - lastVal)/400)))))
)
))"),"")</f>
        <v/>
      </c>
      <c r="AO8" s="32" t="str">
        <f>IFERROR(__xludf.DUMMYFUNCTION("IF('Résultats des tournois'!AN$2=0,"""",LET(
lastVal, INDEX(FILTER($B8:AN8, ISNUMBER($B8:AN8)), COUNTA(FILTER($B8:AN8, ISNUMBER($B8:AN8)))),
IFERROR(
IF('Résultats des tournois'!AN8="""", INDEX(FILTER($C8:AN8, ISNUMBER($C8:AN8)), COUNTA(FILTER($C8:AN8, IS"&amp;"NUMBER($C8:AN8)))),
lastVal + 'K dynamique'!AN8 * ((SQRT('Résultats des tournois'!AN$2 + 1)/'Résultats des tournois'!AN8) - (1 / (1 + 10^((AN$103 - lastVal)/400)))))
)
))"),"")</f>
        <v/>
      </c>
      <c r="AP8" s="32" t="str">
        <f>IFERROR(__xludf.DUMMYFUNCTION("IF('Résultats des tournois'!AO$2=0,"""",LET(
lastVal, INDEX(FILTER($B8:AO8, ISNUMBER($B8:AO8)), COUNTA(FILTER($B8:AO8, ISNUMBER($B8:AO8)))),
IFERROR(
IF('Résultats des tournois'!AO8="""", INDEX(FILTER($C8:AO8, ISNUMBER($C8:AO8)), COUNTA(FILTER($C8:AO8, IS"&amp;"NUMBER($C8:AO8)))),
lastVal + 'K dynamique'!AO8 * ((SQRT('Résultats des tournois'!AO$2 + 1)/'Résultats des tournois'!AO8) - (1 / (1 + 10^((AO$103 - lastVal)/400)))))
)
))"),"")</f>
        <v/>
      </c>
      <c r="AQ8" s="32" t="str">
        <f>IFERROR(__xludf.DUMMYFUNCTION("IF('Résultats des tournois'!AP$2=0,"""",LET(
lastVal, INDEX(FILTER($B8:AP8, ISNUMBER($B8:AP8)), COUNTA(FILTER($B8:AP8, ISNUMBER($B8:AP8)))),
IFERROR(
IF('Résultats des tournois'!AP8="""", INDEX(FILTER($C8:AP8, ISNUMBER($C8:AP8)), COUNTA(FILTER($C8:AP8, IS"&amp;"NUMBER($C8:AP8)))),
lastVal + 'K dynamique'!AP8 * ((SQRT('Résultats des tournois'!AP$2 + 1)/'Résultats des tournois'!AP8) - (1 / (1 + 10^((AP$103 - lastVal)/400)))))
)
))"),"")</f>
        <v/>
      </c>
      <c r="AR8" s="32" t="str">
        <f>IFERROR(__xludf.DUMMYFUNCTION("IF('Résultats des tournois'!AQ$2=0,"""",LET(
lastVal, INDEX(FILTER($B8:AQ8, ISNUMBER($B8:AQ8)), COUNTA(FILTER($B8:AQ8, ISNUMBER($B8:AQ8)))),
IFERROR(
IF('Résultats des tournois'!AQ8="""", INDEX(FILTER($C8:AQ8, ISNUMBER($C8:AQ8)), COUNTA(FILTER($C8:AQ8, IS"&amp;"NUMBER($C8:AQ8)))),
lastVal + 'K dynamique'!AQ8 * ((SQRT('Résultats des tournois'!AQ$2 + 1)/'Résultats des tournois'!AQ8) - (1 / (1 + 10^((AQ$103 - lastVal)/400)))))
)
))"),"")</f>
        <v/>
      </c>
      <c r="AS8" s="32" t="str">
        <f>IFERROR(__xludf.DUMMYFUNCTION("IF('Résultats des tournois'!AR$2=0,"""",LET(
lastVal, INDEX(FILTER($B8:AR8, ISNUMBER($B8:AR8)), COUNTA(FILTER($B8:AR8, ISNUMBER($B8:AR8)))),
IFERROR(
IF('Résultats des tournois'!AR8="""", INDEX(FILTER($C8:AR8, ISNUMBER($C8:AR8)), COUNTA(FILTER($C8:AR8, IS"&amp;"NUMBER($C8:AR8)))),
lastVal + 'K dynamique'!AR8 * ((SQRT('Résultats des tournois'!AR$2 + 1)/'Résultats des tournois'!AR8) - (1 / (1 + 10^((AR$103 - lastVal)/400)))))
)
))"),"")</f>
        <v/>
      </c>
      <c r="AT8" s="32" t="str">
        <f>IFERROR(__xludf.DUMMYFUNCTION("IF('Résultats des tournois'!AS$2=0,"""",LET(
lastVal, INDEX(FILTER($B8:AS8, ISNUMBER($B8:AS8)), COUNTA(FILTER($B8:AS8, ISNUMBER($B8:AS8)))),
IFERROR(
IF('Résultats des tournois'!AS8="""", INDEX(FILTER($C8:AS8, ISNUMBER($C8:AS8)), COUNTA(FILTER($C8:AS8, IS"&amp;"NUMBER($C8:AS8)))),
lastVal + 'K dynamique'!AS8 * ((SQRT('Résultats des tournois'!AS$2 + 1)/'Résultats des tournois'!AS8) - (1 / (1 + 10^((AS$103 - lastVal)/400)))))
)
))"),"")</f>
        <v/>
      </c>
      <c r="AU8" s="32" t="str">
        <f>IFERROR(__xludf.DUMMYFUNCTION("IF('Résultats des tournois'!AT$2=0,"""",LET(
lastVal, INDEX(FILTER($B8:AT8, ISNUMBER($B8:AT8)), COUNTA(FILTER($B8:AT8, ISNUMBER($B8:AT8)))),
IFERROR(
IF('Résultats des tournois'!AT8="""", INDEX(FILTER($C8:AT8, ISNUMBER($C8:AT8)), COUNTA(FILTER($C8:AT8, IS"&amp;"NUMBER($C8:AT8)))),
lastVal + 'K dynamique'!AT8 * ((SQRT('Résultats des tournois'!AT$2 + 1)/'Résultats des tournois'!AT8) - (1 / (1 + 10^((AT$103 - lastVal)/400)))))
)
))"),"")</f>
        <v/>
      </c>
      <c r="AV8" s="32" t="str">
        <f>IFERROR(__xludf.DUMMYFUNCTION("IF('Résultats des tournois'!AU$2=0,"""",LET(
lastVal, INDEX(FILTER($B8:AU8, ISNUMBER($B8:AU8)), COUNTA(FILTER($B8:AU8, ISNUMBER($B8:AU8)))),
IFERROR(
IF('Résultats des tournois'!AU8="""", INDEX(FILTER($C8:AU8, ISNUMBER($C8:AU8)), COUNTA(FILTER($C8:AU8, IS"&amp;"NUMBER($C8:AU8)))),
lastVal + 'K dynamique'!AU8 * ((SQRT('Résultats des tournois'!AU$2 + 1)/'Résultats des tournois'!AU8) - (1 / (1 + 10^((AU$103 - lastVal)/400)))))
)
))"),"")</f>
        <v/>
      </c>
      <c r="AW8" s="32" t="str">
        <f>IFERROR(__xludf.DUMMYFUNCTION("IF('Résultats des tournois'!AV$2=0,"""",LET(
lastVal, INDEX(FILTER($B8:AV8, ISNUMBER($B8:AV8)), COUNTA(FILTER($B8:AV8, ISNUMBER($B8:AV8)))),
IFERROR(
IF('Résultats des tournois'!AV8="""", INDEX(FILTER($C8:AV8, ISNUMBER($C8:AV8)), COUNTA(FILTER($C8:AV8, IS"&amp;"NUMBER($C8:AV8)))),
lastVal + 'K dynamique'!AV8 * ((SQRT('Résultats des tournois'!AV$2 + 1)/'Résultats des tournois'!AV8) - (1 / (1 + 10^((AV$103 - lastVal)/400)))))
)
))"),"")</f>
        <v/>
      </c>
      <c r="AX8" s="32" t="str">
        <f>IFERROR(__xludf.DUMMYFUNCTION("IF('Résultats des tournois'!AW$2=0,"""",LET(
lastVal, INDEX(FILTER($B8:AW8, ISNUMBER($B8:AW8)), COUNTA(FILTER($B8:AW8, ISNUMBER($B8:AW8)))),
IFERROR(
IF('Résultats des tournois'!AW8="""", INDEX(FILTER($C8:AW8, ISNUMBER($C8:AW8)), COUNTA(FILTER($C8:AW8, IS"&amp;"NUMBER($C8:AW8)))),
lastVal + 'K dynamique'!AW8 * ((SQRT('Résultats des tournois'!AW$2 + 1)/'Résultats des tournois'!AW8) - (1 / (1 + 10^((AW$103 - lastVal)/400)))))
)
))"),"")</f>
        <v/>
      </c>
      <c r="AY8" s="32" t="str">
        <f>IFERROR(__xludf.DUMMYFUNCTION("IF('Résultats des tournois'!AX$2=0,"""",LET(
lastVal, INDEX(FILTER($B8:AX8, ISNUMBER($B8:AX8)), COUNTA(FILTER($B8:AX8, ISNUMBER($B8:AX8)))),
IFERROR(
IF('Résultats des tournois'!AX8="""", INDEX(FILTER($C8:AX8, ISNUMBER($C8:AX8)), COUNTA(FILTER($C8:AX8, IS"&amp;"NUMBER($C8:AX8)))),
lastVal + 'K dynamique'!AX8 * ((SQRT('Résultats des tournois'!AX$2 + 1)/'Résultats des tournois'!AX8) - (1 / (1 + 10^((AX$103 - lastVal)/400)))))
)
))"),"")</f>
        <v/>
      </c>
      <c r="AZ8" s="4">
        <f t="array" ref="AZ8">IF(MAX(($C8:AY8&lt;&gt;"")*COLUMN($C8:AY8))=0,"",INDEX($C8:AY8,1,MAX(($C8:AY8&lt;&gt;"")*COLUMN($C8:AY8))-COLUMN($C8)+1))</f>
        <v>1542.430853</v>
      </c>
      <c r="BA8" s="33">
        <f t="shared" si="1"/>
        <v>13</v>
      </c>
    </row>
    <row r="9" ht="14.25" customHeight="1">
      <c r="A9" s="32" t="str">
        <f>IF('Résultats des tournois'!A9="","",'Résultats des tournois'!A9)</f>
        <v>Hyppo</v>
      </c>
      <c r="B9" s="32">
        <v>1500.0</v>
      </c>
      <c r="C9" s="32">
        <f>IF('Résultats des tournois'!B9="","",B9+'K dynamique'!B9*((SQRT('Résultats des tournois'!B$2+1)/'Résultats des tournois'!B9)-(1/(1+10^((B9-B9)/400)))))</f>
        <v>1493.210234</v>
      </c>
      <c r="D9" s="32">
        <f>IFERROR(__xludf.DUMMYFUNCTION("IF('Résultats des tournois'!C$2=0,"""",LET(
lastVal, INDEX(FILTER($B9:C9, ISNUMBER($B9:C9)), COUNTA(FILTER($B9:C9, ISNUMBER($B9:C9)))),
IFERROR(
IF('Résultats des tournois'!C9="""", INDEX(FILTER($C9:C9, ISNUMBER($C9:C9)), COUNTA(FILTER($C9:C9, ISNUMBER($C"&amp;"9:C9)))),
lastVal + 'K dynamique'!C9 * ((SQRT('Résultats des tournois'!C$2 + 1)/'Résultats des tournois'!C9) - (1 / (1 + 10^((C$103 - lastVal)/400)))))
)
))"),1493.2102335674435)</f>
        <v>1493.210234</v>
      </c>
      <c r="E9" s="32">
        <f>IFERROR(__xludf.DUMMYFUNCTION("IF('Résultats des tournois'!D$2=0,"""",LET(
lastVal, INDEX(FILTER($B9:D9, ISNUMBER($B9:D9)), COUNTA(FILTER($B9:D9, ISNUMBER($B9:D9)))),
IFERROR(
IF('Résultats des tournois'!D9="""", INDEX(FILTER($C9:D9, ISNUMBER($C9:D9)), COUNTA(FILTER($C9:D9, ISNUMBER($C"&amp;"9:D9)))),
lastVal + 'K dynamique'!D9 * ((SQRT('Résultats des tournois'!D$2 + 1)/'Résultats des tournois'!D9) - (1 / (1 + 10^((D$103 - lastVal)/400)))))
)
))"),1509.5946749110472)</f>
        <v>1509.594675</v>
      </c>
      <c r="F9" s="32">
        <f>IFERROR(__xludf.DUMMYFUNCTION("IF('Résultats des tournois'!E$2=0,"""",LET(
lastVal, INDEX(FILTER($B9:E9, ISNUMBER($B9:E9)), COUNTA(FILTER($B9:E9, ISNUMBER($B9:E9)))),
IFERROR(
IF('Résultats des tournois'!E9="""", INDEX(FILTER($C9:E9, ISNUMBER($C9:E9)), COUNTA(FILTER($C9:E9, ISNUMBER($C"&amp;"9:E9)))),
lastVal + 'K dynamique'!E9 * ((SQRT('Résultats des tournois'!E$2 + 1)/'Résultats des tournois'!E9) - (1 / (1 + 10^((E$103 - lastVal)/400)))))
)
))"),1509.5946749110472)</f>
        <v>1509.594675</v>
      </c>
      <c r="G9" s="32">
        <f>IFERROR(__xludf.DUMMYFUNCTION("IF('Résultats des tournois'!F$2=0,"""",LET(
lastVal, INDEX(FILTER($B9:F9, ISNUMBER($B9:F9)), COUNTA(FILTER($B9:F9, ISNUMBER($B9:F9)))),
IFERROR(
IF('Résultats des tournois'!F9="""", INDEX(FILTER($C9:F9, ISNUMBER($C9:F9)), COUNTA(FILTER($C9:F9, ISNUMBER($C"&amp;"9:F9)))),
lastVal + 'K dynamique'!F9 * ((SQRT('Résultats des tournois'!F$2 + 1)/'Résultats des tournois'!F9) - (1 / (1 + 10^((F$103 - lastVal)/400)))))
)
))"),1509.5946749110472)</f>
        <v>1509.594675</v>
      </c>
      <c r="H9" s="32">
        <f>IFERROR(__xludf.DUMMYFUNCTION("IF('Résultats des tournois'!G$2=0,"""",LET(
lastVal, INDEX(FILTER($B9:G9, ISNUMBER($B9:G9)), COUNTA(FILTER($B9:G9, ISNUMBER($B9:G9)))),
IFERROR(
IF('Résultats des tournois'!G9="""", INDEX(FILTER($C9:G9, ISNUMBER($C9:G9)), COUNTA(FILTER($C9:G9, ISNUMBER($C"&amp;"9:G9)))),
lastVal + 'K dynamique'!G9 * ((SQRT('Résultats des tournois'!G$2 + 1)/'Résultats des tournois'!G9) - (1 / (1 + 10^((G$103 - lastVal)/400)))))
)
))"),1509.5946749110472)</f>
        <v>1509.594675</v>
      </c>
      <c r="I9" s="32">
        <f>IFERROR(__xludf.DUMMYFUNCTION("IF('Résultats des tournois'!H$2=0,"""",LET(
lastVal, INDEX(FILTER($B9:H9, ISNUMBER($B9:H9)), COUNTA(FILTER($B9:H9, ISNUMBER($B9:H9)))),
IFERROR(
IF('Résultats des tournois'!H9="""", INDEX(FILTER($C9:H9, ISNUMBER($C9:H9)), COUNTA(FILTER($C9:H9, ISNUMBER($C"&amp;"9:H9)))),
lastVal + 'K dynamique'!H9 * ((SQRT('Résultats des tournois'!H$2 + 1)/'Résultats des tournois'!H9) - (1 / (1 + 10^((H$103 - lastVal)/400)))))
)
))"),1509.5946749110472)</f>
        <v>1509.594675</v>
      </c>
      <c r="J9" s="32">
        <f>IFERROR(__xludf.DUMMYFUNCTION("IF('Résultats des tournois'!I$2=0,"""",LET(
lastVal, INDEX(FILTER($B9:I9, ISNUMBER($B9:I9)), COUNTA(FILTER($B9:I9, ISNUMBER($B9:I9)))),
IFERROR(
IF('Résultats des tournois'!I9="""", INDEX(FILTER($C9:I9, ISNUMBER($C9:I9)), COUNTA(FILTER($C9:I9, ISNUMBER($C"&amp;"9:I9)))),
lastVal + 'K dynamique'!I9 * ((SQRT('Résultats des tournois'!I$2 + 1)/'Résultats des tournois'!I9) - (1 / (1 + 10^((I$103 - lastVal)/400)))))
)
))"),1509.5946749110472)</f>
        <v>1509.594675</v>
      </c>
      <c r="K9" s="32">
        <f>IFERROR(__xludf.DUMMYFUNCTION("IF('Résultats des tournois'!J$2=0,"""",LET(
lastVal, INDEX(FILTER($B9:J9, ISNUMBER($B9:J9)), COUNTA(FILTER($B9:J9, ISNUMBER($B9:J9)))),
IFERROR(
IF('Résultats des tournois'!J9="""", INDEX(FILTER($C9:J9, ISNUMBER($C9:J9)), COUNTA(FILTER($C9:J9, ISNUMBER($C"&amp;"9:J9)))),
lastVal + 'K dynamique'!J9 * ((SQRT('Résultats des tournois'!J$2 + 1)/'Résultats des tournois'!J9) - (1 / (1 + 10^((J$103 - lastVal)/400)))))
)
))"),1509.5946749110472)</f>
        <v>1509.594675</v>
      </c>
      <c r="L9" s="32">
        <f>IFERROR(__xludf.DUMMYFUNCTION("IF('Résultats des tournois'!K$2=0,"""",LET(
lastVal, INDEX(FILTER($B9:K9, ISNUMBER($B9:K9)), COUNTA(FILTER($B9:K9, ISNUMBER($B9:K9)))),
IFERROR(
IF('Résultats des tournois'!K9="""", INDEX(FILTER($C9:K9, ISNUMBER($C9:K9)), COUNTA(FILTER($C9:K9, ISNUMBER($C"&amp;"9:K9)))),
lastVal + 'K dynamique'!K9 * ((SQRT('Résultats des tournois'!K$2 + 1)/'Résultats des tournois'!K9) - (1 / (1 + 10^((K$103 - lastVal)/400)))))
)
))"),1509.5946749110472)</f>
        <v>1509.594675</v>
      </c>
      <c r="M9" s="32">
        <f>IFERROR(__xludf.DUMMYFUNCTION("IF('Résultats des tournois'!L$2=0,"""",LET(
lastVal, INDEX(FILTER($B9:L9, ISNUMBER($B9:L9)), COUNTA(FILTER($B9:L9, ISNUMBER($B9:L9)))),
IFERROR(
IF('Résultats des tournois'!L9="""", INDEX(FILTER($C9:L9, ISNUMBER($C9:L9)), COUNTA(FILTER($C9:L9, ISNUMBER($C"&amp;"9:L9)))),
lastVal + 'K dynamique'!L9 * ((SQRT('Résultats des tournois'!L$2 + 1)/'Résultats des tournois'!L9) - (1 / (1 + 10^((L$103 - lastVal)/400)))))
)
))"),1509.5946749110472)</f>
        <v>1509.594675</v>
      </c>
      <c r="N9" s="32" t="str">
        <f>IFERROR(__xludf.DUMMYFUNCTION("IF('Résultats des tournois'!M$2=0,"""",LET(
lastVal, INDEX(FILTER($B9:M9, ISNUMBER($B9:M9)), COUNTA(FILTER($B9:M9, ISNUMBER($B9:M9)))),
IFERROR(
IF('Résultats des tournois'!M9="""", INDEX(FILTER($C9:M9, ISNUMBER($C9:M9)), COUNTA(FILTER($C9:M9, ISNUMBER($C"&amp;"9:M9)))),
lastVal + 'K dynamique'!M9 * ((SQRT('Résultats des tournois'!M$2 + 1)/'Résultats des tournois'!M9) - (1 / (1 + 10^((M$103 - lastVal)/400)))))
)
))"),"")</f>
        <v/>
      </c>
      <c r="O9" s="32" t="str">
        <f>IFERROR(__xludf.DUMMYFUNCTION("IF('Résultats des tournois'!N$2=0,"""",LET(
lastVal, INDEX(FILTER($B9:N9, ISNUMBER($B9:N9)), COUNTA(FILTER($B9:N9, ISNUMBER($B9:N9)))),
IFERROR(
IF('Résultats des tournois'!N9="""", INDEX(FILTER($C9:N9, ISNUMBER($C9:N9)), COUNTA(FILTER($C9:N9, ISNUMBER($C"&amp;"9:N9)))),
lastVal + 'K dynamique'!N9 * ((SQRT('Résultats des tournois'!N$2 + 1)/'Résultats des tournois'!N9) - (1 / (1 + 10^((N$103 - lastVal)/400)))))
)
))"),"")</f>
        <v/>
      </c>
      <c r="P9" s="32" t="str">
        <f>IFERROR(__xludf.DUMMYFUNCTION("IF('Résultats des tournois'!O$2=0,"""",LET(
lastVal, INDEX(FILTER($B9:O9, ISNUMBER($B9:O9)), COUNTA(FILTER($B9:O9, ISNUMBER($B9:O9)))),
IFERROR(
IF('Résultats des tournois'!O9="""", INDEX(FILTER($C9:O9, ISNUMBER($C9:O9)), COUNTA(FILTER($C9:O9, ISNUMBER($C"&amp;"9:O9)))),
lastVal + 'K dynamique'!O9 * ((SQRT('Résultats des tournois'!O$2 + 1)/'Résultats des tournois'!O9) - (1 / (1 + 10^((O$103 - lastVal)/400)))))
)
))"),"")</f>
        <v/>
      </c>
      <c r="Q9" s="32" t="str">
        <f>IFERROR(__xludf.DUMMYFUNCTION("IF('Résultats des tournois'!P$2=0,"""",LET(
lastVal, INDEX(FILTER($B9:P9, ISNUMBER($B9:P9)), COUNTA(FILTER($B9:P9, ISNUMBER($B9:P9)))),
IFERROR(
IF('Résultats des tournois'!P9="""", INDEX(FILTER($C9:P9, ISNUMBER($C9:P9)), COUNTA(FILTER($C9:P9, ISNUMBER($C"&amp;"9:P9)))),
lastVal + 'K dynamique'!P9 * ((SQRT('Résultats des tournois'!P$2 + 1)/'Résultats des tournois'!P9) - (1 / (1 + 10^((P$103 - lastVal)/400)))))
)
))"),"")</f>
        <v/>
      </c>
      <c r="R9" s="32" t="str">
        <f>IFERROR(__xludf.DUMMYFUNCTION("IF('Résultats des tournois'!Q$2=0,"""",LET(
lastVal, INDEX(FILTER($B9:Q9, ISNUMBER($B9:Q9)), COUNTA(FILTER($B9:Q9, ISNUMBER($B9:Q9)))),
IFERROR(
IF('Résultats des tournois'!Q9="""", INDEX(FILTER($C9:Q9, ISNUMBER($C9:Q9)), COUNTA(FILTER($C9:Q9, ISNUMBER($C"&amp;"9:Q9)))),
lastVal + 'K dynamique'!Q9 * ((SQRT('Résultats des tournois'!Q$2 + 1)/'Résultats des tournois'!Q9) - (1 / (1 + 10^((Q$103 - lastVal)/400)))))
)
))"),"")</f>
        <v/>
      </c>
      <c r="S9" s="32" t="str">
        <f>IFERROR(__xludf.DUMMYFUNCTION("IF('Résultats des tournois'!R$2=0,"""",LET(
lastVal, INDEX(FILTER($B9:R9, ISNUMBER($B9:R9)), COUNTA(FILTER($B9:R9, ISNUMBER($B9:R9)))),
IFERROR(
IF('Résultats des tournois'!R9="""", INDEX(FILTER($C9:R9, ISNUMBER($C9:R9)), COUNTA(FILTER($C9:R9, ISNUMBER($C"&amp;"9:R9)))),
lastVal + 'K dynamique'!R9 * ((SQRT('Résultats des tournois'!R$2 + 1)/'Résultats des tournois'!R9) - (1 / (1 + 10^((R$103 - lastVal)/400)))))
)
))"),"")</f>
        <v/>
      </c>
      <c r="T9" s="32" t="str">
        <f>IFERROR(__xludf.DUMMYFUNCTION("IF('Résultats des tournois'!S$2=0,"""",LET(
lastVal, INDEX(FILTER($B9:S9, ISNUMBER($B9:S9)), COUNTA(FILTER($B9:S9, ISNUMBER($B9:S9)))),
IFERROR(
IF('Résultats des tournois'!S9="""", INDEX(FILTER($C9:S9, ISNUMBER($C9:S9)), COUNTA(FILTER($C9:S9, ISNUMBER($C"&amp;"9:S9)))),
lastVal + 'K dynamique'!S9 * ((SQRT('Résultats des tournois'!S$2 + 1)/'Résultats des tournois'!S9) - (1 / (1 + 10^((S$103 - lastVal)/400)))))
)
))"),"")</f>
        <v/>
      </c>
      <c r="U9" s="32" t="str">
        <f>IFERROR(__xludf.DUMMYFUNCTION("IF('Résultats des tournois'!T$2=0,"""",LET(
lastVal, INDEX(FILTER($B9:T9, ISNUMBER($B9:T9)), COUNTA(FILTER($B9:T9, ISNUMBER($B9:T9)))),
IFERROR(
IF('Résultats des tournois'!T9="""", INDEX(FILTER($C9:T9, ISNUMBER($C9:T9)), COUNTA(FILTER($C9:T9, ISNUMBER($C"&amp;"9:T9)))),
lastVal + 'K dynamique'!T9 * ((SQRT('Résultats des tournois'!T$2 + 1)/'Résultats des tournois'!T9) - (1 / (1 + 10^((T$103 - lastVal)/400)))))
)
))"),"")</f>
        <v/>
      </c>
      <c r="V9" s="32" t="str">
        <f>IFERROR(__xludf.DUMMYFUNCTION("IF('Résultats des tournois'!U$2=0,"""",LET(
lastVal, INDEX(FILTER($B9:U9, ISNUMBER($B9:U9)), COUNTA(FILTER($B9:U9, ISNUMBER($B9:U9)))),
IFERROR(
IF('Résultats des tournois'!U9="""", INDEX(FILTER($C9:U9, ISNUMBER($C9:U9)), COUNTA(FILTER($C9:U9, ISNUMBER($C"&amp;"9:U9)))),
lastVal + 'K dynamique'!U9 * ((SQRT('Résultats des tournois'!U$2 + 1)/'Résultats des tournois'!U9) - (1 / (1 + 10^((U$103 - lastVal)/400)))))
)
))"),"")</f>
        <v/>
      </c>
      <c r="W9" s="32" t="str">
        <f>IFERROR(__xludf.DUMMYFUNCTION("IF('Résultats des tournois'!V$2=0,"""",LET(
lastVal, INDEX(FILTER($B9:V9, ISNUMBER($B9:V9)), COUNTA(FILTER($B9:V9, ISNUMBER($B9:V9)))),
IFERROR(
IF('Résultats des tournois'!V9="""", INDEX(FILTER($C9:V9, ISNUMBER($C9:V9)), COUNTA(FILTER($C9:V9, ISNUMBER($C"&amp;"9:V9)))),
lastVal + 'K dynamique'!V9 * ((SQRT('Résultats des tournois'!V$2 + 1)/'Résultats des tournois'!V9) - (1 / (1 + 10^((V$103 - lastVal)/400)))))
)
))"),"")</f>
        <v/>
      </c>
      <c r="X9" s="32" t="str">
        <f>IFERROR(__xludf.DUMMYFUNCTION("IF('Résultats des tournois'!W$2=0,"""",LET(
lastVal, INDEX(FILTER($B9:W9, ISNUMBER($B9:W9)), COUNTA(FILTER($B9:W9, ISNUMBER($B9:W9)))),
IFERROR(
IF('Résultats des tournois'!W9="""", INDEX(FILTER($C9:W9, ISNUMBER($C9:W9)), COUNTA(FILTER($C9:W9, ISNUMBER($C"&amp;"9:W9)))),
lastVal + 'K dynamique'!W9 * ((SQRT('Résultats des tournois'!W$2 + 1)/'Résultats des tournois'!W9) - (1 / (1 + 10^((W$103 - lastVal)/400)))))
)
))"),"")</f>
        <v/>
      </c>
      <c r="Y9" s="32" t="str">
        <f>IFERROR(__xludf.DUMMYFUNCTION("IF('Résultats des tournois'!X$2=0,"""",LET(
lastVal, INDEX(FILTER($B9:X9, ISNUMBER($B9:X9)), COUNTA(FILTER($B9:X9, ISNUMBER($B9:X9)))),
IFERROR(
IF('Résultats des tournois'!X9="""", INDEX(FILTER($C9:X9, ISNUMBER($C9:X9)), COUNTA(FILTER($C9:X9, ISNUMBER($C"&amp;"9:X9)))),
lastVal + 'K dynamique'!X9 * ((SQRT('Résultats des tournois'!X$2 + 1)/'Résultats des tournois'!X9) - (1 / (1 + 10^((X$103 - lastVal)/400)))))
)
))"),"")</f>
        <v/>
      </c>
      <c r="Z9" s="32" t="str">
        <f>IFERROR(__xludf.DUMMYFUNCTION("IF('Résultats des tournois'!Y$2=0,"""",LET(
lastVal, INDEX(FILTER($B9:Y9, ISNUMBER($B9:Y9)), COUNTA(FILTER($B9:Y9, ISNUMBER($B9:Y9)))),
IFERROR(
IF('Résultats des tournois'!Y9="""", INDEX(FILTER($C9:Y9, ISNUMBER($C9:Y9)), COUNTA(FILTER($C9:Y9, ISNUMBER($C"&amp;"9:Y9)))),
lastVal + 'K dynamique'!Y9 * ((SQRT('Résultats des tournois'!Y$2 + 1)/'Résultats des tournois'!Y9) - (1 / (1 + 10^((Y$103 - lastVal)/400)))))
)
))"),"")</f>
        <v/>
      </c>
      <c r="AA9" s="32" t="str">
        <f>IFERROR(__xludf.DUMMYFUNCTION("IF('Résultats des tournois'!Z$2=0,"""",LET(
lastVal, INDEX(FILTER($B9:Z9, ISNUMBER($B9:Z9)), COUNTA(FILTER($B9:Z9, ISNUMBER($B9:Z9)))),
IFERROR(
IF('Résultats des tournois'!Z9="""", INDEX(FILTER($C9:Z9, ISNUMBER($C9:Z9)), COUNTA(FILTER($C9:Z9, ISNUMBER($C"&amp;"9:Z9)))),
lastVal + 'K dynamique'!Z9 * ((SQRT('Résultats des tournois'!Z$2 + 1)/'Résultats des tournois'!Z9) - (1 / (1 + 10^((Z$103 - lastVal)/400)))))
)
))"),"")</f>
        <v/>
      </c>
      <c r="AB9" s="32" t="str">
        <f>IFERROR(__xludf.DUMMYFUNCTION("IF('Résultats des tournois'!AA$2=0,"""",LET(
lastVal, INDEX(FILTER($B9:AA9, ISNUMBER($B9:AA9)), COUNTA(FILTER($B9:AA9, ISNUMBER($B9:AA9)))),
IFERROR(
IF('Résultats des tournois'!AA9="""", INDEX(FILTER($C9:AA9, ISNUMBER($C9:AA9)), COUNTA(FILTER($C9:AA9, IS"&amp;"NUMBER($C9:AA9)))),
lastVal + 'K dynamique'!AA9 * ((SQRT('Résultats des tournois'!AA$2 + 1)/'Résultats des tournois'!AA9) - (1 / (1 + 10^((AA$103 - lastVal)/400)))))
)
))"),"")</f>
        <v/>
      </c>
      <c r="AC9" s="32" t="str">
        <f>IFERROR(__xludf.DUMMYFUNCTION("IF('Résultats des tournois'!AB$2=0,"""",LET(
lastVal, INDEX(FILTER($B9:AB9, ISNUMBER($B9:AB9)), COUNTA(FILTER($B9:AB9, ISNUMBER($B9:AB9)))),
IFERROR(
IF('Résultats des tournois'!AB9="""", INDEX(FILTER($C9:AB9, ISNUMBER($C9:AB9)), COUNTA(FILTER($C9:AB9, IS"&amp;"NUMBER($C9:AB9)))),
lastVal + 'K dynamique'!AB9 * ((SQRT('Résultats des tournois'!AB$2 + 1)/'Résultats des tournois'!AB9) - (1 / (1 + 10^((AB$103 - lastVal)/400)))))
)
))"),"")</f>
        <v/>
      </c>
      <c r="AD9" s="32" t="str">
        <f>IFERROR(__xludf.DUMMYFUNCTION("IF('Résultats des tournois'!AC$2=0,"""",LET(
lastVal, INDEX(FILTER($B9:AC9, ISNUMBER($B9:AC9)), COUNTA(FILTER($B9:AC9, ISNUMBER($B9:AC9)))),
IFERROR(
IF('Résultats des tournois'!AC9="""", INDEX(FILTER($C9:AC9, ISNUMBER($C9:AC9)), COUNTA(FILTER($C9:AC9, IS"&amp;"NUMBER($C9:AC9)))),
lastVal + 'K dynamique'!AC9 * ((SQRT('Résultats des tournois'!AC$2 + 1)/'Résultats des tournois'!AC9) - (1 / (1 + 10^((AC$103 - lastVal)/400)))))
)
))"),"")</f>
        <v/>
      </c>
      <c r="AE9" s="32" t="str">
        <f>IFERROR(__xludf.DUMMYFUNCTION("IF('Résultats des tournois'!AD$2=0,"""",LET(
lastVal, INDEX(FILTER($B9:AD9, ISNUMBER($B9:AD9)), COUNTA(FILTER($B9:AD9, ISNUMBER($B9:AD9)))),
IFERROR(
IF('Résultats des tournois'!AD9="""", INDEX(FILTER($C9:AD9, ISNUMBER($C9:AD9)), COUNTA(FILTER($C9:AD9, IS"&amp;"NUMBER($C9:AD9)))),
lastVal + 'K dynamique'!AD9 * ((SQRT('Résultats des tournois'!AD$2 + 1)/'Résultats des tournois'!AD9) - (1 / (1 + 10^((AD$103 - lastVal)/400)))))
)
))"),"")</f>
        <v/>
      </c>
      <c r="AF9" s="32" t="str">
        <f>IFERROR(__xludf.DUMMYFUNCTION("IF('Résultats des tournois'!AE$2=0,"""",LET(
lastVal, INDEX(FILTER($B9:AE9, ISNUMBER($B9:AE9)), COUNTA(FILTER($B9:AE9, ISNUMBER($B9:AE9)))),
IFERROR(
IF('Résultats des tournois'!AE9="""", INDEX(FILTER($C9:AE9, ISNUMBER($C9:AE9)), COUNTA(FILTER($C9:AE9, IS"&amp;"NUMBER($C9:AE9)))),
lastVal + 'K dynamique'!AE9 * ((SQRT('Résultats des tournois'!AE$2 + 1)/'Résultats des tournois'!AE9) - (1 / (1 + 10^((AE$103 - lastVal)/400)))))
)
))"),"")</f>
        <v/>
      </c>
      <c r="AG9" s="32" t="str">
        <f>IFERROR(__xludf.DUMMYFUNCTION("IF('Résultats des tournois'!AF$2=0,"""",LET(
lastVal, INDEX(FILTER($B9:AF9, ISNUMBER($B9:AF9)), COUNTA(FILTER($B9:AF9, ISNUMBER($B9:AF9)))),
IFERROR(
IF('Résultats des tournois'!AF9="""", INDEX(FILTER($C9:AF9, ISNUMBER($C9:AF9)), COUNTA(FILTER($C9:AF9, IS"&amp;"NUMBER($C9:AF9)))),
lastVal + 'K dynamique'!AF9 * ((SQRT('Résultats des tournois'!AF$2 + 1)/'Résultats des tournois'!AF9) - (1 / (1 + 10^((AF$103 - lastVal)/400)))))
)
))"),"")</f>
        <v/>
      </c>
      <c r="AH9" s="32" t="str">
        <f>IFERROR(__xludf.DUMMYFUNCTION("IF('Résultats des tournois'!AG$2=0,"""",LET(
lastVal, INDEX(FILTER($B9:AG9, ISNUMBER($B9:AG9)), COUNTA(FILTER($B9:AG9, ISNUMBER($B9:AG9)))),
IFERROR(
IF('Résultats des tournois'!AG9="""", INDEX(FILTER($C9:AG9, ISNUMBER($C9:AG9)), COUNTA(FILTER($C9:AG9, IS"&amp;"NUMBER($C9:AG9)))),
lastVal + 'K dynamique'!AG9 * ((SQRT('Résultats des tournois'!AG$2 + 1)/'Résultats des tournois'!AG9) - (1 / (1 + 10^((AG$103 - lastVal)/400)))))
)
))"),"")</f>
        <v/>
      </c>
      <c r="AI9" s="32" t="str">
        <f>IFERROR(__xludf.DUMMYFUNCTION("IF('Résultats des tournois'!AH$2=0,"""",LET(
lastVal, INDEX(FILTER($B9:AH9, ISNUMBER($B9:AH9)), COUNTA(FILTER($B9:AH9, ISNUMBER($B9:AH9)))),
IFERROR(
IF('Résultats des tournois'!AH9="""", INDEX(FILTER($C9:AH9, ISNUMBER($C9:AH9)), COUNTA(FILTER($C9:AH9, IS"&amp;"NUMBER($C9:AH9)))),
lastVal + 'K dynamique'!AH9 * ((SQRT('Résultats des tournois'!AH$2 + 1)/'Résultats des tournois'!AH9) - (1 / (1 + 10^((AH$103 - lastVal)/400)))))
)
))"),"")</f>
        <v/>
      </c>
      <c r="AJ9" s="32" t="str">
        <f>IFERROR(__xludf.DUMMYFUNCTION("IF('Résultats des tournois'!AI$2=0,"""",LET(
lastVal, INDEX(FILTER($B9:AI9, ISNUMBER($B9:AI9)), COUNTA(FILTER($B9:AI9, ISNUMBER($B9:AI9)))),
IFERROR(
IF('Résultats des tournois'!AI9="""", INDEX(FILTER($C9:AI9, ISNUMBER($C9:AI9)), COUNTA(FILTER($C9:AI9, IS"&amp;"NUMBER($C9:AI9)))),
lastVal + 'K dynamique'!AI9 * ((SQRT('Résultats des tournois'!AI$2 + 1)/'Résultats des tournois'!AI9) - (1 / (1 + 10^((AI$103 - lastVal)/400)))))
)
))"),"")</f>
        <v/>
      </c>
      <c r="AK9" s="32" t="str">
        <f>IFERROR(__xludf.DUMMYFUNCTION("IF('Résultats des tournois'!AJ$2=0,"""",LET(
lastVal, INDEX(FILTER($B9:AJ9, ISNUMBER($B9:AJ9)), COUNTA(FILTER($B9:AJ9, ISNUMBER($B9:AJ9)))),
IFERROR(
IF('Résultats des tournois'!AJ9="""", INDEX(FILTER($C9:AJ9, ISNUMBER($C9:AJ9)), COUNTA(FILTER($C9:AJ9, IS"&amp;"NUMBER($C9:AJ9)))),
lastVal + 'K dynamique'!AJ9 * ((SQRT('Résultats des tournois'!AJ$2 + 1)/'Résultats des tournois'!AJ9) - (1 / (1 + 10^((AJ$103 - lastVal)/400)))))
)
))"),"")</f>
        <v/>
      </c>
      <c r="AL9" s="32" t="str">
        <f>IFERROR(__xludf.DUMMYFUNCTION("IF('Résultats des tournois'!AK$2=0,"""",LET(
lastVal, INDEX(FILTER($B9:AK9, ISNUMBER($B9:AK9)), COUNTA(FILTER($B9:AK9, ISNUMBER($B9:AK9)))),
IFERROR(
IF('Résultats des tournois'!AK9="""", INDEX(FILTER($C9:AK9, ISNUMBER($C9:AK9)), COUNTA(FILTER($C9:AK9, IS"&amp;"NUMBER($C9:AK9)))),
lastVal + 'K dynamique'!AK9 * ((SQRT('Résultats des tournois'!AK$2 + 1)/'Résultats des tournois'!AK9) - (1 / (1 + 10^((AK$103 - lastVal)/400)))))
)
))"),"")</f>
        <v/>
      </c>
      <c r="AM9" s="32" t="str">
        <f>IFERROR(__xludf.DUMMYFUNCTION("IF('Résultats des tournois'!AL$2=0,"""",LET(
lastVal, INDEX(FILTER($B9:AL9, ISNUMBER($B9:AL9)), COUNTA(FILTER($B9:AL9, ISNUMBER($B9:AL9)))),
IFERROR(
IF('Résultats des tournois'!AL9="""", INDEX(FILTER($C9:AL9, ISNUMBER($C9:AL9)), COUNTA(FILTER($C9:AL9, IS"&amp;"NUMBER($C9:AL9)))),
lastVal + 'K dynamique'!AL9 * ((SQRT('Résultats des tournois'!AL$2 + 1)/'Résultats des tournois'!AL9) - (1 / (1 + 10^((AL$103 - lastVal)/400)))))
)
))"),"")</f>
        <v/>
      </c>
      <c r="AN9" s="32" t="str">
        <f>IFERROR(__xludf.DUMMYFUNCTION("IF('Résultats des tournois'!AM$2=0,"""",LET(
lastVal, INDEX(FILTER($B9:AM9, ISNUMBER($B9:AM9)), COUNTA(FILTER($B9:AM9, ISNUMBER($B9:AM9)))),
IFERROR(
IF('Résultats des tournois'!AM9="""", INDEX(FILTER($C9:AM9, ISNUMBER($C9:AM9)), COUNTA(FILTER($C9:AM9, IS"&amp;"NUMBER($C9:AM9)))),
lastVal + 'K dynamique'!AM9 * ((SQRT('Résultats des tournois'!AM$2 + 1)/'Résultats des tournois'!AM9) - (1 / (1 + 10^((AM$103 - lastVal)/400)))))
)
))"),"")</f>
        <v/>
      </c>
      <c r="AO9" s="32" t="str">
        <f>IFERROR(__xludf.DUMMYFUNCTION("IF('Résultats des tournois'!AN$2=0,"""",LET(
lastVal, INDEX(FILTER($B9:AN9, ISNUMBER($B9:AN9)), COUNTA(FILTER($B9:AN9, ISNUMBER($B9:AN9)))),
IFERROR(
IF('Résultats des tournois'!AN9="""", INDEX(FILTER($C9:AN9, ISNUMBER($C9:AN9)), COUNTA(FILTER($C9:AN9, IS"&amp;"NUMBER($C9:AN9)))),
lastVal + 'K dynamique'!AN9 * ((SQRT('Résultats des tournois'!AN$2 + 1)/'Résultats des tournois'!AN9) - (1 / (1 + 10^((AN$103 - lastVal)/400)))))
)
))"),"")</f>
        <v/>
      </c>
      <c r="AP9" s="32" t="str">
        <f>IFERROR(__xludf.DUMMYFUNCTION("IF('Résultats des tournois'!AO$2=0,"""",LET(
lastVal, INDEX(FILTER($B9:AO9, ISNUMBER($B9:AO9)), COUNTA(FILTER($B9:AO9, ISNUMBER($B9:AO9)))),
IFERROR(
IF('Résultats des tournois'!AO9="""", INDEX(FILTER($C9:AO9, ISNUMBER($C9:AO9)), COUNTA(FILTER($C9:AO9, IS"&amp;"NUMBER($C9:AO9)))),
lastVal + 'K dynamique'!AO9 * ((SQRT('Résultats des tournois'!AO$2 + 1)/'Résultats des tournois'!AO9) - (1 / (1 + 10^((AO$103 - lastVal)/400)))))
)
))"),"")</f>
        <v/>
      </c>
      <c r="AQ9" s="32" t="str">
        <f>IFERROR(__xludf.DUMMYFUNCTION("IF('Résultats des tournois'!AP$2=0,"""",LET(
lastVal, INDEX(FILTER($B9:AP9, ISNUMBER($B9:AP9)), COUNTA(FILTER($B9:AP9, ISNUMBER($B9:AP9)))),
IFERROR(
IF('Résultats des tournois'!AP9="""", INDEX(FILTER($C9:AP9, ISNUMBER($C9:AP9)), COUNTA(FILTER($C9:AP9, IS"&amp;"NUMBER($C9:AP9)))),
lastVal + 'K dynamique'!AP9 * ((SQRT('Résultats des tournois'!AP$2 + 1)/'Résultats des tournois'!AP9) - (1 / (1 + 10^((AP$103 - lastVal)/400)))))
)
))"),"")</f>
        <v/>
      </c>
      <c r="AR9" s="32" t="str">
        <f>IFERROR(__xludf.DUMMYFUNCTION("IF('Résultats des tournois'!AQ$2=0,"""",LET(
lastVal, INDEX(FILTER($B9:AQ9, ISNUMBER($B9:AQ9)), COUNTA(FILTER($B9:AQ9, ISNUMBER($B9:AQ9)))),
IFERROR(
IF('Résultats des tournois'!AQ9="""", INDEX(FILTER($C9:AQ9, ISNUMBER($C9:AQ9)), COUNTA(FILTER($C9:AQ9, IS"&amp;"NUMBER($C9:AQ9)))),
lastVal + 'K dynamique'!AQ9 * ((SQRT('Résultats des tournois'!AQ$2 + 1)/'Résultats des tournois'!AQ9) - (1 / (1 + 10^((AQ$103 - lastVal)/400)))))
)
))"),"")</f>
        <v/>
      </c>
      <c r="AS9" s="32" t="str">
        <f>IFERROR(__xludf.DUMMYFUNCTION("IF('Résultats des tournois'!AR$2=0,"""",LET(
lastVal, INDEX(FILTER($B9:AR9, ISNUMBER($B9:AR9)), COUNTA(FILTER($B9:AR9, ISNUMBER($B9:AR9)))),
IFERROR(
IF('Résultats des tournois'!AR9="""", INDEX(FILTER($C9:AR9, ISNUMBER($C9:AR9)), COUNTA(FILTER($C9:AR9, IS"&amp;"NUMBER($C9:AR9)))),
lastVal + 'K dynamique'!AR9 * ((SQRT('Résultats des tournois'!AR$2 + 1)/'Résultats des tournois'!AR9) - (1 / (1 + 10^((AR$103 - lastVal)/400)))))
)
))"),"")</f>
        <v/>
      </c>
      <c r="AT9" s="32" t="str">
        <f>IFERROR(__xludf.DUMMYFUNCTION("IF('Résultats des tournois'!AS$2=0,"""",LET(
lastVal, INDEX(FILTER($B9:AS9, ISNUMBER($B9:AS9)), COUNTA(FILTER($B9:AS9, ISNUMBER($B9:AS9)))),
IFERROR(
IF('Résultats des tournois'!AS9="""", INDEX(FILTER($C9:AS9, ISNUMBER($C9:AS9)), COUNTA(FILTER($C9:AS9, IS"&amp;"NUMBER($C9:AS9)))),
lastVal + 'K dynamique'!AS9 * ((SQRT('Résultats des tournois'!AS$2 + 1)/'Résultats des tournois'!AS9) - (1 / (1 + 10^((AS$103 - lastVal)/400)))))
)
))"),"")</f>
        <v/>
      </c>
      <c r="AU9" s="32" t="str">
        <f>IFERROR(__xludf.DUMMYFUNCTION("IF('Résultats des tournois'!AT$2=0,"""",LET(
lastVal, INDEX(FILTER($B9:AT9, ISNUMBER($B9:AT9)), COUNTA(FILTER($B9:AT9, ISNUMBER($B9:AT9)))),
IFERROR(
IF('Résultats des tournois'!AT9="""", INDEX(FILTER($C9:AT9, ISNUMBER($C9:AT9)), COUNTA(FILTER($C9:AT9, IS"&amp;"NUMBER($C9:AT9)))),
lastVal + 'K dynamique'!AT9 * ((SQRT('Résultats des tournois'!AT$2 + 1)/'Résultats des tournois'!AT9) - (1 / (1 + 10^((AT$103 - lastVal)/400)))))
)
))"),"")</f>
        <v/>
      </c>
      <c r="AV9" s="32" t="str">
        <f>IFERROR(__xludf.DUMMYFUNCTION("IF('Résultats des tournois'!AU$2=0,"""",LET(
lastVal, INDEX(FILTER($B9:AU9, ISNUMBER($B9:AU9)), COUNTA(FILTER($B9:AU9, ISNUMBER($B9:AU9)))),
IFERROR(
IF('Résultats des tournois'!AU9="""", INDEX(FILTER($C9:AU9, ISNUMBER($C9:AU9)), COUNTA(FILTER($C9:AU9, IS"&amp;"NUMBER($C9:AU9)))),
lastVal + 'K dynamique'!AU9 * ((SQRT('Résultats des tournois'!AU$2 + 1)/'Résultats des tournois'!AU9) - (1 / (1 + 10^((AU$103 - lastVal)/400)))))
)
))"),"")</f>
        <v/>
      </c>
      <c r="AW9" s="32" t="str">
        <f>IFERROR(__xludf.DUMMYFUNCTION("IF('Résultats des tournois'!AV$2=0,"""",LET(
lastVal, INDEX(FILTER($B9:AV9, ISNUMBER($B9:AV9)), COUNTA(FILTER($B9:AV9, ISNUMBER($B9:AV9)))),
IFERROR(
IF('Résultats des tournois'!AV9="""", INDEX(FILTER($C9:AV9, ISNUMBER($C9:AV9)), COUNTA(FILTER($C9:AV9, IS"&amp;"NUMBER($C9:AV9)))),
lastVal + 'K dynamique'!AV9 * ((SQRT('Résultats des tournois'!AV$2 + 1)/'Résultats des tournois'!AV9) - (1 / (1 + 10^((AV$103 - lastVal)/400)))))
)
))"),"")</f>
        <v/>
      </c>
      <c r="AX9" s="32" t="str">
        <f>IFERROR(__xludf.DUMMYFUNCTION("IF('Résultats des tournois'!AW$2=0,"""",LET(
lastVal, INDEX(FILTER($B9:AW9, ISNUMBER($B9:AW9)), COUNTA(FILTER($B9:AW9, ISNUMBER($B9:AW9)))),
IFERROR(
IF('Résultats des tournois'!AW9="""", INDEX(FILTER($C9:AW9, ISNUMBER($C9:AW9)), COUNTA(FILTER($C9:AW9, IS"&amp;"NUMBER($C9:AW9)))),
lastVal + 'K dynamique'!AW9 * ((SQRT('Résultats des tournois'!AW$2 + 1)/'Résultats des tournois'!AW9) - (1 / (1 + 10^((AW$103 - lastVal)/400)))))
)
))"),"")</f>
        <v/>
      </c>
      <c r="AY9" s="32" t="str">
        <f>IFERROR(__xludf.DUMMYFUNCTION("IF('Résultats des tournois'!AX$2=0,"""",LET(
lastVal, INDEX(FILTER($B9:AX9, ISNUMBER($B9:AX9)), COUNTA(FILTER($B9:AX9, ISNUMBER($B9:AX9)))),
IFERROR(
IF('Résultats des tournois'!AX9="""", INDEX(FILTER($C9:AX9, ISNUMBER($C9:AX9)), COUNTA(FILTER($C9:AX9, IS"&amp;"NUMBER($C9:AX9)))),
lastVal + 'K dynamique'!AX9 * ((SQRT('Résultats des tournois'!AX$2 + 1)/'Résultats des tournois'!AX9) - (1 / (1 + 10^((AX$103 - lastVal)/400)))))
)
))"),"")</f>
        <v/>
      </c>
      <c r="AZ9" s="4">
        <f t="array" ref="AZ9">IF(MAX(($C9:AY9&lt;&gt;"")*COLUMN($C9:AY9))=0,"",INDEX($C9:AY9,1,MAX(($C9:AY9&lt;&gt;"")*COLUMN($C9:AY9))-COLUMN($C9)+1))</f>
        <v>1509.594675</v>
      </c>
      <c r="BA9" s="33">
        <f t="shared" si="1"/>
        <v>18</v>
      </c>
    </row>
    <row r="10" ht="14.25" customHeight="1">
      <c r="A10" s="32" t="str">
        <f>IF('Résultats des tournois'!A10="","",'Résultats des tournois'!A10)</f>
        <v>Loucas</v>
      </c>
      <c r="B10" s="32">
        <v>1500.0</v>
      </c>
      <c r="C10" s="32">
        <f>IF('Résultats des tournois'!B10="","",B10+'K dynamique'!B10*((SQRT('Résultats des tournois'!B$2+1)/'Résultats des tournois'!B10)-(1/(1+10^((B10-B10)/400)))))</f>
        <v>1493.977753</v>
      </c>
      <c r="D10" s="32">
        <f>IFERROR(__xludf.DUMMYFUNCTION("IF('Résultats des tournois'!C$2=0,"""",LET(
lastVal, INDEX(FILTER($B10:C10, ISNUMBER($B10:C10)), COUNTA(FILTER($B10:C10, ISNUMBER($B10:C10)))),
IFERROR(
IF('Résultats des tournois'!C10="""", INDEX(FILTER($C10:C10, ISNUMBER($C10:C10)), COUNTA(FILTER($C10:C"&amp;"10, ISNUMBER($C10:C10)))),
lastVal + 'K dynamique'!C10 * ((SQRT('Résultats des tournois'!C$2 + 1)/'Résultats des tournois'!C10) - (1 / (1 + 10^((C$103 - lastVal)/400)))))
)
))"),1493.9777530313972)</f>
        <v>1493.977753</v>
      </c>
      <c r="E10" s="32">
        <f>IFERROR(__xludf.DUMMYFUNCTION("IF('Résultats des tournois'!D$2=0,"""",LET(
lastVal, INDEX(FILTER($B10:D10, ISNUMBER($B10:D10)), COUNTA(FILTER($B10:D10, ISNUMBER($B10:D10)))),
IFERROR(
IF('Résultats des tournois'!D10="""", INDEX(FILTER($C10:D10, ISNUMBER($C10:D10)), COUNTA(FILTER($C10:D"&amp;"10, ISNUMBER($C10:D10)))),
lastVal + 'K dynamique'!D10 * ((SQRT('Résultats des tournois'!D$2 + 1)/'Résultats des tournois'!D10) - (1 / (1 + 10^((D$103 - lastVal)/400)))))
)
))"),1520.6550684972833)</f>
        <v>1520.655068</v>
      </c>
      <c r="F10" s="32">
        <f>IFERROR(__xludf.DUMMYFUNCTION("IF('Résultats des tournois'!E$2=0,"""",LET(
lastVal, INDEX(FILTER($B10:E10, ISNUMBER($B10:E10)), COUNTA(FILTER($B10:E10, ISNUMBER($B10:E10)))),
IFERROR(
IF('Résultats des tournois'!E10="""", INDEX(FILTER($C10:E10, ISNUMBER($C10:E10)), COUNTA(FILTER($C10:E"&amp;"10, ISNUMBER($C10:E10)))),
lastVal + 'K dynamique'!E10 * ((SQRT('Résultats des tournois'!E$2 + 1)/'Résultats des tournois'!E10) - (1 / (1 + 10^((E$103 - lastVal)/400)))))
)
))"),1516.260951030313)</f>
        <v>1516.260951</v>
      </c>
      <c r="G10" s="32">
        <f>IFERROR(__xludf.DUMMYFUNCTION("IF('Résultats des tournois'!F$2=0,"""",LET(
lastVal, INDEX(FILTER($B10:F10, ISNUMBER($B10:F10)), COUNTA(FILTER($B10:F10, ISNUMBER($B10:F10)))),
IFERROR(
IF('Résultats des tournois'!F10="""", INDEX(FILTER($C10:F10, ISNUMBER($C10:F10)), COUNTA(FILTER($C10:F"&amp;"10, ISNUMBER($C10:F10)))),
lastVal + 'K dynamique'!F10 * ((SQRT('Résultats des tournois'!F$2 + 1)/'Résultats des tournois'!F10) - (1 / (1 + 10^((F$103 - lastVal)/400)))))
)
))"),1516.260951030313)</f>
        <v>1516.260951</v>
      </c>
      <c r="H10" s="32">
        <f>IFERROR(__xludf.DUMMYFUNCTION("IF('Résultats des tournois'!G$2=0,"""",LET(
lastVal, INDEX(FILTER($B10:G10, ISNUMBER($B10:G10)), COUNTA(FILTER($B10:G10, ISNUMBER($B10:G10)))),
IFERROR(
IF('Résultats des tournois'!G10="""", INDEX(FILTER($C10:G10, ISNUMBER($C10:G10)), COUNTA(FILTER($C10:G"&amp;"10, ISNUMBER($C10:G10)))),
lastVal + 'K dynamique'!G10 * ((SQRT('Résultats des tournois'!G$2 + 1)/'Résultats des tournois'!G10) - (1 / (1 + 10^((G$103 - lastVal)/400)))))
)
))"),1512.2403038849798)</f>
        <v>1512.240304</v>
      </c>
      <c r="I10" s="32">
        <f>IFERROR(__xludf.DUMMYFUNCTION("IF('Résultats des tournois'!H$2=0,"""",LET(
lastVal, INDEX(FILTER($B10:H10, ISNUMBER($B10:H10)), COUNTA(FILTER($B10:H10, ISNUMBER($B10:H10)))),
IFERROR(
IF('Résultats des tournois'!H10="""", INDEX(FILTER($C10:H10, ISNUMBER($C10:H10)), COUNTA(FILTER($C10:H"&amp;"10, ISNUMBER($C10:H10)))),
lastVal + 'K dynamique'!H10 * ((SQRT('Résultats des tournois'!H$2 + 1)/'Résultats des tournois'!H10) - (1 / (1 + 10^((H$103 - lastVal)/400)))))
)
))"),1541.877046295467)</f>
        <v>1541.877046</v>
      </c>
      <c r="J10" s="32">
        <f>IFERROR(__xludf.DUMMYFUNCTION("IF('Résultats des tournois'!I$2=0,"""",LET(
lastVal, INDEX(FILTER($B10:I10, ISNUMBER($B10:I10)), COUNTA(FILTER($B10:I10, ISNUMBER($B10:I10)))),
IFERROR(
IF('Résultats des tournois'!I10="""", INDEX(FILTER($C10:I10, ISNUMBER($C10:I10)), COUNTA(FILTER($C10:I"&amp;"10, ISNUMBER($C10:I10)))),
lastVal + 'K dynamique'!I10 * ((SQRT('Résultats des tournois'!I$2 + 1)/'Résultats des tournois'!I10) - (1 / (1 + 10^((I$103 - lastVal)/400)))))
)
))"),1556.9081707980436)</f>
        <v>1556.908171</v>
      </c>
      <c r="K10" s="32">
        <f>IFERROR(__xludf.DUMMYFUNCTION("IF('Résultats des tournois'!J$2=0,"""",LET(
lastVal, INDEX(FILTER($B10:J10, ISNUMBER($B10:J10)), COUNTA(FILTER($B10:J10, ISNUMBER($B10:J10)))),
IFERROR(
IF('Résultats des tournois'!J10="""", INDEX(FILTER($C10:J10, ISNUMBER($C10:J10)), COUNTA(FILTER($C10:J"&amp;"10, ISNUMBER($C10:J10)))),
lastVal + 'K dynamique'!J10 * ((SQRT('Résultats des tournois'!J$2 + 1)/'Résultats des tournois'!J10) - (1 / (1 + 10^((J$103 - lastVal)/400)))))
)
))"),1552.452338868146)</f>
        <v>1552.452339</v>
      </c>
      <c r="L10" s="32">
        <f>IFERROR(__xludf.DUMMYFUNCTION("IF('Résultats des tournois'!K$2=0,"""",LET(
lastVal, INDEX(FILTER($B10:K10, ISNUMBER($B10:K10)), COUNTA(FILTER($B10:K10, ISNUMBER($B10:K10)))),
IFERROR(
IF('Résultats des tournois'!K10="""", INDEX(FILTER($C10:K10, ISNUMBER($C10:K10)), COUNTA(FILTER($C10:K"&amp;"10, ISNUMBER($C10:K10)))),
lastVal + 'K dynamique'!K10 * ((SQRT('Résultats des tournois'!K$2 + 1)/'Résultats des tournois'!K10) - (1 / (1 + 10^((K$103 - lastVal)/400)))))
)
))"),1589.0470252068517)</f>
        <v>1589.047025</v>
      </c>
      <c r="M10" s="32">
        <f>IFERROR(__xludf.DUMMYFUNCTION("IF('Résultats des tournois'!L$2=0,"""",LET(
lastVal, INDEX(FILTER($B10:L10, ISNUMBER($B10:L10)), COUNTA(FILTER($B10:L10, ISNUMBER($B10:L10)))),
IFERROR(
IF('Résultats des tournois'!L10="""", INDEX(FILTER($C10:L10, ISNUMBER($C10:L10)), COUNTA(FILTER($C10:L"&amp;"10, ISNUMBER($C10:L10)))),
lastVal + 'K dynamique'!L10 * ((SQRT('Résultats des tournois'!L$2 + 1)/'Résultats des tournois'!L10) - (1 / (1 + 10^((L$103 - lastVal)/400)))))
)
))"),1659.6389527549973)</f>
        <v>1659.638953</v>
      </c>
      <c r="N10" s="32" t="str">
        <f>IFERROR(__xludf.DUMMYFUNCTION("IF('Résultats des tournois'!M$2=0,"""",LET(
lastVal, INDEX(FILTER($B10:M10, ISNUMBER($B10:M10)), COUNTA(FILTER($B10:M10, ISNUMBER($B10:M10)))),
IFERROR(
IF('Résultats des tournois'!M10="""", INDEX(FILTER($C10:M10, ISNUMBER($C10:M10)), COUNTA(FILTER($C10:M"&amp;"10, ISNUMBER($C10:M10)))),
lastVal + 'K dynamique'!M10 * ((SQRT('Résultats des tournois'!M$2 + 1)/'Résultats des tournois'!M10) - (1 / (1 + 10^((M$103 - lastVal)/400)))))
)
))"),"")</f>
        <v/>
      </c>
      <c r="O10" s="32" t="str">
        <f>IFERROR(__xludf.DUMMYFUNCTION("IF('Résultats des tournois'!N$2=0,"""",LET(
lastVal, INDEX(FILTER($B10:N10, ISNUMBER($B10:N10)), COUNTA(FILTER($B10:N10, ISNUMBER($B10:N10)))),
IFERROR(
IF('Résultats des tournois'!N10="""", INDEX(FILTER($C10:N10, ISNUMBER($C10:N10)), COUNTA(FILTER($C10:N"&amp;"10, ISNUMBER($C10:N10)))),
lastVal + 'K dynamique'!N10 * ((SQRT('Résultats des tournois'!N$2 + 1)/'Résultats des tournois'!N10) - (1 / (1 + 10^((N$103 - lastVal)/400)))))
)
))"),"")</f>
        <v/>
      </c>
      <c r="P10" s="32" t="str">
        <f>IFERROR(__xludf.DUMMYFUNCTION("IF('Résultats des tournois'!O$2=0,"""",LET(
lastVal, INDEX(FILTER($B10:O10, ISNUMBER($B10:O10)), COUNTA(FILTER($B10:O10, ISNUMBER($B10:O10)))),
IFERROR(
IF('Résultats des tournois'!O10="""", INDEX(FILTER($C10:O10, ISNUMBER($C10:O10)), COUNTA(FILTER($C10:O"&amp;"10, ISNUMBER($C10:O10)))),
lastVal + 'K dynamique'!O10 * ((SQRT('Résultats des tournois'!O$2 + 1)/'Résultats des tournois'!O10) - (1 / (1 + 10^((O$103 - lastVal)/400)))))
)
))"),"")</f>
        <v/>
      </c>
      <c r="Q10" s="32" t="str">
        <f>IFERROR(__xludf.DUMMYFUNCTION("IF('Résultats des tournois'!P$2=0,"""",LET(
lastVal, INDEX(FILTER($B10:P10, ISNUMBER($B10:P10)), COUNTA(FILTER($B10:P10, ISNUMBER($B10:P10)))),
IFERROR(
IF('Résultats des tournois'!P10="""", INDEX(FILTER($C10:P10, ISNUMBER($C10:P10)), COUNTA(FILTER($C10:P"&amp;"10, ISNUMBER($C10:P10)))),
lastVal + 'K dynamique'!P10 * ((SQRT('Résultats des tournois'!P$2 + 1)/'Résultats des tournois'!P10) - (1 / (1 + 10^((P$103 - lastVal)/400)))))
)
))"),"")</f>
        <v/>
      </c>
      <c r="R10" s="32" t="str">
        <f>IFERROR(__xludf.DUMMYFUNCTION("IF('Résultats des tournois'!Q$2=0,"""",LET(
lastVal, INDEX(FILTER($B10:Q10, ISNUMBER($B10:Q10)), COUNTA(FILTER($B10:Q10, ISNUMBER($B10:Q10)))),
IFERROR(
IF('Résultats des tournois'!Q10="""", INDEX(FILTER($C10:Q10, ISNUMBER($C10:Q10)), COUNTA(FILTER($C10:Q"&amp;"10, ISNUMBER($C10:Q10)))),
lastVal + 'K dynamique'!Q10 * ((SQRT('Résultats des tournois'!Q$2 + 1)/'Résultats des tournois'!Q10) - (1 / (1 + 10^((Q$103 - lastVal)/400)))))
)
))"),"")</f>
        <v/>
      </c>
      <c r="S10" s="32" t="str">
        <f>IFERROR(__xludf.DUMMYFUNCTION("IF('Résultats des tournois'!R$2=0,"""",LET(
lastVal, INDEX(FILTER($B10:R10, ISNUMBER($B10:R10)), COUNTA(FILTER($B10:R10, ISNUMBER($B10:R10)))),
IFERROR(
IF('Résultats des tournois'!R10="""", INDEX(FILTER($C10:R10, ISNUMBER($C10:R10)), COUNTA(FILTER($C10:R"&amp;"10, ISNUMBER($C10:R10)))),
lastVal + 'K dynamique'!R10 * ((SQRT('Résultats des tournois'!R$2 + 1)/'Résultats des tournois'!R10) - (1 / (1 + 10^((R$103 - lastVal)/400)))))
)
))"),"")</f>
        <v/>
      </c>
      <c r="T10" s="32" t="str">
        <f>IFERROR(__xludf.DUMMYFUNCTION("IF('Résultats des tournois'!S$2=0,"""",LET(
lastVal, INDEX(FILTER($B10:S10, ISNUMBER($B10:S10)), COUNTA(FILTER($B10:S10, ISNUMBER($B10:S10)))),
IFERROR(
IF('Résultats des tournois'!S10="""", INDEX(FILTER($C10:S10, ISNUMBER($C10:S10)), COUNTA(FILTER($C10:S"&amp;"10, ISNUMBER($C10:S10)))),
lastVal + 'K dynamique'!S10 * ((SQRT('Résultats des tournois'!S$2 + 1)/'Résultats des tournois'!S10) - (1 / (1 + 10^((S$103 - lastVal)/400)))))
)
))"),"")</f>
        <v/>
      </c>
      <c r="U10" s="32" t="str">
        <f>IFERROR(__xludf.DUMMYFUNCTION("IF('Résultats des tournois'!T$2=0,"""",LET(
lastVal, INDEX(FILTER($B10:T10, ISNUMBER($B10:T10)), COUNTA(FILTER($B10:T10, ISNUMBER($B10:T10)))),
IFERROR(
IF('Résultats des tournois'!T10="""", INDEX(FILTER($C10:T10, ISNUMBER($C10:T10)), COUNTA(FILTER($C10:T"&amp;"10, ISNUMBER($C10:T10)))),
lastVal + 'K dynamique'!T10 * ((SQRT('Résultats des tournois'!T$2 + 1)/'Résultats des tournois'!T10) - (1 / (1 + 10^((T$103 - lastVal)/400)))))
)
))"),"")</f>
        <v/>
      </c>
      <c r="V10" s="32" t="str">
        <f>IFERROR(__xludf.DUMMYFUNCTION("IF('Résultats des tournois'!U$2=0,"""",LET(
lastVal, INDEX(FILTER($B10:U10, ISNUMBER($B10:U10)), COUNTA(FILTER($B10:U10, ISNUMBER($B10:U10)))),
IFERROR(
IF('Résultats des tournois'!U10="""", INDEX(FILTER($C10:U10, ISNUMBER($C10:U10)), COUNTA(FILTER($C10:U"&amp;"10, ISNUMBER($C10:U10)))),
lastVal + 'K dynamique'!U10 * ((SQRT('Résultats des tournois'!U$2 + 1)/'Résultats des tournois'!U10) - (1 / (1 + 10^((U$103 - lastVal)/400)))))
)
))"),"")</f>
        <v/>
      </c>
      <c r="W10" s="32" t="str">
        <f>IFERROR(__xludf.DUMMYFUNCTION("IF('Résultats des tournois'!V$2=0,"""",LET(
lastVal, INDEX(FILTER($B10:V10, ISNUMBER($B10:V10)), COUNTA(FILTER($B10:V10, ISNUMBER($B10:V10)))),
IFERROR(
IF('Résultats des tournois'!V10="""", INDEX(FILTER($C10:V10, ISNUMBER($C10:V10)), COUNTA(FILTER($C10:V"&amp;"10, ISNUMBER($C10:V10)))),
lastVal + 'K dynamique'!V10 * ((SQRT('Résultats des tournois'!V$2 + 1)/'Résultats des tournois'!V10) - (1 / (1 + 10^((V$103 - lastVal)/400)))))
)
))"),"")</f>
        <v/>
      </c>
      <c r="X10" s="32" t="str">
        <f>IFERROR(__xludf.DUMMYFUNCTION("IF('Résultats des tournois'!W$2=0,"""",LET(
lastVal, INDEX(FILTER($B10:W10, ISNUMBER($B10:W10)), COUNTA(FILTER($B10:W10, ISNUMBER($B10:W10)))),
IFERROR(
IF('Résultats des tournois'!W10="""", INDEX(FILTER($C10:W10, ISNUMBER($C10:W10)), COUNTA(FILTER($C10:W"&amp;"10, ISNUMBER($C10:W10)))),
lastVal + 'K dynamique'!W10 * ((SQRT('Résultats des tournois'!W$2 + 1)/'Résultats des tournois'!W10) - (1 / (1 + 10^((W$103 - lastVal)/400)))))
)
))"),"")</f>
        <v/>
      </c>
      <c r="Y10" s="32" t="str">
        <f>IFERROR(__xludf.DUMMYFUNCTION("IF('Résultats des tournois'!X$2=0,"""",LET(
lastVal, INDEX(FILTER($B10:X10, ISNUMBER($B10:X10)), COUNTA(FILTER($B10:X10, ISNUMBER($B10:X10)))),
IFERROR(
IF('Résultats des tournois'!X10="""", INDEX(FILTER($C10:X10, ISNUMBER($C10:X10)), COUNTA(FILTER($C10:X"&amp;"10, ISNUMBER($C10:X10)))),
lastVal + 'K dynamique'!X10 * ((SQRT('Résultats des tournois'!X$2 + 1)/'Résultats des tournois'!X10) - (1 / (1 + 10^((X$103 - lastVal)/400)))))
)
))"),"")</f>
        <v/>
      </c>
      <c r="Z10" s="32" t="str">
        <f>IFERROR(__xludf.DUMMYFUNCTION("IF('Résultats des tournois'!Y$2=0,"""",LET(
lastVal, INDEX(FILTER($B10:Y10, ISNUMBER($B10:Y10)), COUNTA(FILTER($B10:Y10, ISNUMBER($B10:Y10)))),
IFERROR(
IF('Résultats des tournois'!Y10="""", INDEX(FILTER($C10:Y10, ISNUMBER($C10:Y10)), COUNTA(FILTER($C10:Y"&amp;"10, ISNUMBER($C10:Y10)))),
lastVal + 'K dynamique'!Y10 * ((SQRT('Résultats des tournois'!Y$2 + 1)/'Résultats des tournois'!Y10) - (1 / (1 + 10^((Y$103 - lastVal)/400)))))
)
))"),"")</f>
        <v/>
      </c>
      <c r="AA10" s="32" t="str">
        <f>IFERROR(__xludf.DUMMYFUNCTION("IF('Résultats des tournois'!Z$2=0,"""",LET(
lastVal, INDEX(FILTER($B10:Z10, ISNUMBER($B10:Z10)), COUNTA(FILTER($B10:Z10, ISNUMBER($B10:Z10)))),
IFERROR(
IF('Résultats des tournois'!Z10="""", INDEX(FILTER($C10:Z10, ISNUMBER($C10:Z10)), COUNTA(FILTER($C10:Z"&amp;"10, ISNUMBER($C10:Z10)))),
lastVal + 'K dynamique'!Z10 * ((SQRT('Résultats des tournois'!Z$2 + 1)/'Résultats des tournois'!Z10) - (1 / (1 + 10^((Z$103 - lastVal)/400)))))
)
))"),"")</f>
        <v/>
      </c>
      <c r="AB10" s="32" t="str">
        <f>IFERROR(__xludf.DUMMYFUNCTION("IF('Résultats des tournois'!AA$2=0,"""",LET(
lastVal, INDEX(FILTER($B10:AA10, ISNUMBER($B10:AA10)), COUNTA(FILTER($B10:AA10, ISNUMBER($B10:AA10)))),
IFERROR(
IF('Résultats des tournois'!AA10="""", INDEX(FILTER($C10:AA10, ISNUMBER($C10:AA10)), COUNTA(FILTE"&amp;"R($C10:AA10, ISNUMBER($C10:AA10)))),
lastVal + 'K dynamique'!AA10 * ((SQRT('Résultats des tournois'!AA$2 + 1)/'Résultats des tournois'!AA10) - (1 / (1 + 10^((AA$103 - lastVal)/400)))))
)
))"),"")</f>
        <v/>
      </c>
      <c r="AC10" s="32" t="str">
        <f>IFERROR(__xludf.DUMMYFUNCTION("IF('Résultats des tournois'!AB$2=0,"""",LET(
lastVal, INDEX(FILTER($B10:AB10, ISNUMBER($B10:AB10)), COUNTA(FILTER($B10:AB10, ISNUMBER($B10:AB10)))),
IFERROR(
IF('Résultats des tournois'!AB10="""", INDEX(FILTER($C10:AB10, ISNUMBER($C10:AB10)), COUNTA(FILTE"&amp;"R($C10:AB10, ISNUMBER($C10:AB10)))),
lastVal + 'K dynamique'!AB10 * ((SQRT('Résultats des tournois'!AB$2 + 1)/'Résultats des tournois'!AB10) - (1 / (1 + 10^((AB$103 - lastVal)/400)))))
)
))"),"")</f>
        <v/>
      </c>
      <c r="AD10" s="32" t="str">
        <f>IFERROR(__xludf.DUMMYFUNCTION("IF('Résultats des tournois'!AC$2=0,"""",LET(
lastVal, INDEX(FILTER($B10:AC10, ISNUMBER($B10:AC10)), COUNTA(FILTER($B10:AC10, ISNUMBER($B10:AC10)))),
IFERROR(
IF('Résultats des tournois'!AC10="""", INDEX(FILTER($C10:AC10, ISNUMBER($C10:AC10)), COUNTA(FILTE"&amp;"R($C10:AC10, ISNUMBER($C10:AC10)))),
lastVal + 'K dynamique'!AC10 * ((SQRT('Résultats des tournois'!AC$2 + 1)/'Résultats des tournois'!AC10) - (1 / (1 + 10^((AC$103 - lastVal)/400)))))
)
))"),"")</f>
        <v/>
      </c>
      <c r="AE10" s="32" t="str">
        <f>IFERROR(__xludf.DUMMYFUNCTION("IF('Résultats des tournois'!AD$2=0,"""",LET(
lastVal, INDEX(FILTER($B10:AD10, ISNUMBER($B10:AD10)), COUNTA(FILTER($B10:AD10, ISNUMBER($B10:AD10)))),
IFERROR(
IF('Résultats des tournois'!AD10="""", INDEX(FILTER($C10:AD10, ISNUMBER($C10:AD10)), COUNTA(FILTE"&amp;"R($C10:AD10, ISNUMBER($C10:AD10)))),
lastVal + 'K dynamique'!AD10 * ((SQRT('Résultats des tournois'!AD$2 + 1)/'Résultats des tournois'!AD10) - (1 / (1 + 10^((AD$103 - lastVal)/400)))))
)
))"),"")</f>
        <v/>
      </c>
      <c r="AF10" s="32" t="str">
        <f>IFERROR(__xludf.DUMMYFUNCTION("IF('Résultats des tournois'!AE$2=0,"""",LET(
lastVal, INDEX(FILTER($B10:AE10, ISNUMBER($B10:AE10)), COUNTA(FILTER($B10:AE10, ISNUMBER($B10:AE10)))),
IFERROR(
IF('Résultats des tournois'!AE10="""", INDEX(FILTER($C10:AE10, ISNUMBER($C10:AE10)), COUNTA(FILTE"&amp;"R($C10:AE10, ISNUMBER($C10:AE10)))),
lastVal + 'K dynamique'!AE10 * ((SQRT('Résultats des tournois'!AE$2 + 1)/'Résultats des tournois'!AE10) - (1 / (1 + 10^((AE$103 - lastVal)/400)))))
)
))"),"")</f>
        <v/>
      </c>
      <c r="AG10" s="32" t="str">
        <f>IFERROR(__xludf.DUMMYFUNCTION("IF('Résultats des tournois'!AF$2=0,"""",LET(
lastVal, INDEX(FILTER($B10:AF10, ISNUMBER($B10:AF10)), COUNTA(FILTER($B10:AF10, ISNUMBER($B10:AF10)))),
IFERROR(
IF('Résultats des tournois'!AF10="""", INDEX(FILTER($C10:AF10, ISNUMBER($C10:AF10)), COUNTA(FILTE"&amp;"R($C10:AF10, ISNUMBER($C10:AF10)))),
lastVal + 'K dynamique'!AF10 * ((SQRT('Résultats des tournois'!AF$2 + 1)/'Résultats des tournois'!AF10) - (1 / (1 + 10^((AF$103 - lastVal)/400)))))
)
))"),"")</f>
        <v/>
      </c>
      <c r="AH10" s="32" t="str">
        <f>IFERROR(__xludf.DUMMYFUNCTION("IF('Résultats des tournois'!AG$2=0,"""",LET(
lastVal, INDEX(FILTER($B10:AG10, ISNUMBER($B10:AG10)), COUNTA(FILTER($B10:AG10, ISNUMBER($B10:AG10)))),
IFERROR(
IF('Résultats des tournois'!AG10="""", INDEX(FILTER($C10:AG10, ISNUMBER($C10:AG10)), COUNTA(FILTE"&amp;"R($C10:AG10, ISNUMBER($C10:AG10)))),
lastVal + 'K dynamique'!AG10 * ((SQRT('Résultats des tournois'!AG$2 + 1)/'Résultats des tournois'!AG10) - (1 / (1 + 10^((AG$103 - lastVal)/400)))))
)
))"),"")</f>
        <v/>
      </c>
      <c r="AI10" s="32" t="str">
        <f>IFERROR(__xludf.DUMMYFUNCTION("IF('Résultats des tournois'!AH$2=0,"""",LET(
lastVal, INDEX(FILTER($B10:AH10, ISNUMBER($B10:AH10)), COUNTA(FILTER($B10:AH10, ISNUMBER($B10:AH10)))),
IFERROR(
IF('Résultats des tournois'!AH10="""", INDEX(FILTER($C10:AH10, ISNUMBER($C10:AH10)), COUNTA(FILTE"&amp;"R($C10:AH10, ISNUMBER($C10:AH10)))),
lastVal + 'K dynamique'!AH10 * ((SQRT('Résultats des tournois'!AH$2 + 1)/'Résultats des tournois'!AH10) - (1 / (1 + 10^((AH$103 - lastVal)/400)))))
)
))"),"")</f>
        <v/>
      </c>
      <c r="AJ10" s="32" t="str">
        <f>IFERROR(__xludf.DUMMYFUNCTION("IF('Résultats des tournois'!AI$2=0,"""",LET(
lastVal, INDEX(FILTER($B10:AI10, ISNUMBER($B10:AI10)), COUNTA(FILTER($B10:AI10, ISNUMBER($B10:AI10)))),
IFERROR(
IF('Résultats des tournois'!AI10="""", INDEX(FILTER($C10:AI10, ISNUMBER($C10:AI10)), COUNTA(FILTE"&amp;"R($C10:AI10, ISNUMBER($C10:AI10)))),
lastVal + 'K dynamique'!AI10 * ((SQRT('Résultats des tournois'!AI$2 + 1)/'Résultats des tournois'!AI10) - (1 / (1 + 10^((AI$103 - lastVal)/400)))))
)
))"),"")</f>
        <v/>
      </c>
      <c r="AK10" s="32" t="str">
        <f>IFERROR(__xludf.DUMMYFUNCTION("IF('Résultats des tournois'!AJ$2=0,"""",LET(
lastVal, INDEX(FILTER($B10:AJ10, ISNUMBER($B10:AJ10)), COUNTA(FILTER($B10:AJ10, ISNUMBER($B10:AJ10)))),
IFERROR(
IF('Résultats des tournois'!AJ10="""", INDEX(FILTER($C10:AJ10, ISNUMBER($C10:AJ10)), COUNTA(FILTE"&amp;"R($C10:AJ10, ISNUMBER($C10:AJ10)))),
lastVal + 'K dynamique'!AJ10 * ((SQRT('Résultats des tournois'!AJ$2 + 1)/'Résultats des tournois'!AJ10) - (1 / (1 + 10^((AJ$103 - lastVal)/400)))))
)
))"),"")</f>
        <v/>
      </c>
      <c r="AL10" s="32" t="str">
        <f>IFERROR(__xludf.DUMMYFUNCTION("IF('Résultats des tournois'!AK$2=0,"""",LET(
lastVal, INDEX(FILTER($B10:AK10, ISNUMBER($B10:AK10)), COUNTA(FILTER($B10:AK10, ISNUMBER($B10:AK10)))),
IFERROR(
IF('Résultats des tournois'!AK10="""", INDEX(FILTER($C10:AK10, ISNUMBER($C10:AK10)), COUNTA(FILTE"&amp;"R($C10:AK10, ISNUMBER($C10:AK10)))),
lastVal + 'K dynamique'!AK10 * ((SQRT('Résultats des tournois'!AK$2 + 1)/'Résultats des tournois'!AK10) - (1 / (1 + 10^((AK$103 - lastVal)/400)))))
)
))"),"")</f>
        <v/>
      </c>
      <c r="AM10" s="32" t="str">
        <f>IFERROR(__xludf.DUMMYFUNCTION("IF('Résultats des tournois'!AL$2=0,"""",LET(
lastVal, INDEX(FILTER($B10:AL10, ISNUMBER($B10:AL10)), COUNTA(FILTER($B10:AL10, ISNUMBER($B10:AL10)))),
IFERROR(
IF('Résultats des tournois'!AL10="""", INDEX(FILTER($C10:AL10, ISNUMBER($C10:AL10)), COUNTA(FILTE"&amp;"R($C10:AL10, ISNUMBER($C10:AL10)))),
lastVal + 'K dynamique'!AL10 * ((SQRT('Résultats des tournois'!AL$2 + 1)/'Résultats des tournois'!AL10) - (1 / (1 + 10^((AL$103 - lastVal)/400)))))
)
))"),"")</f>
        <v/>
      </c>
      <c r="AN10" s="32" t="str">
        <f>IFERROR(__xludf.DUMMYFUNCTION("IF('Résultats des tournois'!AM$2=0,"""",LET(
lastVal, INDEX(FILTER($B10:AM10, ISNUMBER($B10:AM10)), COUNTA(FILTER($B10:AM10, ISNUMBER($B10:AM10)))),
IFERROR(
IF('Résultats des tournois'!AM10="""", INDEX(FILTER($C10:AM10, ISNUMBER($C10:AM10)), COUNTA(FILTE"&amp;"R($C10:AM10, ISNUMBER($C10:AM10)))),
lastVal + 'K dynamique'!AM10 * ((SQRT('Résultats des tournois'!AM$2 + 1)/'Résultats des tournois'!AM10) - (1 / (1 + 10^((AM$103 - lastVal)/400)))))
)
))"),"")</f>
        <v/>
      </c>
      <c r="AO10" s="32" t="str">
        <f>IFERROR(__xludf.DUMMYFUNCTION("IF('Résultats des tournois'!AN$2=0,"""",LET(
lastVal, INDEX(FILTER($B10:AN10, ISNUMBER($B10:AN10)), COUNTA(FILTER($B10:AN10, ISNUMBER($B10:AN10)))),
IFERROR(
IF('Résultats des tournois'!AN10="""", INDEX(FILTER($C10:AN10, ISNUMBER($C10:AN10)), COUNTA(FILTE"&amp;"R($C10:AN10, ISNUMBER($C10:AN10)))),
lastVal + 'K dynamique'!AN10 * ((SQRT('Résultats des tournois'!AN$2 + 1)/'Résultats des tournois'!AN10) - (1 / (1 + 10^((AN$103 - lastVal)/400)))))
)
))"),"")</f>
        <v/>
      </c>
      <c r="AP10" s="32" t="str">
        <f>IFERROR(__xludf.DUMMYFUNCTION("IF('Résultats des tournois'!AO$2=0,"""",LET(
lastVal, INDEX(FILTER($B10:AO10, ISNUMBER($B10:AO10)), COUNTA(FILTER($B10:AO10, ISNUMBER($B10:AO10)))),
IFERROR(
IF('Résultats des tournois'!AO10="""", INDEX(FILTER($C10:AO10, ISNUMBER($C10:AO10)), COUNTA(FILTE"&amp;"R($C10:AO10, ISNUMBER($C10:AO10)))),
lastVal + 'K dynamique'!AO10 * ((SQRT('Résultats des tournois'!AO$2 + 1)/'Résultats des tournois'!AO10) - (1 / (1 + 10^((AO$103 - lastVal)/400)))))
)
))"),"")</f>
        <v/>
      </c>
      <c r="AQ10" s="32" t="str">
        <f>IFERROR(__xludf.DUMMYFUNCTION("IF('Résultats des tournois'!AP$2=0,"""",LET(
lastVal, INDEX(FILTER($B10:AP10, ISNUMBER($B10:AP10)), COUNTA(FILTER($B10:AP10, ISNUMBER($B10:AP10)))),
IFERROR(
IF('Résultats des tournois'!AP10="""", INDEX(FILTER($C10:AP10, ISNUMBER($C10:AP10)), COUNTA(FILTE"&amp;"R($C10:AP10, ISNUMBER($C10:AP10)))),
lastVal + 'K dynamique'!AP10 * ((SQRT('Résultats des tournois'!AP$2 + 1)/'Résultats des tournois'!AP10) - (1 / (1 + 10^((AP$103 - lastVal)/400)))))
)
))"),"")</f>
        <v/>
      </c>
      <c r="AR10" s="32" t="str">
        <f>IFERROR(__xludf.DUMMYFUNCTION("IF('Résultats des tournois'!AQ$2=0,"""",LET(
lastVal, INDEX(FILTER($B10:AQ10, ISNUMBER($B10:AQ10)), COUNTA(FILTER($B10:AQ10, ISNUMBER($B10:AQ10)))),
IFERROR(
IF('Résultats des tournois'!AQ10="""", INDEX(FILTER($C10:AQ10, ISNUMBER($C10:AQ10)), COUNTA(FILTE"&amp;"R($C10:AQ10, ISNUMBER($C10:AQ10)))),
lastVal + 'K dynamique'!AQ10 * ((SQRT('Résultats des tournois'!AQ$2 + 1)/'Résultats des tournois'!AQ10) - (1 / (1 + 10^((AQ$103 - lastVal)/400)))))
)
))"),"")</f>
        <v/>
      </c>
      <c r="AS10" s="32" t="str">
        <f>IFERROR(__xludf.DUMMYFUNCTION("IF('Résultats des tournois'!AR$2=0,"""",LET(
lastVal, INDEX(FILTER($B10:AR10, ISNUMBER($B10:AR10)), COUNTA(FILTER($B10:AR10, ISNUMBER($B10:AR10)))),
IFERROR(
IF('Résultats des tournois'!AR10="""", INDEX(FILTER($C10:AR10, ISNUMBER($C10:AR10)), COUNTA(FILTE"&amp;"R($C10:AR10, ISNUMBER($C10:AR10)))),
lastVal + 'K dynamique'!AR10 * ((SQRT('Résultats des tournois'!AR$2 + 1)/'Résultats des tournois'!AR10) - (1 / (1 + 10^((AR$103 - lastVal)/400)))))
)
))"),"")</f>
        <v/>
      </c>
      <c r="AT10" s="32" t="str">
        <f>IFERROR(__xludf.DUMMYFUNCTION("IF('Résultats des tournois'!AS$2=0,"""",LET(
lastVal, INDEX(FILTER($B10:AS10, ISNUMBER($B10:AS10)), COUNTA(FILTER($B10:AS10, ISNUMBER($B10:AS10)))),
IFERROR(
IF('Résultats des tournois'!AS10="""", INDEX(FILTER($C10:AS10, ISNUMBER($C10:AS10)), COUNTA(FILTE"&amp;"R($C10:AS10, ISNUMBER($C10:AS10)))),
lastVal + 'K dynamique'!AS10 * ((SQRT('Résultats des tournois'!AS$2 + 1)/'Résultats des tournois'!AS10) - (1 / (1 + 10^((AS$103 - lastVal)/400)))))
)
))"),"")</f>
        <v/>
      </c>
      <c r="AU10" s="32" t="str">
        <f>IFERROR(__xludf.DUMMYFUNCTION("IF('Résultats des tournois'!AT$2=0,"""",LET(
lastVal, INDEX(FILTER($B10:AT10, ISNUMBER($B10:AT10)), COUNTA(FILTER($B10:AT10, ISNUMBER($B10:AT10)))),
IFERROR(
IF('Résultats des tournois'!AT10="""", INDEX(FILTER($C10:AT10, ISNUMBER($C10:AT10)), COUNTA(FILTE"&amp;"R($C10:AT10, ISNUMBER($C10:AT10)))),
lastVal + 'K dynamique'!AT10 * ((SQRT('Résultats des tournois'!AT$2 + 1)/'Résultats des tournois'!AT10) - (1 / (1 + 10^((AT$103 - lastVal)/400)))))
)
))"),"")</f>
        <v/>
      </c>
      <c r="AV10" s="32" t="str">
        <f>IFERROR(__xludf.DUMMYFUNCTION("IF('Résultats des tournois'!AU$2=0,"""",LET(
lastVal, INDEX(FILTER($B10:AU10, ISNUMBER($B10:AU10)), COUNTA(FILTER($B10:AU10, ISNUMBER($B10:AU10)))),
IFERROR(
IF('Résultats des tournois'!AU10="""", INDEX(FILTER($C10:AU10, ISNUMBER($C10:AU10)), COUNTA(FILTE"&amp;"R($C10:AU10, ISNUMBER($C10:AU10)))),
lastVal + 'K dynamique'!AU10 * ((SQRT('Résultats des tournois'!AU$2 + 1)/'Résultats des tournois'!AU10) - (1 / (1 + 10^((AU$103 - lastVal)/400)))))
)
))"),"")</f>
        <v/>
      </c>
      <c r="AW10" s="32" t="str">
        <f>IFERROR(__xludf.DUMMYFUNCTION("IF('Résultats des tournois'!AV$2=0,"""",LET(
lastVal, INDEX(FILTER($B10:AV10, ISNUMBER($B10:AV10)), COUNTA(FILTER($B10:AV10, ISNUMBER($B10:AV10)))),
IFERROR(
IF('Résultats des tournois'!AV10="""", INDEX(FILTER($C10:AV10, ISNUMBER($C10:AV10)), COUNTA(FILTE"&amp;"R($C10:AV10, ISNUMBER($C10:AV10)))),
lastVal + 'K dynamique'!AV10 * ((SQRT('Résultats des tournois'!AV$2 + 1)/'Résultats des tournois'!AV10) - (1 / (1 + 10^((AV$103 - lastVal)/400)))))
)
))"),"")</f>
        <v/>
      </c>
      <c r="AX10" s="32" t="str">
        <f>IFERROR(__xludf.DUMMYFUNCTION("IF('Résultats des tournois'!AW$2=0,"""",LET(
lastVal, INDEX(FILTER($B10:AW10, ISNUMBER($B10:AW10)), COUNTA(FILTER($B10:AW10, ISNUMBER($B10:AW10)))),
IFERROR(
IF('Résultats des tournois'!AW10="""", INDEX(FILTER($C10:AW10, ISNUMBER($C10:AW10)), COUNTA(FILTE"&amp;"R($C10:AW10, ISNUMBER($C10:AW10)))),
lastVal + 'K dynamique'!AW10 * ((SQRT('Résultats des tournois'!AW$2 + 1)/'Résultats des tournois'!AW10) - (1 / (1 + 10^((AW$103 - lastVal)/400)))))
)
))"),"")</f>
        <v/>
      </c>
      <c r="AY10" s="32" t="str">
        <f>IFERROR(__xludf.DUMMYFUNCTION("IF('Résultats des tournois'!AX$2=0,"""",LET(
lastVal, INDEX(FILTER($B10:AX10, ISNUMBER($B10:AX10)), COUNTA(FILTER($B10:AX10, ISNUMBER($B10:AX10)))),
IFERROR(
IF('Résultats des tournois'!AX10="""", INDEX(FILTER($C10:AX10, ISNUMBER($C10:AX10)), COUNTA(FILTE"&amp;"R($C10:AX10, ISNUMBER($C10:AX10)))),
lastVal + 'K dynamique'!AX10 * ((SQRT('Résultats des tournois'!AX$2 + 1)/'Résultats des tournois'!AX10) - (1 / (1 + 10^((AX$103 - lastVal)/400)))))
)
))"),"")</f>
        <v/>
      </c>
      <c r="AZ10" s="4">
        <f t="array" ref="AZ10">IF(MAX(($C10:AY10&lt;&gt;"")*COLUMN($C10:AY10))=0,"",INDEX($C10:AY10,1,MAX(($C10:AY10&lt;&gt;"")*COLUMN($C10:AY10))-COLUMN($C10)+1))</f>
        <v>1659.638953</v>
      </c>
      <c r="BA10" s="33">
        <f t="shared" si="1"/>
        <v>3</v>
      </c>
    </row>
    <row r="11" ht="14.25" customHeight="1">
      <c r="A11" s="32" t="str">
        <f>IF('Résultats des tournois'!A11="","",'Résultats des tournois'!A11)</f>
        <v>Mat</v>
      </c>
      <c r="B11" s="32">
        <v>1500.0</v>
      </c>
      <c r="C11" s="32" t="str">
        <f>IF('Résultats des tournois'!B11="","",B11+'K dynamique'!B11*((SQRT('Résultats des tournois'!B$2+1)/'Résultats des tournois'!B11)-(1/(1+10^((B11-B11)/400)))))</f>
        <v/>
      </c>
      <c r="D11" s="32" t="str">
        <f>IFERROR(__xludf.DUMMYFUNCTION("IF('Résultats des tournois'!C$2=0,"""",LET(
lastVal, INDEX(FILTER($B11:C11, ISNUMBER($B11:C11)), COUNTA(FILTER($B11:C11, ISNUMBER($B11:C11)))),
IFERROR(
IF('Résultats des tournois'!C11="""", INDEX(FILTER($C11:C11, ISNUMBER($C11:C11)), COUNTA(FILTER($C11:C"&amp;"11, ISNUMBER($C11:C11)))),
lastVal + 'K dynamique'!C11 * ((SQRT('Résultats des tournois'!C$2 + 1)/'Résultats des tournois'!C11) - (1 / (1 + 10^((C$103 - lastVal)/400)))))
)
))"),"")</f>
        <v/>
      </c>
      <c r="E11" s="32">
        <f>IFERROR(__xludf.DUMMYFUNCTION("IF('Résultats des tournois'!D$2=0,"""",LET(
lastVal, INDEX(FILTER($B11:D11, ISNUMBER($B11:D11)), COUNTA(FILTER($B11:D11, ISNUMBER($B11:D11)))),
IFERROR(
IF('Résultats des tournois'!D11="""", INDEX(FILTER($C11:D11, ISNUMBER($C11:D11)), COUNTA(FILTER($C11:D"&amp;"11, ISNUMBER($C11:D11)))),
lastVal + 'K dynamique'!D11 * ((SQRT('Résultats des tournois'!D$2 + 1)/'Résultats des tournois'!D11) - (1 / (1 + 10^((D$103 - lastVal)/400)))))
)
))"),1505.7457093034698)</f>
        <v>1505.745709</v>
      </c>
      <c r="F11" s="32">
        <f>IFERROR(__xludf.DUMMYFUNCTION("IF('Résultats des tournois'!E$2=0,"""",LET(
lastVal, INDEX(FILTER($B11:E11, ISNUMBER($B11:E11)), COUNTA(FILTER($B11:E11, ISNUMBER($B11:E11)))),
IFERROR(
IF('Résultats des tournois'!E11="""", INDEX(FILTER($C11:E11, ISNUMBER($C11:E11)), COUNTA(FILTER($C11:E"&amp;"11, ISNUMBER($C11:E11)))),
lastVal + 'K dynamique'!E11 * ((SQRT('Résultats des tournois'!E$2 + 1)/'Résultats des tournois'!E11) - (1 / (1 + 10^((E$103 - lastVal)/400)))))
)
))"),1505.7457093034698)</f>
        <v>1505.745709</v>
      </c>
      <c r="G11" s="32">
        <f>IFERROR(__xludf.DUMMYFUNCTION("IF('Résultats des tournois'!F$2=0,"""",LET(
lastVal, INDEX(FILTER($B11:F11, ISNUMBER($B11:F11)), COUNTA(FILTER($B11:F11, ISNUMBER($B11:F11)))),
IFERROR(
IF('Résultats des tournois'!F11="""", INDEX(FILTER($C11:F11, ISNUMBER($C11:F11)), COUNTA(FILTER($C11:F"&amp;"11, ISNUMBER($C11:F11)))),
lastVal + 'K dynamique'!F11 * ((SQRT('Résultats des tournois'!F$2 + 1)/'Résultats des tournois'!F11) - (1 / (1 + 10^((F$103 - lastVal)/400)))))
)
))"),1505.7457093034698)</f>
        <v>1505.745709</v>
      </c>
      <c r="H11" s="32">
        <f>IFERROR(__xludf.DUMMYFUNCTION("IF('Résultats des tournois'!G$2=0,"""",LET(
lastVal, INDEX(FILTER($B11:G11, ISNUMBER($B11:G11)), COUNTA(FILTER($B11:G11, ISNUMBER($B11:G11)))),
IFERROR(
IF('Résultats des tournois'!G11="""", INDEX(FILTER($C11:G11, ISNUMBER($C11:G11)), COUNTA(FILTER($C11:G"&amp;"11, ISNUMBER($C11:G11)))),
lastVal + 'K dynamique'!G11 * ((SQRT('Résultats des tournois'!G$2 + 1)/'Résultats des tournois'!G11) - (1 / (1 + 10^((G$103 - lastVal)/400)))))
)
))"),1505.7457093034698)</f>
        <v>1505.745709</v>
      </c>
      <c r="I11" s="32">
        <f>IFERROR(__xludf.DUMMYFUNCTION("IF('Résultats des tournois'!H$2=0,"""",LET(
lastVal, INDEX(FILTER($B11:H11, ISNUMBER($B11:H11)), COUNTA(FILTER($B11:H11, ISNUMBER($B11:H11)))),
IFERROR(
IF('Résultats des tournois'!H11="""", INDEX(FILTER($C11:H11, ISNUMBER($C11:H11)), COUNTA(FILTER($C11:H"&amp;"11, ISNUMBER($C11:H11)))),
lastVal + 'K dynamique'!H11 * ((SQRT('Résultats des tournois'!H$2 + 1)/'Résultats des tournois'!H11) - (1 / (1 + 10^((H$103 - lastVal)/400)))))
)
))"),1505.7457093034698)</f>
        <v>1505.745709</v>
      </c>
      <c r="J11" s="32">
        <f>IFERROR(__xludf.DUMMYFUNCTION("IF('Résultats des tournois'!I$2=0,"""",LET(
lastVal, INDEX(FILTER($B11:I11, ISNUMBER($B11:I11)), COUNTA(FILTER($B11:I11, ISNUMBER($B11:I11)))),
IFERROR(
IF('Résultats des tournois'!I11="""", INDEX(FILTER($C11:I11, ISNUMBER($C11:I11)), COUNTA(FILTER($C11:I"&amp;"11, ISNUMBER($C11:I11)))),
lastVal + 'K dynamique'!I11 * ((SQRT('Résultats des tournois'!I$2 + 1)/'Résultats des tournois'!I11) - (1 / (1 + 10^((I$103 - lastVal)/400)))))
)
))"),1505.7457093034698)</f>
        <v>1505.745709</v>
      </c>
      <c r="K11" s="32">
        <f>IFERROR(__xludf.DUMMYFUNCTION("IF('Résultats des tournois'!J$2=0,"""",LET(
lastVal, INDEX(FILTER($B11:J11, ISNUMBER($B11:J11)), COUNTA(FILTER($B11:J11, ISNUMBER($B11:J11)))),
IFERROR(
IF('Résultats des tournois'!J11="""", INDEX(FILTER($C11:J11, ISNUMBER($C11:J11)), COUNTA(FILTER($C11:J"&amp;"11, ISNUMBER($C11:J11)))),
lastVal + 'K dynamique'!J11 * ((SQRT('Résultats des tournois'!J$2 + 1)/'Résultats des tournois'!J11) - (1 / (1 + 10^((J$103 - lastVal)/400)))))
)
))"),1505.7457093034698)</f>
        <v>1505.745709</v>
      </c>
      <c r="L11" s="32">
        <f>IFERROR(__xludf.DUMMYFUNCTION("IF('Résultats des tournois'!K$2=0,"""",LET(
lastVal, INDEX(FILTER($B11:K11, ISNUMBER($B11:K11)), COUNTA(FILTER($B11:K11, ISNUMBER($B11:K11)))),
IFERROR(
IF('Résultats des tournois'!K11="""", INDEX(FILTER($C11:K11, ISNUMBER($C11:K11)), COUNTA(FILTER($C11:K"&amp;"11, ISNUMBER($C11:K11)))),
lastVal + 'K dynamique'!K11 * ((SQRT('Résultats des tournois'!K$2 + 1)/'Résultats des tournois'!K11) - (1 / (1 + 10^((K$103 - lastVal)/400)))))
)
))"),1505.7457093034698)</f>
        <v>1505.745709</v>
      </c>
      <c r="M11" s="32">
        <f>IFERROR(__xludf.DUMMYFUNCTION("IF('Résultats des tournois'!L$2=0,"""",LET(
lastVal, INDEX(FILTER($B11:L11, ISNUMBER($B11:L11)), COUNTA(FILTER($B11:L11, ISNUMBER($B11:L11)))),
IFERROR(
IF('Résultats des tournois'!L11="""", INDEX(FILTER($C11:L11, ISNUMBER($C11:L11)), COUNTA(FILTER($C11:L"&amp;"11, ISNUMBER($C11:L11)))),
lastVal + 'K dynamique'!L11 * ((SQRT('Résultats des tournois'!L$2 + 1)/'Résultats des tournois'!L11) - (1 / (1 + 10^((L$103 - lastVal)/400)))))
)
))"),1505.7457093034698)</f>
        <v>1505.745709</v>
      </c>
      <c r="N11" s="32" t="str">
        <f>IFERROR(__xludf.DUMMYFUNCTION("IF('Résultats des tournois'!M$2=0,"""",LET(
lastVal, INDEX(FILTER($B11:M11, ISNUMBER($B11:M11)), COUNTA(FILTER($B11:M11, ISNUMBER($B11:M11)))),
IFERROR(
IF('Résultats des tournois'!M11="""", INDEX(FILTER($C11:M11, ISNUMBER($C11:M11)), COUNTA(FILTER($C11:M"&amp;"11, ISNUMBER($C11:M11)))),
lastVal + 'K dynamique'!M11 * ((SQRT('Résultats des tournois'!M$2 + 1)/'Résultats des tournois'!M11) - (1 / (1 + 10^((M$103 - lastVal)/400)))))
)
))"),"")</f>
        <v/>
      </c>
      <c r="O11" s="32" t="str">
        <f>IFERROR(__xludf.DUMMYFUNCTION("IF('Résultats des tournois'!N$2=0,"""",LET(
lastVal, INDEX(FILTER($B11:N11, ISNUMBER($B11:N11)), COUNTA(FILTER($B11:N11, ISNUMBER($B11:N11)))),
IFERROR(
IF('Résultats des tournois'!N11="""", INDEX(FILTER($C11:N11, ISNUMBER($C11:N11)), COUNTA(FILTER($C11:N"&amp;"11, ISNUMBER($C11:N11)))),
lastVal + 'K dynamique'!N11 * ((SQRT('Résultats des tournois'!N$2 + 1)/'Résultats des tournois'!N11) - (1 / (1 + 10^((N$103 - lastVal)/400)))))
)
))"),"")</f>
        <v/>
      </c>
      <c r="P11" s="32" t="str">
        <f>IFERROR(__xludf.DUMMYFUNCTION("IF('Résultats des tournois'!O$2=0,"""",LET(
lastVal, INDEX(FILTER($B11:O11, ISNUMBER($B11:O11)), COUNTA(FILTER($B11:O11, ISNUMBER($B11:O11)))),
IFERROR(
IF('Résultats des tournois'!O11="""", INDEX(FILTER($C11:O11, ISNUMBER($C11:O11)), COUNTA(FILTER($C11:O"&amp;"11, ISNUMBER($C11:O11)))),
lastVal + 'K dynamique'!O11 * ((SQRT('Résultats des tournois'!O$2 + 1)/'Résultats des tournois'!O11) - (1 / (1 + 10^((O$103 - lastVal)/400)))))
)
))"),"")</f>
        <v/>
      </c>
      <c r="Q11" s="32" t="str">
        <f>IFERROR(__xludf.DUMMYFUNCTION("IF('Résultats des tournois'!P$2=0,"""",LET(
lastVal, INDEX(FILTER($B11:P11, ISNUMBER($B11:P11)), COUNTA(FILTER($B11:P11, ISNUMBER($B11:P11)))),
IFERROR(
IF('Résultats des tournois'!P11="""", INDEX(FILTER($C11:P11, ISNUMBER($C11:P11)), COUNTA(FILTER($C11:P"&amp;"11, ISNUMBER($C11:P11)))),
lastVal + 'K dynamique'!P11 * ((SQRT('Résultats des tournois'!P$2 + 1)/'Résultats des tournois'!P11) - (1 / (1 + 10^((P$103 - lastVal)/400)))))
)
))"),"")</f>
        <v/>
      </c>
      <c r="R11" s="32" t="str">
        <f>IFERROR(__xludf.DUMMYFUNCTION("IF('Résultats des tournois'!Q$2=0,"""",LET(
lastVal, INDEX(FILTER($B11:Q11, ISNUMBER($B11:Q11)), COUNTA(FILTER($B11:Q11, ISNUMBER($B11:Q11)))),
IFERROR(
IF('Résultats des tournois'!Q11="""", INDEX(FILTER($C11:Q11, ISNUMBER($C11:Q11)), COUNTA(FILTER($C11:Q"&amp;"11, ISNUMBER($C11:Q11)))),
lastVal + 'K dynamique'!Q11 * ((SQRT('Résultats des tournois'!Q$2 + 1)/'Résultats des tournois'!Q11) - (1 / (1 + 10^((Q$103 - lastVal)/400)))))
)
))"),"")</f>
        <v/>
      </c>
      <c r="S11" s="32" t="str">
        <f>IFERROR(__xludf.DUMMYFUNCTION("IF('Résultats des tournois'!R$2=0,"""",LET(
lastVal, INDEX(FILTER($B11:R11, ISNUMBER($B11:R11)), COUNTA(FILTER($B11:R11, ISNUMBER($B11:R11)))),
IFERROR(
IF('Résultats des tournois'!R11="""", INDEX(FILTER($C11:R11, ISNUMBER($C11:R11)), COUNTA(FILTER($C11:R"&amp;"11, ISNUMBER($C11:R11)))),
lastVal + 'K dynamique'!R11 * ((SQRT('Résultats des tournois'!R$2 + 1)/'Résultats des tournois'!R11) - (1 / (1 + 10^((R$103 - lastVal)/400)))))
)
))"),"")</f>
        <v/>
      </c>
      <c r="T11" s="32" t="str">
        <f>IFERROR(__xludf.DUMMYFUNCTION("IF('Résultats des tournois'!S$2=0,"""",LET(
lastVal, INDEX(FILTER($B11:S11, ISNUMBER($B11:S11)), COUNTA(FILTER($B11:S11, ISNUMBER($B11:S11)))),
IFERROR(
IF('Résultats des tournois'!S11="""", INDEX(FILTER($C11:S11, ISNUMBER($C11:S11)), COUNTA(FILTER($C11:S"&amp;"11, ISNUMBER($C11:S11)))),
lastVal + 'K dynamique'!S11 * ((SQRT('Résultats des tournois'!S$2 + 1)/'Résultats des tournois'!S11) - (1 / (1 + 10^((S$103 - lastVal)/400)))))
)
))"),"")</f>
        <v/>
      </c>
      <c r="U11" s="32" t="str">
        <f>IFERROR(__xludf.DUMMYFUNCTION("IF('Résultats des tournois'!T$2=0,"""",LET(
lastVal, INDEX(FILTER($B11:T11, ISNUMBER($B11:T11)), COUNTA(FILTER($B11:T11, ISNUMBER($B11:T11)))),
IFERROR(
IF('Résultats des tournois'!T11="""", INDEX(FILTER($C11:T11, ISNUMBER($C11:T11)), COUNTA(FILTER($C11:T"&amp;"11, ISNUMBER($C11:T11)))),
lastVal + 'K dynamique'!T11 * ((SQRT('Résultats des tournois'!T$2 + 1)/'Résultats des tournois'!T11) - (1 / (1 + 10^((T$103 - lastVal)/400)))))
)
))"),"")</f>
        <v/>
      </c>
      <c r="V11" s="32" t="str">
        <f>IFERROR(__xludf.DUMMYFUNCTION("IF('Résultats des tournois'!U$2=0,"""",LET(
lastVal, INDEX(FILTER($B11:U11, ISNUMBER($B11:U11)), COUNTA(FILTER($B11:U11, ISNUMBER($B11:U11)))),
IFERROR(
IF('Résultats des tournois'!U11="""", INDEX(FILTER($C11:U11, ISNUMBER($C11:U11)), COUNTA(FILTER($C11:U"&amp;"11, ISNUMBER($C11:U11)))),
lastVal + 'K dynamique'!U11 * ((SQRT('Résultats des tournois'!U$2 + 1)/'Résultats des tournois'!U11) - (1 / (1 + 10^((U$103 - lastVal)/400)))))
)
))"),"")</f>
        <v/>
      </c>
      <c r="W11" s="32" t="str">
        <f>IFERROR(__xludf.DUMMYFUNCTION("IF('Résultats des tournois'!V$2=0,"""",LET(
lastVal, INDEX(FILTER($B11:V11, ISNUMBER($B11:V11)), COUNTA(FILTER($B11:V11, ISNUMBER($B11:V11)))),
IFERROR(
IF('Résultats des tournois'!V11="""", INDEX(FILTER($C11:V11, ISNUMBER($C11:V11)), COUNTA(FILTER($C11:V"&amp;"11, ISNUMBER($C11:V11)))),
lastVal + 'K dynamique'!V11 * ((SQRT('Résultats des tournois'!V$2 + 1)/'Résultats des tournois'!V11) - (1 / (1 + 10^((V$103 - lastVal)/400)))))
)
))"),"")</f>
        <v/>
      </c>
      <c r="X11" s="32" t="str">
        <f>IFERROR(__xludf.DUMMYFUNCTION("IF('Résultats des tournois'!W$2=0,"""",LET(
lastVal, INDEX(FILTER($B11:W11, ISNUMBER($B11:W11)), COUNTA(FILTER($B11:W11, ISNUMBER($B11:W11)))),
IFERROR(
IF('Résultats des tournois'!W11="""", INDEX(FILTER($C11:W11, ISNUMBER($C11:W11)), COUNTA(FILTER($C11:W"&amp;"11, ISNUMBER($C11:W11)))),
lastVal + 'K dynamique'!W11 * ((SQRT('Résultats des tournois'!W$2 + 1)/'Résultats des tournois'!W11) - (1 / (1 + 10^((W$103 - lastVal)/400)))))
)
))"),"")</f>
        <v/>
      </c>
      <c r="Y11" s="32" t="str">
        <f>IFERROR(__xludf.DUMMYFUNCTION("IF('Résultats des tournois'!X$2=0,"""",LET(
lastVal, INDEX(FILTER($B11:X11, ISNUMBER($B11:X11)), COUNTA(FILTER($B11:X11, ISNUMBER($B11:X11)))),
IFERROR(
IF('Résultats des tournois'!X11="""", INDEX(FILTER($C11:X11, ISNUMBER($C11:X11)), COUNTA(FILTER($C11:X"&amp;"11, ISNUMBER($C11:X11)))),
lastVal + 'K dynamique'!X11 * ((SQRT('Résultats des tournois'!X$2 + 1)/'Résultats des tournois'!X11) - (1 / (1 + 10^((X$103 - lastVal)/400)))))
)
))"),"")</f>
        <v/>
      </c>
      <c r="Z11" s="32" t="str">
        <f>IFERROR(__xludf.DUMMYFUNCTION("IF('Résultats des tournois'!Y$2=0,"""",LET(
lastVal, INDEX(FILTER($B11:Y11, ISNUMBER($B11:Y11)), COUNTA(FILTER($B11:Y11, ISNUMBER($B11:Y11)))),
IFERROR(
IF('Résultats des tournois'!Y11="""", INDEX(FILTER($C11:Y11, ISNUMBER($C11:Y11)), COUNTA(FILTER($C11:Y"&amp;"11, ISNUMBER($C11:Y11)))),
lastVal + 'K dynamique'!Y11 * ((SQRT('Résultats des tournois'!Y$2 + 1)/'Résultats des tournois'!Y11) - (1 / (1 + 10^((Y$103 - lastVal)/400)))))
)
))"),"")</f>
        <v/>
      </c>
      <c r="AA11" s="32" t="str">
        <f>IFERROR(__xludf.DUMMYFUNCTION("IF('Résultats des tournois'!Z$2=0,"""",LET(
lastVal, INDEX(FILTER($B11:Z11, ISNUMBER($B11:Z11)), COUNTA(FILTER($B11:Z11, ISNUMBER($B11:Z11)))),
IFERROR(
IF('Résultats des tournois'!Z11="""", INDEX(FILTER($C11:Z11, ISNUMBER($C11:Z11)), COUNTA(FILTER($C11:Z"&amp;"11, ISNUMBER($C11:Z11)))),
lastVal + 'K dynamique'!Z11 * ((SQRT('Résultats des tournois'!Z$2 + 1)/'Résultats des tournois'!Z11) - (1 / (1 + 10^((Z$103 - lastVal)/400)))))
)
))"),"")</f>
        <v/>
      </c>
      <c r="AB11" s="32" t="str">
        <f>IFERROR(__xludf.DUMMYFUNCTION("IF('Résultats des tournois'!AA$2=0,"""",LET(
lastVal, INDEX(FILTER($B11:AA11, ISNUMBER($B11:AA11)), COUNTA(FILTER($B11:AA11, ISNUMBER($B11:AA11)))),
IFERROR(
IF('Résultats des tournois'!AA11="""", INDEX(FILTER($C11:AA11, ISNUMBER($C11:AA11)), COUNTA(FILTE"&amp;"R($C11:AA11, ISNUMBER($C11:AA11)))),
lastVal + 'K dynamique'!AA11 * ((SQRT('Résultats des tournois'!AA$2 + 1)/'Résultats des tournois'!AA11) - (1 / (1 + 10^((AA$103 - lastVal)/400)))))
)
))"),"")</f>
        <v/>
      </c>
      <c r="AC11" s="32" t="str">
        <f>IFERROR(__xludf.DUMMYFUNCTION("IF('Résultats des tournois'!AB$2=0,"""",LET(
lastVal, INDEX(FILTER($B11:AB11, ISNUMBER($B11:AB11)), COUNTA(FILTER($B11:AB11, ISNUMBER($B11:AB11)))),
IFERROR(
IF('Résultats des tournois'!AB11="""", INDEX(FILTER($C11:AB11, ISNUMBER($C11:AB11)), COUNTA(FILTE"&amp;"R($C11:AB11, ISNUMBER($C11:AB11)))),
lastVal + 'K dynamique'!AB11 * ((SQRT('Résultats des tournois'!AB$2 + 1)/'Résultats des tournois'!AB11) - (1 / (1 + 10^((AB$103 - lastVal)/400)))))
)
))"),"")</f>
        <v/>
      </c>
      <c r="AD11" s="32" t="str">
        <f>IFERROR(__xludf.DUMMYFUNCTION("IF('Résultats des tournois'!AC$2=0,"""",LET(
lastVal, INDEX(FILTER($B11:AC11, ISNUMBER($B11:AC11)), COUNTA(FILTER($B11:AC11, ISNUMBER($B11:AC11)))),
IFERROR(
IF('Résultats des tournois'!AC11="""", INDEX(FILTER($C11:AC11, ISNUMBER($C11:AC11)), COUNTA(FILTE"&amp;"R($C11:AC11, ISNUMBER($C11:AC11)))),
lastVal + 'K dynamique'!AC11 * ((SQRT('Résultats des tournois'!AC$2 + 1)/'Résultats des tournois'!AC11) - (1 / (1 + 10^((AC$103 - lastVal)/400)))))
)
))"),"")</f>
        <v/>
      </c>
      <c r="AE11" s="32" t="str">
        <f>IFERROR(__xludf.DUMMYFUNCTION("IF('Résultats des tournois'!AD$2=0,"""",LET(
lastVal, INDEX(FILTER($B11:AD11, ISNUMBER($B11:AD11)), COUNTA(FILTER($B11:AD11, ISNUMBER($B11:AD11)))),
IFERROR(
IF('Résultats des tournois'!AD11="""", INDEX(FILTER($C11:AD11, ISNUMBER($C11:AD11)), COUNTA(FILTE"&amp;"R($C11:AD11, ISNUMBER($C11:AD11)))),
lastVal + 'K dynamique'!AD11 * ((SQRT('Résultats des tournois'!AD$2 + 1)/'Résultats des tournois'!AD11) - (1 / (1 + 10^((AD$103 - lastVal)/400)))))
)
))"),"")</f>
        <v/>
      </c>
      <c r="AF11" s="32" t="str">
        <f>IFERROR(__xludf.DUMMYFUNCTION("IF('Résultats des tournois'!AE$2=0,"""",LET(
lastVal, INDEX(FILTER($B11:AE11, ISNUMBER($B11:AE11)), COUNTA(FILTER($B11:AE11, ISNUMBER($B11:AE11)))),
IFERROR(
IF('Résultats des tournois'!AE11="""", INDEX(FILTER($C11:AE11, ISNUMBER($C11:AE11)), COUNTA(FILTE"&amp;"R($C11:AE11, ISNUMBER($C11:AE11)))),
lastVal + 'K dynamique'!AE11 * ((SQRT('Résultats des tournois'!AE$2 + 1)/'Résultats des tournois'!AE11) - (1 / (1 + 10^((AE$103 - lastVal)/400)))))
)
))"),"")</f>
        <v/>
      </c>
      <c r="AG11" s="32" t="str">
        <f>IFERROR(__xludf.DUMMYFUNCTION("IF('Résultats des tournois'!AF$2=0,"""",LET(
lastVal, INDEX(FILTER($B11:AF11, ISNUMBER($B11:AF11)), COUNTA(FILTER($B11:AF11, ISNUMBER($B11:AF11)))),
IFERROR(
IF('Résultats des tournois'!AF11="""", INDEX(FILTER($C11:AF11, ISNUMBER($C11:AF11)), COUNTA(FILTE"&amp;"R($C11:AF11, ISNUMBER($C11:AF11)))),
lastVal + 'K dynamique'!AF11 * ((SQRT('Résultats des tournois'!AF$2 + 1)/'Résultats des tournois'!AF11) - (1 / (1 + 10^((AF$103 - lastVal)/400)))))
)
))"),"")</f>
        <v/>
      </c>
      <c r="AH11" s="32" t="str">
        <f>IFERROR(__xludf.DUMMYFUNCTION("IF('Résultats des tournois'!AG$2=0,"""",LET(
lastVal, INDEX(FILTER($B11:AG11, ISNUMBER($B11:AG11)), COUNTA(FILTER($B11:AG11, ISNUMBER($B11:AG11)))),
IFERROR(
IF('Résultats des tournois'!AG11="""", INDEX(FILTER($C11:AG11, ISNUMBER($C11:AG11)), COUNTA(FILTE"&amp;"R($C11:AG11, ISNUMBER($C11:AG11)))),
lastVal + 'K dynamique'!AG11 * ((SQRT('Résultats des tournois'!AG$2 + 1)/'Résultats des tournois'!AG11) - (1 / (1 + 10^((AG$103 - lastVal)/400)))))
)
))"),"")</f>
        <v/>
      </c>
      <c r="AI11" s="32" t="str">
        <f>IFERROR(__xludf.DUMMYFUNCTION("IF('Résultats des tournois'!AH$2=0,"""",LET(
lastVal, INDEX(FILTER($B11:AH11, ISNUMBER($B11:AH11)), COUNTA(FILTER($B11:AH11, ISNUMBER($B11:AH11)))),
IFERROR(
IF('Résultats des tournois'!AH11="""", INDEX(FILTER($C11:AH11, ISNUMBER($C11:AH11)), COUNTA(FILTE"&amp;"R($C11:AH11, ISNUMBER($C11:AH11)))),
lastVal + 'K dynamique'!AH11 * ((SQRT('Résultats des tournois'!AH$2 + 1)/'Résultats des tournois'!AH11) - (1 / (1 + 10^((AH$103 - lastVal)/400)))))
)
))"),"")</f>
        <v/>
      </c>
      <c r="AJ11" s="32" t="str">
        <f>IFERROR(__xludf.DUMMYFUNCTION("IF('Résultats des tournois'!AI$2=0,"""",LET(
lastVal, INDEX(FILTER($B11:AI11, ISNUMBER($B11:AI11)), COUNTA(FILTER($B11:AI11, ISNUMBER($B11:AI11)))),
IFERROR(
IF('Résultats des tournois'!AI11="""", INDEX(FILTER($C11:AI11, ISNUMBER($C11:AI11)), COUNTA(FILTE"&amp;"R($C11:AI11, ISNUMBER($C11:AI11)))),
lastVal + 'K dynamique'!AI11 * ((SQRT('Résultats des tournois'!AI$2 + 1)/'Résultats des tournois'!AI11) - (1 / (1 + 10^((AI$103 - lastVal)/400)))))
)
))"),"")</f>
        <v/>
      </c>
      <c r="AK11" s="32" t="str">
        <f>IFERROR(__xludf.DUMMYFUNCTION("IF('Résultats des tournois'!AJ$2=0,"""",LET(
lastVal, INDEX(FILTER($B11:AJ11, ISNUMBER($B11:AJ11)), COUNTA(FILTER($B11:AJ11, ISNUMBER($B11:AJ11)))),
IFERROR(
IF('Résultats des tournois'!AJ11="""", INDEX(FILTER($C11:AJ11, ISNUMBER($C11:AJ11)), COUNTA(FILTE"&amp;"R($C11:AJ11, ISNUMBER($C11:AJ11)))),
lastVal + 'K dynamique'!AJ11 * ((SQRT('Résultats des tournois'!AJ$2 + 1)/'Résultats des tournois'!AJ11) - (1 / (1 + 10^((AJ$103 - lastVal)/400)))))
)
))"),"")</f>
        <v/>
      </c>
      <c r="AL11" s="32" t="str">
        <f>IFERROR(__xludf.DUMMYFUNCTION("IF('Résultats des tournois'!AK$2=0,"""",LET(
lastVal, INDEX(FILTER($B11:AK11, ISNUMBER($B11:AK11)), COUNTA(FILTER($B11:AK11, ISNUMBER($B11:AK11)))),
IFERROR(
IF('Résultats des tournois'!AK11="""", INDEX(FILTER($C11:AK11, ISNUMBER($C11:AK11)), COUNTA(FILTE"&amp;"R($C11:AK11, ISNUMBER($C11:AK11)))),
lastVal + 'K dynamique'!AK11 * ((SQRT('Résultats des tournois'!AK$2 + 1)/'Résultats des tournois'!AK11) - (1 / (1 + 10^((AK$103 - lastVal)/400)))))
)
))"),"")</f>
        <v/>
      </c>
      <c r="AM11" s="32" t="str">
        <f>IFERROR(__xludf.DUMMYFUNCTION("IF('Résultats des tournois'!AL$2=0,"""",LET(
lastVal, INDEX(FILTER($B11:AL11, ISNUMBER($B11:AL11)), COUNTA(FILTER($B11:AL11, ISNUMBER($B11:AL11)))),
IFERROR(
IF('Résultats des tournois'!AL11="""", INDEX(FILTER($C11:AL11, ISNUMBER($C11:AL11)), COUNTA(FILTE"&amp;"R($C11:AL11, ISNUMBER($C11:AL11)))),
lastVal + 'K dynamique'!AL11 * ((SQRT('Résultats des tournois'!AL$2 + 1)/'Résultats des tournois'!AL11) - (1 / (1 + 10^((AL$103 - lastVal)/400)))))
)
))"),"")</f>
        <v/>
      </c>
      <c r="AN11" s="32" t="str">
        <f>IFERROR(__xludf.DUMMYFUNCTION("IF('Résultats des tournois'!AM$2=0,"""",LET(
lastVal, INDEX(FILTER($B11:AM11, ISNUMBER($B11:AM11)), COUNTA(FILTER($B11:AM11, ISNUMBER($B11:AM11)))),
IFERROR(
IF('Résultats des tournois'!AM11="""", INDEX(FILTER($C11:AM11, ISNUMBER($C11:AM11)), COUNTA(FILTE"&amp;"R($C11:AM11, ISNUMBER($C11:AM11)))),
lastVal + 'K dynamique'!AM11 * ((SQRT('Résultats des tournois'!AM$2 + 1)/'Résultats des tournois'!AM11) - (1 / (1 + 10^((AM$103 - lastVal)/400)))))
)
))"),"")</f>
        <v/>
      </c>
      <c r="AO11" s="32" t="str">
        <f>IFERROR(__xludf.DUMMYFUNCTION("IF('Résultats des tournois'!AN$2=0,"""",LET(
lastVal, INDEX(FILTER($B11:AN11, ISNUMBER($B11:AN11)), COUNTA(FILTER($B11:AN11, ISNUMBER($B11:AN11)))),
IFERROR(
IF('Résultats des tournois'!AN11="""", INDEX(FILTER($C11:AN11, ISNUMBER($C11:AN11)), COUNTA(FILTE"&amp;"R($C11:AN11, ISNUMBER($C11:AN11)))),
lastVal + 'K dynamique'!AN11 * ((SQRT('Résultats des tournois'!AN$2 + 1)/'Résultats des tournois'!AN11) - (1 / (1 + 10^((AN$103 - lastVal)/400)))))
)
))"),"")</f>
        <v/>
      </c>
      <c r="AP11" s="32" t="str">
        <f>IFERROR(__xludf.DUMMYFUNCTION("IF('Résultats des tournois'!AO$2=0,"""",LET(
lastVal, INDEX(FILTER($B11:AO11, ISNUMBER($B11:AO11)), COUNTA(FILTER($B11:AO11, ISNUMBER($B11:AO11)))),
IFERROR(
IF('Résultats des tournois'!AO11="""", INDEX(FILTER($C11:AO11, ISNUMBER($C11:AO11)), COUNTA(FILTE"&amp;"R($C11:AO11, ISNUMBER($C11:AO11)))),
lastVal + 'K dynamique'!AO11 * ((SQRT('Résultats des tournois'!AO$2 + 1)/'Résultats des tournois'!AO11) - (1 / (1 + 10^((AO$103 - lastVal)/400)))))
)
))"),"")</f>
        <v/>
      </c>
      <c r="AQ11" s="32" t="str">
        <f>IFERROR(__xludf.DUMMYFUNCTION("IF('Résultats des tournois'!AP$2=0,"""",LET(
lastVal, INDEX(FILTER($B11:AP11, ISNUMBER($B11:AP11)), COUNTA(FILTER($B11:AP11, ISNUMBER($B11:AP11)))),
IFERROR(
IF('Résultats des tournois'!AP11="""", INDEX(FILTER($C11:AP11, ISNUMBER($C11:AP11)), COUNTA(FILTE"&amp;"R($C11:AP11, ISNUMBER($C11:AP11)))),
lastVal + 'K dynamique'!AP11 * ((SQRT('Résultats des tournois'!AP$2 + 1)/'Résultats des tournois'!AP11) - (1 / (1 + 10^((AP$103 - lastVal)/400)))))
)
))"),"")</f>
        <v/>
      </c>
      <c r="AR11" s="32" t="str">
        <f>IFERROR(__xludf.DUMMYFUNCTION("IF('Résultats des tournois'!AQ$2=0,"""",LET(
lastVal, INDEX(FILTER($B11:AQ11, ISNUMBER($B11:AQ11)), COUNTA(FILTER($B11:AQ11, ISNUMBER($B11:AQ11)))),
IFERROR(
IF('Résultats des tournois'!AQ11="""", INDEX(FILTER($C11:AQ11, ISNUMBER($C11:AQ11)), COUNTA(FILTE"&amp;"R($C11:AQ11, ISNUMBER($C11:AQ11)))),
lastVal + 'K dynamique'!AQ11 * ((SQRT('Résultats des tournois'!AQ$2 + 1)/'Résultats des tournois'!AQ11) - (1 / (1 + 10^((AQ$103 - lastVal)/400)))))
)
))"),"")</f>
        <v/>
      </c>
      <c r="AS11" s="32" t="str">
        <f>IFERROR(__xludf.DUMMYFUNCTION("IF('Résultats des tournois'!AR$2=0,"""",LET(
lastVal, INDEX(FILTER($B11:AR11, ISNUMBER($B11:AR11)), COUNTA(FILTER($B11:AR11, ISNUMBER($B11:AR11)))),
IFERROR(
IF('Résultats des tournois'!AR11="""", INDEX(FILTER($C11:AR11, ISNUMBER($C11:AR11)), COUNTA(FILTE"&amp;"R($C11:AR11, ISNUMBER($C11:AR11)))),
lastVal + 'K dynamique'!AR11 * ((SQRT('Résultats des tournois'!AR$2 + 1)/'Résultats des tournois'!AR11) - (1 / (1 + 10^((AR$103 - lastVal)/400)))))
)
))"),"")</f>
        <v/>
      </c>
      <c r="AT11" s="32" t="str">
        <f>IFERROR(__xludf.DUMMYFUNCTION("IF('Résultats des tournois'!AS$2=0,"""",LET(
lastVal, INDEX(FILTER($B11:AS11, ISNUMBER($B11:AS11)), COUNTA(FILTER($B11:AS11, ISNUMBER($B11:AS11)))),
IFERROR(
IF('Résultats des tournois'!AS11="""", INDEX(FILTER($C11:AS11, ISNUMBER($C11:AS11)), COUNTA(FILTE"&amp;"R($C11:AS11, ISNUMBER($C11:AS11)))),
lastVal + 'K dynamique'!AS11 * ((SQRT('Résultats des tournois'!AS$2 + 1)/'Résultats des tournois'!AS11) - (1 / (1 + 10^((AS$103 - lastVal)/400)))))
)
))"),"")</f>
        <v/>
      </c>
      <c r="AU11" s="32" t="str">
        <f>IFERROR(__xludf.DUMMYFUNCTION("IF('Résultats des tournois'!AT$2=0,"""",LET(
lastVal, INDEX(FILTER($B11:AT11, ISNUMBER($B11:AT11)), COUNTA(FILTER($B11:AT11, ISNUMBER($B11:AT11)))),
IFERROR(
IF('Résultats des tournois'!AT11="""", INDEX(FILTER($C11:AT11, ISNUMBER($C11:AT11)), COUNTA(FILTE"&amp;"R($C11:AT11, ISNUMBER($C11:AT11)))),
lastVal + 'K dynamique'!AT11 * ((SQRT('Résultats des tournois'!AT$2 + 1)/'Résultats des tournois'!AT11) - (1 / (1 + 10^((AT$103 - lastVal)/400)))))
)
))"),"")</f>
        <v/>
      </c>
      <c r="AV11" s="32" t="str">
        <f>IFERROR(__xludf.DUMMYFUNCTION("IF('Résultats des tournois'!AU$2=0,"""",LET(
lastVal, INDEX(FILTER($B11:AU11, ISNUMBER($B11:AU11)), COUNTA(FILTER($B11:AU11, ISNUMBER($B11:AU11)))),
IFERROR(
IF('Résultats des tournois'!AU11="""", INDEX(FILTER($C11:AU11, ISNUMBER($C11:AU11)), COUNTA(FILTE"&amp;"R($C11:AU11, ISNUMBER($C11:AU11)))),
lastVal + 'K dynamique'!AU11 * ((SQRT('Résultats des tournois'!AU$2 + 1)/'Résultats des tournois'!AU11) - (1 / (1 + 10^((AU$103 - lastVal)/400)))))
)
))"),"")</f>
        <v/>
      </c>
      <c r="AW11" s="32" t="str">
        <f>IFERROR(__xludf.DUMMYFUNCTION("IF('Résultats des tournois'!AV$2=0,"""",LET(
lastVal, INDEX(FILTER($B11:AV11, ISNUMBER($B11:AV11)), COUNTA(FILTER($B11:AV11, ISNUMBER($B11:AV11)))),
IFERROR(
IF('Résultats des tournois'!AV11="""", INDEX(FILTER($C11:AV11, ISNUMBER($C11:AV11)), COUNTA(FILTE"&amp;"R($C11:AV11, ISNUMBER($C11:AV11)))),
lastVal + 'K dynamique'!AV11 * ((SQRT('Résultats des tournois'!AV$2 + 1)/'Résultats des tournois'!AV11) - (1 / (1 + 10^((AV$103 - lastVal)/400)))))
)
))"),"")</f>
        <v/>
      </c>
      <c r="AX11" s="32" t="str">
        <f>IFERROR(__xludf.DUMMYFUNCTION("IF('Résultats des tournois'!AW$2=0,"""",LET(
lastVal, INDEX(FILTER($B11:AW11, ISNUMBER($B11:AW11)), COUNTA(FILTER($B11:AW11, ISNUMBER($B11:AW11)))),
IFERROR(
IF('Résultats des tournois'!AW11="""", INDEX(FILTER($C11:AW11, ISNUMBER($C11:AW11)), COUNTA(FILTE"&amp;"R($C11:AW11, ISNUMBER($C11:AW11)))),
lastVal + 'K dynamique'!AW11 * ((SQRT('Résultats des tournois'!AW$2 + 1)/'Résultats des tournois'!AW11) - (1 / (1 + 10^((AW$103 - lastVal)/400)))))
)
))"),"")</f>
        <v/>
      </c>
      <c r="AY11" s="32" t="str">
        <f>IFERROR(__xludf.DUMMYFUNCTION("IF('Résultats des tournois'!AX$2=0,"""",LET(
lastVal, INDEX(FILTER($B11:AX11, ISNUMBER($B11:AX11)), COUNTA(FILTER($B11:AX11, ISNUMBER($B11:AX11)))),
IFERROR(
IF('Résultats des tournois'!AX11="""", INDEX(FILTER($C11:AX11, ISNUMBER($C11:AX11)), COUNTA(FILTE"&amp;"R($C11:AX11, ISNUMBER($C11:AX11)))),
lastVal + 'K dynamique'!AX11 * ((SQRT('Résultats des tournois'!AX$2 + 1)/'Résultats des tournois'!AX11) - (1 / (1 + 10^((AX$103 - lastVal)/400)))))
)
))"),"")</f>
        <v/>
      </c>
      <c r="AZ11" s="4">
        <f t="array" ref="AZ11">IF(MAX(($C11:AY11&lt;&gt;"")*COLUMN($C11:AY11))=0,"",INDEX($C11:AY11,1,MAX(($C11:AY11&lt;&gt;"")*COLUMN($C11:AY11))-COLUMN($C11)+1))</f>
        <v>1505.745709</v>
      </c>
      <c r="BA11" s="33">
        <f t="shared" si="1"/>
        <v>19</v>
      </c>
    </row>
    <row r="12" ht="14.25" customHeight="1">
      <c r="A12" s="32" t="str">
        <f>IF('Résultats des tournois'!A12="","",'Résultats des tournois'!A12)</f>
        <v>Meruem</v>
      </c>
      <c r="B12" s="32">
        <v>1500.0</v>
      </c>
      <c r="C12" s="32">
        <f>IF('Résultats des tournois'!B12="","",B12+'K dynamique'!B12*((SQRT('Résultats des tournois'!B$2+1)/'Résultats des tournois'!B12)-(1/(1+10^((B12-B12)/400)))))</f>
        <v>1523.911012</v>
      </c>
      <c r="D12" s="32">
        <f>IFERROR(__xludf.DUMMYFUNCTION("IF('Résultats des tournois'!C$2=0,"""",LET(
lastVal, INDEX(FILTER($B12:C12, ISNUMBER($B12:C12)), COUNTA(FILTER($B12:C12, ISNUMBER($B12:C12)))),
IFERROR(
IF('Résultats des tournois'!C12="""", INDEX(FILTER($C12:C12, ISNUMBER($C12:C12)), COUNTA(FILTER($C12:C"&amp;"12, ISNUMBER($C12:C12)))),
lastVal + 'K dynamique'!C12 * ((SQRT('Résultats des tournois'!C$2 + 1)/'Résultats des tournois'!C12) - (1 / (1 + 10^((C$103 - lastVal)/400)))))
)
))"),1618.2732900625379)</f>
        <v>1618.27329</v>
      </c>
      <c r="E12" s="32">
        <f>IFERROR(__xludf.DUMMYFUNCTION("IF('Résultats des tournois'!D$2=0,"""",LET(
lastVal, INDEX(FILTER($B12:D12, ISNUMBER($B12:D12)), COUNTA(FILTER($B12:D12, ISNUMBER($B12:D12)))),
IFERROR(
IF('Résultats des tournois'!D12="""", INDEX(FILTER($C12:D12, ISNUMBER($C12:D12)), COUNTA(FILTER($C12:D"&amp;"12, ISNUMBER($C12:D12)))),
lastVal + 'K dynamique'!D12 * ((SQRT('Résultats des tournois'!D$2 + 1)/'Résultats des tournois'!D12) - (1 / (1 + 10^((D$103 - lastVal)/400)))))
)
))"),1659.990293311628)</f>
        <v>1659.990293</v>
      </c>
      <c r="F12" s="32">
        <f>IFERROR(__xludf.DUMMYFUNCTION("IF('Résultats des tournois'!E$2=0,"""",LET(
lastVal, INDEX(FILTER($B12:E12, ISNUMBER($B12:E12)), COUNTA(FILTER($B12:E12, ISNUMBER($B12:E12)))),
IFERROR(
IF('Résultats des tournois'!E12="""", INDEX(FILTER($C12:E12, ISNUMBER($C12:E12)), COUNTA(FILTER($C12:E"&amp;"12, ISNUMBER($C12:E12)))),
lastVal + 'K dynamique'!E12 * ((SQRT('Résultats des tournois'!E$2 + 1)/'Résultats des tournois'!E12) - (1 / (1 + 10^((E$103 - lastVal)/400)))))
)
))"),1749.1989589804573)</f>
        <v>1749.198959</v>
      </c>
      <c r="G12" s="32">
        <f>IFERROR(__xludf.DUMMYFUNCTION("IF('Résultats des tournois'!F$2=0,"""",LET(
lastVal, INDEX(FILTER($B12:F12, ISNUMBER($B12:F12)), COUNTA(FILTER($B12:F12, ISNUMBER($B12:F12)))),
IFERROR(
IF('Résultats des tournois'!F12="""", INDEX(FILTER($C12:F12, ISNUMBER($C12:F12)), COUNTA(FILTER($C12:F"&amp;"12, ISNUMBER($C12:F12)))),
lastVal + 'K dynamique'!F12 * ((SQRT('Résultats des tournois'!F$2 + 1)/'Résultats des tournois'!F12) - (1 / (1 + 10^((F$103 - lastVal)/400)))))
)
))"),1734.2490833584707)</f>
        <v>1734.249083</v>
      </c>
      <c r="H12" s="32">
        <f>IFERROR(__xludf.DUMMYFUNCTION("IF('Résultats des tournois'!G$2=0,"""",LET(
lastVal, INDEX(FILTER($B12:G12, ISNUMBER($B12:G12)), COUNTA(FILTER($B12:G12, ISNUMBER($B12:G12)))),
IFERROR(
IF('Résultats des tournois'!G12="""", INDEX(FILTER($C12:G12, ISNUMBER($C12:G12)), COUNTA(FILTER($C12:G"&amp;"12, ISNUMBER($C12:G12)))),
lastVal + 'K dynamique'!G12 * ((SQRT('Résultats des tournois'!G$2 + 1)/'Résultats des tournois'!G12) - (1 / (1 + 10^((G$103 - lastVal)/400)))))
)
))"),1726.002742563657)</f>
        <v>1726.002743</v>
      </c>
      <c r="I12" s="32">
        <f>IFERROR(__xludf.DUMMYFUNCTION("IF('Résultats des tournois'!H$2=0,"""",LET(
lastVal, INDEX(FILTER($B12:H12, ISNUMBER($B12:H12)), COUNTA(FILTER($B12:H12, ISNUMBER($B12:H12)))),
IFERROR(
IF('Résultats des tournois'!H12="""", INDEX(FILTER($C12:H12, ISNUMBER($C12:H12)), COUNTA(FILTER($C12:H"&amp;"12, ISNUMBER($C12:H12)))),
lastVal + 'K dynamique'!H12 * ((SQRT('Résultats des tournois'!H$2 + 1)/'Résultats des tournois'!H12) - (1 / (1 + 10^((H$103 - lastVal)/400)))))
)
))"),1715.962898941876)</f>
        <v>1715.962899</v>
      </c>
      <c r="J12" s="32">
        <f>IFERROR(__xludf.DUMMYFUNCTION("IF('Résultats des tournois'!I$2=0,"""",LET(
lastVal, INDEX(FILTER($B12:I12, ISNUMBER($B12:I12)), COUNTA(FILTER($B12:I12, ISNUMBER($B12:I12)))),
IFERROR(
IF('Résultats des tournois'!I12="""", INDEX(FILTER($C12:I12, ISNUMBER($C12:I12)), COUNTA(FILTER($C12:I"&amp;"12, ISNUMBER($C12:I12)))),
lastVal + 'K dynamique'!I12 * ((SQRT('Résultats des tournois'!I$2 + 1)/'Résultats des tournois'!I12) - (1 / (1 + 10^((I$103 - lastVal)/400)))))
)
))"),1738.6060326981556)</f>
        <v>1738.606033</v>
      </c>
      <c r="K12" s="32">
        <f>IFERROR(__xludf.DUMMYFUNCTION("IF('Résultats des tournois'!J$2=0,"""",LET(
lastVal, INDEX(FILTER($B12:J12, ISNUMBER($B12:J12)), COUNTA(FILTER($B12:J12, ISNUMBER($B12:J12)))),
IFERROR(
IF('Résultats des tournois'!J12="""", INDEX(FILTER($C12:J12, ISNUMBER($C12:J12)), COUNTA(FILTER($C12:J"&amp;"12, ISNUMBER($C12:J12)))),
lastVal + 'K dynamique'!J12 * ((SQRT('Résultats des tournois'!J$2 + 1)/'Résultats des tournois'!J12) - (1 / (1 + 10^((J$103 - lastVal)/400)))))
)
))"),1736.969760848135)</f>
        <v>1736.969761</v>
      </c>
      <c r="L12" s="32">
        <f>IFERROR(__xludf.DUMMYFUNCTION("IF('Résultats des tournois'!K$2=0,"""",LET(
lastVal, INDEX(FILTER($B12:K12, ISNUMBER($B12:K12)), COUNTA(FILTER($B12:K12, ISNUMBER($B12:K12)))),
IFERROR(
IF('Résultats des tournois'!K12="""", INDEX(FILTER($C12:K12, ISNUMBER($C12:K12)), COUNTA(FILTER($C12:K"&amp;"12, ISNUMBER($C12:K12)))),
lastVal + 'K dynamique'!K12 * ((SQRT('Résultats des tournois'!K$2 + 1)/'Résultats des tournois'!K12) - (1 / (1 + 10^((K$103 - lastVal)/400)))))
)
))"),1731.6005658748848)</f>
        <v>1731.600566</v>
      </c>
      <c r="M12" s="32">
        <f>IFERROR(__xludf.DUMMYFUNCTION("IF('Résultats des tournois'!L$2=0,"""",LET(
lastVal, INDEX(FILTER($B12:L12, ISNUMBER($B12:L12)), COUNTA(FILTER($B12:L12, ISNUMBER($B12:L12)))),
IFERROR(
IF('Résultats des tournois'!L12="""", INDEX(FILTER($C12:L12, ISNUMBER($C12:L12)), COUNTA(FILTER($C12:L"&amp;"12, ISNUMBER($C12:L12)))),
lastVal + 'K dynamique'!L12 * ((SQRT('Résultats des tournois'!L$2 + 1)/'Résultats des tournois'!L12) - (1 / (1 + 10^((L$103 - lastVal)/400)))))
)
))"),1722.7938027757152)</f>
        <v>1722.793803</v>
      </c>
      <c r="N12" s="32" t="str">
        <f>IFERROR(__xludf.DUMMYFUNCTION("IF('Résultats des tournois'!M$2=0,"""",LET(
lastVal, INDEX(FILTER($B12:M12, ISNUMBER($B12:M12)), COUNTA(FILTER($B12:M12, ISNUMBER($B12:M12)))),
IFERROR(
IF('Résultats des tournois'!M12="""", INDEX(FILTER($C12:M12, ISNUMBER($C12:M12)), COUNTA(FILTER($C12:M"&amp;"12, ISNUMBER($C12:M12)))),
lastVal + 'K dynamique'!M12 * ((SQRT('Résultats des tournois'!M$2 + 1)/'Résultats des tournois'!M12) - (1 / (1 + 10^((M$103 - lastVal)/400)))))
)
))"),"")</f>
        <v/>
      </c>
      <c r="O12" s="32" t="str">
        <f>IFERROR(__xludf.DUMMYFUNCTION("IF('Résultats des tournois'!N$2=0,"""",LET(
lastVal, INDEX(FILTER($B12:N12, ISNUMBER($B12:N12)), COUNTA(FILTER($B12:N12, ISNUMBER($B12:N12)))),
IFERROR(
IF('Résultats des tournois'!N12="""", INDEX(FILTER($C12:N12, ISNUMBER($C12:N12)), COUNTA(FILTER($C12:N"&amp;"12, ISNUMBER($C12:N12)))),
lastVal + 'K dynamique'!N12 * ((SQRT('Résultats des tournois'!N$2 + 1)/'Résultats des tournois'!N12) - (1 / (1 + 10^((N$103 - lastVal)/400)))))
)
))"),"")</f>
        <v/>
      </c>
      <c r="P12" s="32" t="str">
        <f>IFERROR(__xludf.DUMMYFUNCTION("IF('Résultats des tournois'!O$2=0,"""",LET(
lastVal, INDEX(FILTER($B12:O12, ISNUMBER($B12:O12)), COUNTA(FILTER($B12:O12, ISNUMBER($B12:O12)))),
IFERROR(
IF('Résultats des tournois'!O12="""", INDEX(FILTER($C12:O12, ISNUMBER($C12:O12)), COUNTA(FILTER($C12:O"&amp;"12, ISNUMBER($C12:O12)))),
lastVal + 'K dynamique'!O12 * ((SQRT('Résultats des tournois'!O$2 + 1)/'Résultats des tournois'!O12) - (1 / (1 + 10^((O$103 - lastVal)/400)))))
)
))"),"")</f>
        <v/>
      </c>
      <c r="Q12" s="32" t="str">
        <f>IFERROR(__xludf.DUMMYFUNCTION("IF('Résultats des tournois'!P$2=0,"""",LET(
lastVal, INDEX(FILTER($B12:P12, ISNUMBER($B12:P12)), COUNTA(FILTER($B12:P12, ISNUMBER($B12:P12)))),
IFERROR(
IF('Résultats des tournois'!P12="""", INDEX(FILTER($C12:P12, ISNUMBER($C12:P12)), COUNTA(FILTER($C12:P"&amp;"12, ISNUMBER($C12:P12)))),
lastVal + 'K dynamique'!P12 * ((SQRT('Résultats des tournois'!P$2 + 1)/'Résultats des tournois'!P12) - (1 / (1 + 10^((P$103 - lastVal)/400)))))
)
))"),"")</f>
        <v/>
      </c>
      <c r="R12" s="32" t="str">
        <f>IFERROR(__xludf.DUMMYFUNCTION("IF('Résultats des tournois'!Q$2=0,"""",LET(
lastVal, INDEX(FILTER($B12:Q12, ISNUMBER($B12:Q12)), COUNTA(FILTER($B12:Q12, ISNUMBER($B12:Q12)))),
IFERROR(
IF('Résultats des tournois'!Q12="""", INDEX(FILTER($C12:Q12, ISNUMBER($C12:Q12)), COUNTA(FILTER($C12:Q"&amp;"12, ISNUMBER($C12:Q12)))),
lastVal + 'K dynamique'!Q12 * ((SQRT('Résultats des tournois'!Q$2 + 1)/'Résultats des tournois'!Q12) - (1 / (1 + 10^((Q$103 - lastVal)/400)))))
)
))"),"")</f>
        <v/>
      </c>
      <c r="S12" s="32" t="str">
        <f>IFERROR(__xludf.DUMMYFUNCTION("IF('Résultats des tournois'!R$2=0,"""",LET(
lastVal, INDEX(FILTER($B12:R12, ISNUMBER($B12:R12)), COUNTA(FILTER($B12:R12, ISNUMBER($B12:R12)))),
IFERROR(
IF('Résultats des tournois'!R12="""", INDEX(FILTER($C12:R12, ISNUMBER($C12:R12)), COUNTA(FILTER($C12:R"&amp;"12, ISNUMBER($C12:R12)))),
lastVal + 'K dynamique'!R12 * ((SQRT('Résultats des tournois'!R$2 + 1)/'Résultats des tournois'!R12) - (1 / (1 + 10^((R$103 - lastVal)/400)))))
)
))"),"")</f>
        <v/>
      </c>
      <c r="T12" s="32" t="str">
        <f>IFERROR(__xludf.DUMMYFUNCTION("IF('Résultats des tournois'!S$2=0,"""",LET(
lastVal, INDEX(FILTER($B12:S12, ISNUMBER($B12:S12)), COUNTA(FILTER($B12:S12, ISNUMBER($B12:S12)))),
IFERROR(
IF('Résultats des tournois'!S12="""", INDEX(FILTER($C12:S12, ISNUMBER($C12:S12)), COUNTA(FILTER($C12:S"&amp;"12, ISNUMBER($C12:S12)))),
lastVal + 'K dynamique'!S12 * ((SQRT('Résultats des tournois'!S$2 + 1)/'Résultats des tournois'!S12) - (1 / (1 + 10^((S$103 - lastVal)/400)))))
)
))"),"")</f>
        <v/>
      </c>
      <c r="U12" s="32" t="str">
        <f>IFERROR(__xludf.DUMMYFUNCTION("IF('Résultats des tournois'!T$2=0,"""",LET(
lastVal, INDEX(FILTER($B12:T12, ISNUMBER($B12:T12)), COUNTA(FILTER($B12:T12, ISNUMBER($B12:T12)))),
IFERROR(
IF('Résultats des tournois'!T12="""", INDEX(FILTER($C12:T12, ISNUMBER($C12:T12)), COUNTA(FILTER($C12:T"&amp;"12, ISNUMBER($C12:T12)))),
lastVal + 'K dynamique'!T12 * ((SQRT('Résultats des tournois'!T$2 + 1)/'Résultats des tournois'!T12) - (1 / (1 + 10^((T$103 - lastVal)/400)))))
)
))"),"")</f>
        <v/>
      </c>
      <c r="V12" s="32" t="str">
        <f>IFERROR(__xludf.DUMMYFUNCTION("IF('Résultats des tournois'!U$2=0,"""",LET(
lastVal, INDEX(FILTER($B12:U12, ISNUMBER($B12:U12)), COUNTA(FILTER($B12:U12, ISNUMBER($B12:U12)))),
IFERROR(
IF('Résultats des tournois'!U12="""", INDEX(FILTER($C12:U12, ISNUMBER($C12:U12)), COUNTA(FILTER($C12:U"&amp;"12, ISNUMBER($C12:U12)))),
lastVal + 'K dynamique'!U12 * ((SQRT('Résultats des tournois'!U$2 + 1)/'Résultats des tournois'!U12) - (1 / (1 + 10^((U$103 - lastVal)/400)))))
)
))"),"")</f>
        <v/>
      </c>
      <c r="W12" s="32" t="str">
        <f>IFERROR(__xludf.DUMMYFUNCTION("IF('Résultats des tournois'!V$2=0,"""",LET(
lastVal, INDEX(FILTER($B12:V12, ISNUMBER($B12:V12)), COUNTA(FILTER($B12:V12, ISNUMBER($B12:V12)))),
IFERROR(
IF('Résultats des tournois'!V12="""", INDEX(FILTER($C12:V12, ISNUMBER($C12:V12)), COUNTA(FILTER($C12:V"&amp;"12, ISNUMBER($C12:V12)))),
lastVal + 'K dynamique'!V12 * ((SQRT('Résultats des tournois'!V$2 + 1)/'Résultats des tournois'!V12) - (1 / (1 + 10^((V$103 - lastVal)/400)))))
)
))"),"")</f>
        <v/>
      </c>
      <c r="X12" s="32" t="str">
        <f>IFERROR(__xludf.DUMMYFUNCTION("IF('Résultats des tournois'!W$2=0,"""",LET(
lastVal, INDEX(FILTER($B12:W12, ISNUMBER($B12:W12)), COUNTA(FILTER($B12:W12, ISNUMBER($B12:W12)))),
IFERROR(
IF('Résultats des tournois'!W12="""", INDEX(FILTER($C12:W12, ISNUMBER($C12:W12)), COUNTA(FILTER($C12:W"&amp;"12, ISNUMBER($C12:W12)))),
lastVal + 'K dynamique'!W12 * ((SQRT('Résultats des tournois'!W$2 + 1)/'Résultats des tournois'!W12) - (1 / (1 + 10^((W$103 - lastVal)/400)))))
)
))"),"")</f>
        <v/>
      </c>
      <c r="Y12" s="32" t="str">
        <f>IFERROR(__xludf.DUMMYFUNCTION("IF('Résultats des tournois'!X$2=0,"""",LET(
lastVal, INDEX(FILTER($B12:X12, ISNUMBER($B12:X12)), COUNTA(FILTER($B12:X12, ISNUMBER($B12:X12)))),
IFERROR(
IF('Résultats des tournois'!X12="""", INDEX(FILTER($C12:X12, ISNUMBER($C12:X12)), COUNTA(FILTER($C12:X"&amp;"12, ISNUMBER($C12:X12)))),
lastVal + 'K dynamique'!X12 * ((SQRT('Résultats des tournois'!X$2 + 1)/'Résultats des tournois'!X12) - (1 / (1 + 10^((X$103 - lastVal)/400)))))
)
))"),"")</f>
        <v/>
      </c>
      <c r="Z12" s="32" t="str">
        <f>IFERROR(__xludf.DUMMYFUNCTION("IF('Résultats des tournois'!Y$2=0,"""",LET(
lastVal, INDEX(FILTER($B12:Y12, ISNUMBER($B12:Y12)), COUNTA(FILTER($B12:Y12, ISNUMBER($B12:Y12)))),
IFERROR(
IF('Résultats des tournois'!Y12="""", INDEX(FILTER($C12:Y12, ISNUMBER($C12:Y12)), COUNTA(FILTER($C12:Y"&amp;"12, ISNUMBER($C12:Y12)))),
lastVal + 'K dynamique'!Y12 * ((SQRT('Résultats des tournois'!Y$2 + 1)/'Résultats des tournois'!Y12) - (1 / (1 + 10^((Y$103 - lastVal)/400)))))
)
))"),"")</f>
        <v/>
      </c>
      <c r="AA12" s="32" t="str">
        <f>IFERROR(__xludf.DUMMYFUNCTION("IF('Résultats des tournois'!Z$2=0,"""",LET(
lastVal, INDEX(FILTER($B12:Z12, ISNUMBER($B12:Z12)), COUNTA(FILTER($B12:Z12, ISNUMBER($B12:Z12)))),
IFERROR(
IF('Résultats des tournois'!Z12="""", INDEX(FILTER($C12:Z12, ISNUMBER($C12:Z12)), COUNTA(FILTER($C12:Z"&amp;"12, ISNUMBER($C12:Z12)))),
lastVal + 'K dynamique'!Z12 * ((SQRT('Résultats des tournois'!Z$2 + 1)/'Résultats des tournois'!Z12) - (1 / (1 + 10^((Z$103 - lastVal)/400)))))
)
))"),"")</f>
        <v/>
      </c>
      <c r="AB12" s="32" t="str">
        <f>IFERROR(__xludf.DUMMYFUNCTION("IF('Résultats des tournois'!AA$2=0,"""",LET(
lastVal, INDEX(FILTER($B12:AA12, ISNUMBER($B12:AA12)), COUNTA(FILTER($B12:AA12, ISNUMBER($B12:AA12)))),
IFERROR(
IF('Résultats des tournois'!AA12="""", INDEX(FILTER($C12:AA12, ISNUMBER($C12:AA12)), COUNTA(FILTE"&amp;"R($C12:AA12, ISNUMBER($C12:AA12)))),
lastVal + 'K dynamique'!AA12 * ((SQRT('Résultats des tournois'!AA$2 + 1)/'Résultats des tournois'!AA12) - (1 / (1 + 10^((AA$103 - lastVal)/400)))))
)
))"),"")</f>
        <v/>
      </c>
      <c r="AC12" s="32" t="str">
        <f>IFERROR(__xludf.DUMMYFUNCTION("IF('Résultats des tournois'!AB$2=0,"""",LET(
lastVal, INDEX(FILTER($B12:AB12, ISNUMBER($B12:AB12)), COUNTA(FILTER($B12:AB12, ISNUMBER($B12:AB12)))),
IFERROR(
IF('Résultats des tournois'!AB12="""", INDEX(FILTER($C12:AB12, ISNUMBER($C12:AB12)), COUNTA(FILTE"&amp;"R($C12:AB12, ISNUMBER($C12:AB12)))),
lastVal + 'K dynamique'!AB12 * ((SQRT('Résultats des tournois'!AB$2 + 1)/'Résultats des tournois'!AB12) - (1 / (1 + 10^((AB$103 - lastVal)/400)))))
)
))"),"")</f>
        <v/>
      </c>
      <c r="AD12" s="32" t="str">
        <f>IFERROR(__xludf.DUMMYFUNCTION("IF('Résultats des tournois'!AC$2=0,"""",LET(
lastVal, INDEX(FILTER($B12:AC12, ISNUMBER($B12:AC12)), COUNTA(FILTER($B12:AC12, ISNUMBER($B12:AC12)))),
IFERROR(
IF('Résultats des tournois'!AC12="""", INDEX(FILTER($C12:AC12, ISNUMBER($C12:AC12)), COUNTA(FILTE"&amp;"R($C12:AC12, ISNUMBER($C12:AC12)))),
lastVal + 'K dynamique'!AC12 * ((SQRT('Résultats des tournois'!AC$2 + 1)/'Résultats des tournois'!AC12) - (1 / (1 + 10^((AC$103 - lastVal)/400)))))
)
))"),"")</f>
        <v/>
      </c>
      <c r="AE12" s="32" t="str">
        <f>IFERROR(__xludf.DUMMYFUNCTION("IF('Résultats des tournois'!AD$2=0,"""",LET(
lastVal, INDEX(FILTER($B12:AD12, ISNUMBER($B12:AD12)), COUNTA(FILTER($B12:AD12, ISNUMBER($B12:AD12)))),
IFERROR(
IF('Résultats des tournois'!AD12="""", INDEX(FILTER($C12:AD12, ISNUMBER($C12:AD12)), COUNTA(FILTE"&amp;"R($C12:AD12, ISNUMBER($C12:AD12)))),
lastVal + 'K dynamique'!AD12 * ((SQRT('Résultats des tournois'!AD$2 + 1)/'Résultats des tournois'!AD12) - (1 / (1 + 10^((AD$103 - lastVal)/400)))))
)
))"),"")</f>
        <v/>
      </c>
      <c r="AF12" s="32" t="str">
        <f>IFERROR(__xludf.DUMMYFUNCTION("IF('Résultats des tournois'!AE$2=0,"""",LET(
lastVal, INDEX(FILTER($B12:AE12, ISNUMBER($B12:AE12)), COUNTA(FILTER($B12:AE12, ISNUMBER($B12:AE12)))),
IFERROR(
IF('Résultats des tournois'!AE12="""", INDEX(FILTER($C12:AE12, ISNUMBER($C12:AE12)), COUNTA(FILTE"&amp;"R($C12:AE12, ISNUMBER($C12:AE12)))),
lastVal + 'K dynamique'!AE12 * ((SQRT('Résultats des tournois'!AE$2 + 1)/'Résultats des tournois'!AE12) - (1 / (1 + 10^((AE$103 - lastVal)/400)))))
)
))"),"")</f>
        <v/>
      </c>
      <c r="AG12" s="32" t="str">
        <f>IFERROR(__xludf.DUMMYFUNCTION("IF('Résultats des tournois'!AF$2=0,"""",LET(
lastVal, INDEX(FILTER($B12:AF12, ISNUMBER($B12:AF12)), COUNTA(FILTER($B12:AF12, ISNUMBER($B12:AF12)))),
IFERROR(
IF('Résultats des tournois'!AF12="""", INDEX(FILTER($C12:AF12, ISNUMBER($C12:AF12)), COUNTA(FILTE"&amp;"R($C12:AF12, ISNUMBER($C12:AF12)))),
lastVal + 'K dynamique'!AF12 * ((SQRT('Résultats des tournois'!AF$2 + 1)/'Résultats des tournois'!AF12) - (1 / (1 + 10^((AF$103 - lastVal)/400)))))
)
))"),"")</f>
        <v/>
      </c>
      <c r="AH12" s="32" t="str">
        <f>IFERROR(__xludf.DUMMYFUNCTION("IF('Résultats des tournois'!AG$2=0,"""",LET(
lastVal, INDEX(FILTER($B12:AG12, ISNUMBER($B12:AG12)), COUNTA(FILTER($B12:AG12, ISNUMBER($B12:AG12)))),
IFERROR(
IF('Résultats des tournois'!AG12="""", INDEX(FILTER($C12:AG12, ISNUMBER($C12:AG12)), COUNTA(FILTE"&amp;"R($C12:AG12, ISNUMBER($C12:AG12)))),
lastVal + 'K dynamique'!AG12 * ((SQRT('Résultats des tournois'!AG$2 + 1)/'Résultats des tournois'!AG12) - (1 / (1 + 10^((AG$103 - lastVal)/400)))))
)
))"),"")</f>
        <v/>
      </c>
      <c r="AI12" s="32" t="str">
        <f>IFERROR(__xludf.DUMMYFUNCTION("IF('Résultats des tournois'!AH$2=0,"""",LET(
lastVal, INDEX(FILTER($B12:AH12, ISNUMBER($B12:AH12)), COUNTA(FILTER($B12:AH12, ISNUMBER($B12:AH12)))),
IFERROR(
IF('Résultats des tournois'!AH12="""", INDEX(FILTER($C12:AH12, ISNUMBER($C12:AH12)), COUNTA(FILTE"&amp;"R($C12:AH12, ISNUMBER($C12:AH12)))),
lastVal + 'K dynamique'!AH12 * ((SQRT('Résultats des tournois'!AH$2 + 1)/'Résultats des tournois'!AH12) - (1 / (1 + 10^((AH$103 - lastVal)/400)))))
)
))"),"")</f>
        <v/>
      </c>
      <c r="AJ12" s="32" t="str">
        <f>IFERROR(__xludf.DUMMYFUNCTION("IF('Résultats des tournois'!AI$2=0,"""",LET(
lastVal, INDEX(FILTER($B12:AI12, ISNUMBER($B12:AI12)), COUNTA(FILTER($B12:AI12, ISNUMBER($B12:AI12)))),
IFERROR(
IF('Résultats des tournois'!AI12="""", INDEX(FILTER($C12:AI12, ISNUMBER($C12:AI12)), COUNTA(FILTE"&amp;"R($C12:AI12, ISNUMBER($C12:AI12)))),
lastVal + 'K dynamique'!AI12 * ((SQRT('Résultats des tournois'!AI$2 + 1)/'Résultats des tournois'!AI12) - (1 / (1 + 10^((AI$103 - lastVal)/400)))))
)
))"),"")</f>
        <v/>
      </c>
      <c r="AK12" s="32" t="str">
        <f>IFERROR(__xludf.DUMMYFUNCTION("IF('Résultats des tournois'!AJ$2=0,"""",LET(
lastVal, INDEX(FILTER($B12:AJ12, ISNUMBER($B12:AJ12)), COUNTA(FILTER($B12:AJ12, ISNUMBER($B12:AJ12)))),
IFERROR(
IF('Résultats des tournois'!AJ12="""", INDEX(FILTER($C12:AJ12, ISNUMBER($C12:AJ12)), COUNTA(FILTE"&amp;"R($C12:AJ12, ISNUMBER($C12:AJ12)))),
lastVal + 'K dynamique'!AJ12 * ((SQRT('Résultats des tournois'!AJ$2 + 1)/'Résultats des tournois'!AJ12) - (1 / (1 + 10^((AJ$103 - lastVal)/400)))))
)
))"),"")</f>
        <v/>
      </c>
      <c r="AL12" s="32" t="str">
        <f>IFERROR(__xludf.DUMMYFUNCTION("IF('Résultats des tournois'!AK$2=0,"""",LET(
lastVal, INDEX(FILTER($B12:AK12, ISNUMBER($B12:AK12)), COUNTA(FILTER($B12:AK12, ISNUMBER($B12:AK12)))),
IFERROR(
IF('Résultats des tournois'!AK12="""", INDEX(FILTER($C12:AK12, ISNUMBER($C12:AK12)), COUNTA(FILTE"&amp;"R($C12:AK12, ISNUMBER($C12:AK12)))),
lastVal + 'K dynamique'!AK12 * ((SQRT('Résultats des tournois'!AK$2 + 1)/'Résultats des tournois'!AK12) - (1 / (1 + 10^((AK$103 - lastVal)/400)))))
)
))"),"")</f>
        <v/>
      </c>
      <c r="AM12" s="32" t="str">
        <f>IFERROR(__xludf.DUMMYFUNCTION("IF('Résultats des tournois'!AL$2=0,"""",LET(
lastVal, INDEX(FILTER($B12:AL12, ISNUMBER($B12:AL12)), COUNTA(FILTER($B12:AL12, ISNUMBER($B12:AL12)))),
IFERROR(
IF('Résultats des tournois'!AL12="""", INDEX(FILTER($C12:AL12, ISNUMBER($C12:AL12)), COUNTA(FILTE"&amp;"R($C12:AL12, ISNUMBER($C12:AL12)))),
lastVal + 'K dynamique'!AL12 * ((SQRT('Résultats des tournois'!AL$2 + 1)/'Résultats des tournois'!AL12) - (1 / (1 + 10^((AL$103 - lastVal)/400)))))
)
))"),"")</f>
        <v/>
      </c>
      <c r="AN12" s="32" t="str">
        <f>IFERROR(__xludf.DUMMYFUNCTION("IF('Résultats des tournois'!AM$2=0,"""",LET(
lastVal, INDEX(FILTER($B12:AM12, ISNUMBER($B12:AM12)), COUNTA(FILTER($B12:AM12, ISNUMBER($B12:AM12)))),
IFERROR(
IF('Résultats des tournois'!AM12="""", INDEX(FILTER($C12:AM12, ISNUMBER($C12:AM12)), COUNTA(FILTE"&amp;"R($C12:AM12, ISNUMBER($C12:AM12)))),
lastVal + 'K dynamique'!AM12 * ((SQRT('Résultats des tournois'!AM$2 + 1)/'Résultats des tournois'!AM12) - (1 / (1 + 10^((AM$103 - lastVal)/400)))))
)
))"),"")</f>
        <v/>
      </c>
      <c r="AO12" s="32" t="str">
        <f>IFERROR(__xludf.DUMMYFUNCTION("IF('Résultats des tournois'!AN$2=0,"""",LET(
lastVal, INDEX(FILTER($B12:AN12, ISNUMBER($B12:AN12)), COUNTA(FILTER($B12:AN12, ISNUMBER($B12:AN12)))),
IFERROR(
IF('Résultats des tournois'!AN12="""", INDEX(FILTER($C12:AN12, ISNUMBER($C12:AN12)), COUNTA(FILTE"&amp;"R($C12:AN12, ISNUMBER($C12:AN12)))),
lastVal + 'K dynamique'!AN12 * ((SQRT('Résultats des tournois'!AN$2 + 1)/'Résultats des tournois'!AN12) - (1 / (1 + 10^((AN$103 - lastVal)/400)))))
)
))"),"")</f>
        <v/>
      </c>
      <c r="AP12" s="32" t="str">
        <f>IFERROR(__xludf.DUMMYFUNCTION("IF('Résultats des tournois'!AO$2=0,"""",LET(
lastVal, INDEX(FILTER($B12:AO12, ISNUMBER($B12:AO12)), COUNTA(FILTER($B12:AO12, ISNUMBER($B12:AO12)))),
IFERROR(
IF('Résultats des tournois'!AO12="""", INDEX(FILTER($C12:AO12, ISNUMBER($C12:AO12)), COUNTA(FILTE"&amp;"R($C12:AO12, ISNUMBER($C12:AO12)))),
lastVal + 'K dynamique'!AO12 * ((SQRT('Résultats des tournois'!AO$2 + 1)/'Résultats des tournois'!AO12) - (1 / (1 + 10^((AO$103 - lastVal)/400)))))
)
))"),"")</f>
        <v/>
      </c>
      <c r="AQ12" s="32" t="str">
        <f>IFERROR(__xludf.DUMMYFUNCTION("IF('Résultats des tournois'!AP$2=0,"""",LET(
lastVal, INDEX(FILTER($B12:AP12, ISNUMBER($B12:AP12)), COUNTA(FILTER($B12:AP12, ISNUMBER($B12:AP12)))),
IFERROR(
IF('Résultats des tournois'!AP12="""", INDEX(FILTER($C12:AP12, ISNUMBER($C12:AP12)), COUNTA(FILTE"&amp;"R($C12:AP12, ISNUMBER($C12:AP12)))),
lastVal + 'K dynamique'!AP12 * ((SQRT('Résultats des tournois'!AP$2 + 1)/'Résultats des tournois'!AP12) - (1 / (1 + 10^((AP$103 - lastVal)/400)))))
)
))"),"")</f>
        <v/>
      </c>
      <c r="AR12" s="32" t="str">
        <f>IFERROR(__xludf.DUMMYFUNCTION("IF('Résultats des tournois'!AQ$2=0,"""",LET(
lastVal, INDEX(FILTER($B12:AQ12, ISNUMBER($B12:AQ12)), COUNTA(FILTER($B12:AQ12, ISNUMBER($B12:AQ12)))),
IFERROR(
IF('Résultats des tournois'!AQ12="""", INDEX(FILTER($C12:AQ12, ISNUMBER($C12:AQ12)), COUNTA(FILTE"&amp;"R($C12:AQ12, ISNUMBER($C12:AQ12)))),
lastVal + 'K dynamique'!AQ12 * ((SQRT('Résultats des tournois'!AQ$2 + 1)/'Résultats des tournois'!AQ12) - (1 / (1 + 10^((AQ$103 - lastVal)/400)))))
)
))"),"")</f>
        <v/>
      </c>
      <c r="AS12" s="32" t="str">
        <f>IFERROR(__xludf.DUMMYFUNCTION("IF('Résultats des tournois'!AR$2=0,"""",LET(
lastVal, INDEX(FILTER($B12:AR12, ISNUMBER($B12:AR12)), COUNTA(FILTER($B12:AR12, ISNUMBER($B12:AR12)))),
IFERROR(
IF('Résultats des tournois'!AR12="""", INDEX(FILTER($C12:AR12, ISNUMBER($C12:AR12)), COUNTA(FILTE"&amp;"R($C12:AR12, ISNUMBER($C12:AR12)))),
lastVal + 'K dynamique'!AR12 * ((SQRT('Résultats des tournois'!AR$2 + 1)/'Résultats des tournois'!AR12) - (1 / (1 + 10^((AR$103 - lastVal)/400)))))
)
))"),"")</f>
        <v/>
      </c>
      <c r="AT12" s="32" t="str">
        <f>IFERROR(__xludf.DUMMYFUNCTION("IF('Résultats des tournois'!AS$2=0,"""",LET(
lastVal, INDEX(FILTER($B12:AS12, ISNUMBER($B12:AS12)), COUNTA(FILTER($B12:AS12, ISNUMBER($B12:AS12)))),
IFERROR(
IF('Résultats des tournois'!AS12="""", INDEX(FILTER($C12:AS12, ISNUMBER($C12:AS12)), COUNTA(FILTE"&amp;"R($C12:AS12, ISNUMBER($C12:AS12)))),
lastVal + 'K dynamique'!AS12 * ((SQRT('Résultats des tournois'!AS$2 + 1)/'Résultats des tournois'!AS12) - (1 / (1 + 10^((AS$103 - lastVal)/400)))))
)
))"),"")</f>
        <v/>
      </c>
      <c r="AU12" s="32" t="str">
        <f>IFERROR(__xludf.DUMMYFUNCTION("IF('Résultats des tournois'!AT$2=0,"""",LET(
lastVal, INDEX(FILTER($B12:AT12, ISNUMBER($B12:AT12)), COUNTA(FILTER($B12:AT12, ISNUMBER($B12:AT12)))),
IFERROR(
IF('Résultats des tournois'!AT12="""", INDEX(FILTER($C12:AT12, ISNUMBER($C12:AT12)), COUNTA(FILTE"&amp;"R($C12:AT12, ISNUMBER($C12:AT12)))),
lastVal + 'K dynamique'!AT12 * ((SQRT('Résultats des tournois'!AT$2 + 1)/'Résultats des tournois'!AT12) - (1 / (1 + 10^((AT$103 - lastVal)/400)))))
)
))"),"")</f>
        <v/>
      </c>
      <c r="AV12" s="32" t="str">
        <f>IFERROR(__xludf.DUMMYFUNCTION("IF('Résultats des tournois'!AU$2=0,"""",LET(
lastVal, INDEX(FILTER($B12:AU12, ISNUMBER($B12:AU12)), COUNTA(FILTER($B12:AU12, ISNUMBER($B12:AU12)))),
IFERROR(
IF('Résultats des tournois'!AU12="""", INDEX(FILTER($C12:AU12, ISNUMBER($C12:AU12)), COUNTA(FILTE"&amp;"R($C12:AU12, ISNUMBER($C12:AU12)))),
lastVal + 'K dynamique'!AU12 * ((SQRT('Résultats des tournois'!AU$2 + 1)/'Résultats des tournois'!AU12) - (1 / (1 + 10^((AU$103 - lastVal)/400)))))
)
))"),"")</f>
        <v/>
      </c>
      <c r="AW12" s="32" t="str">
        <f>IFERROR(__xludf.DUMMYFUNCTION("IF('Résultats des tournois'!AV$2=0,"""",LET(
lastVal, INDEX(FILTER($B12:AV12, ISNUMBER($B12:AV12)), COUNTA(FILTER($B12:AV12, ISNUMBER($B12:AV12)))),
IFERROR(
IF('Résultats des tournois'!AV12="""", INDEX(FILTER($C12:AV12, ISNUMBER($C12:AV12)), COUNTA(FILTE"&amp;"R($C12:AV12, ISNUMBER($C12:AV12)))),
lastVal + 'K dynamique'!AV12 * ((SQRT('Résultats des tournois'!AV$2 + 1)/'Résultats des tournois'!AV12) - (1 / (1 + 10^((AV$103 - lastVal)/400)))))
)
))"),"")</f>
        <v/>
      </c>
      <c r="AX12" s="32" t="str">
        <f>IFERROR(__xludf.DUMMYFUNCTION("IF('Résultats des tournois'!AW$2=0,"""",LET(
lastVal, INDEX(FILTER($B12:AW12, ISNUMBER($B12:AW12)), COUNTA(FILTER($B12:AW12, ISNUMBER($B12:AW12)))),
IFERROR(
IF('Résultats des tournois'!AW12="""", INDEX(FILTER($C12:AW12, ISNUMBER($C12:AW12)), COUNTA(FILTE"&amp;"R($C12:AW12, ISNUMBER($C12:AW12)))),
lastVal + 'K dynamique'!AW12 * ((SQRT('Résultats des tournois'!AW$2 + 1)/'Résultats des tournois'!AW12) - (1 / (1 + 10^((AW$103 - lastVal)/400)))))
)
))"),"")</f>
        <v/>
      </c>
      <c r="AY12" s="32" t="str">
        <f>IFERROR(__xludf.DUMMYFUNCTION("IF('Résultats des tournois'!AX$2=0,"""",LET(
lastVal, INDEX(FILTER($B12:AX12, ISNUMBER($B12:AX12)), COUNTA(FILTER($B12:AX12, ISNUMBER($B12:AX12)))),
IFERROR(
IF('Résultats des tournois'!AX12="""", INDEX(FILTER($C12:AX12, ISNUMBER($C12:AX12)), COUNTA(FILTE"&amp;"R($C12:AX12, ISNUMBER($C12:AX12)))),
lastVal + 'K dynamique'!AX12 * ((SQRT('Résultats des tournois'!AX$2 + 1)/'Résultats des tournois'!AX12) - (1 / (1 + 10^((AX$103 - lastVal)/400)))))
)
))"),"")</f>
        <v/>
      </c>
      <c r="AZ12" s="4">
        <f t="array" ref="AZ12">IF(MAX(($C12:AY12&lt;&gt;"")*COLUMN($C12:AY12))=0,"",INDEX($C12:AY12,1,MAX(($C12:AY12&lt;&gt;"")*COLUMN($C12:AY12))-COLUMN($C12)+1))</f>
        <v>1722.793803</v>
      </c>
      <c r="BA12" s="33">
        <f t="shared" si="1"/>
        <v>1</v>
      </c>
    </row>
    <row r="13" ht="14.25" customHeight="1">
      <c r="A13" s="32" t="str">
        <f>IF('Résultats des tournois'!A13="","",'Résultats des tournois'!A13)</f>
        <v>Micky</v>
      </c>
      <c r="B13" s="32">
        <v>1500.0</v>
      </c>
      <c r="C13" s="32" t="str">
        <f>IF('Résultats des tournois'!B13="","",B13+'K dynamique'!B13*((SQRT('Résultats des tournois'!B$2+1)/'Résultats des tournois'!B13)-(1/(1+10^((B13-B13)/400)))))</f>
        <v/>
      </c>
      <c r="D13" s="32">
        <f>IFERROR(__xludf.DUMMYFUNCTION("IF('Résultats des tournois'!C$2=0,"""",LET(
lastVal, INDEX(FILTER($B13:C13, ISNUMBER($B13:C13)), COUNTA(FILTER($B13:C13, ISNUMBER($B13:C13)))),
IFERROR(
IF('Résultats des tournois'!C13="""", INDEX(FILTER($C13:C13, ISNUMBER($C13:C13)), COUNTA(FILTER($C13:C"&amp;"13, ISNUMBER($C13:C13)))),
lastVal + 'K dynamique'!C13 * ((SQRT('Résultats des tournois'!C$2 + 1)/'Résultats des tournois'!C13) - (1 / (1 + 10^((C$103 - lastVal)/400)))))
)
))"),1503.0869270398646)</f>
        <v>1503.086927</v>
      </c>
      <c r="E13" s="32">
        <f>IFERROR(__xludf.DUMMYFUNCTION("IF('Résultats des tournois'!D$2=0,"""",LET(
lastVal, INDEX(FILTER($B13:D13, ISNUMBER($B13:D13)), COUNTA(FILTER($B13:D13, ISNUMBER($B13:D13)))),
IFERROR(
IF('Résultats des tournois'!D13="""", INDEX(FILTER($C13:D13, ISNUMBER($C13:D13)), COUNTA(FILTER($C13:D"&amp;"13, ISNUMBER($C13:D13)))),
lastVal + 'K dynamique'!D13 * ((SQRT('Résultats des tournois'!D$2 + 1)/'Résultats des tournois'!D13) - (1 / (1 + 10^((D$103 - lastVal)/400)))))
)
))"),1503.0869270398646)</f>
        <v>1503.086927</v>
      </c>
      <c r="F13" s="32">
        <f>IFERROR(__xludf.DUMMYFUNCTION("IF('Résultats des tournois'!E$2=0,"""",LET(
lastVal, INDEX(FILTER($B13:E13, ISNUMBER($B13:E13)), COUNTA(FILTER($B13:E13, ISNUMBER($B13:E13)))),
IFERROR(
IF('Résultats des tournois'!E13="""", INDEX(FILTER($C13:E13, ISNUMBER($C13:E13)), COUNTA(FILTER($C13:E"&amp;"13, ISNUMBER($C13:E13)))),
lastVal + 'K dynamique'!E13 * ((SQRT('Résultats des tournois'!E$2 + 1)/'Résultats des tournois'!E13) - (1 / (1 + 10^((E$103 - lastVal)/400)))))
)
))"),1503.0869270398646)</f>
        <v>1503.086927</v>
      </c>
      <c r="G13" s="32">
        <f>IFERROR(__xludf.DUMMYFUNCTION("IF('Résultats des tournois'!F$2=0,"""",LET(
lastVal, INDEX(FILTER($B13:F13, ISNUMBER($B13:F13)), COUNTA(FILTER($B13:F13, ISNUMBER($B13:F13)))),
IFERROR(
IF('Résultats des tournois'!F13="""", INDEX(FILTER($C13:F13, ISNUMBER($C13:F13)), COUNTA(FILTER($C13:F"&amp;"13, ISNUMBER($C13:F13)))),
lastVal + 'K dynamique'!F13 * ((SQRT('Résultats des tournois'!F$2 + 1)/'Résultats des tournois'!F13) - (1 / (1 + 10^((F$103 - lastVal)/400)))))
)
))"),1501.6727742897954)</f>
        <v>1501.672774</v>
      </c>
      <c r="H13" s="32">
        <f>IFERROR(__xludf.DUMMYFUNCTION("IF('Résultats des tournois'!G$2=0,"""",LET(
lastVal, INDEX(FILTER($B13:G13, ISNUMBER($B13:G13)), COUNTA(FILTER($B13:G13, ISNUMBER($B13:G13)))),
IFERROR(
IF('Résultats des tournois'!G13="""", INDEX(FILTER($C13:G13, ISNUMBER($C13:G13)), COUNTA(FILTER($C13:G"&amp;"13, ISNUMBER($C13:G13)))),
lastVal + 'K dynamique'!G13 * ((SQRT('Résultats des tournois'!G$2 + 1)/'Résultats des tournois'!G13) - (1 / (1 + 10^((G$103 - lastVal)/400)))))
)
))"),1502.2484535065273)</f>
        <v>1502.248454</v>
      </c>
      <c r="I13" s="32">
        <f>IFERROR(__xludf.DUMMYFUNCTION("IF('Résultats des tournois'!H$2=0,"""",LET(
lastVal, INDEX(FILTER($B13:H13, ISNUMBER($B13:H13)), COUNTA(FILTER($B13:H13, ISNUMBER($B13:H13)))),
IFERROR(
IF('Résultats des tournois'!H13="""", INDEX(FILTER($C13:H13, ISNUMBER($C13:H13)), COUNTA(FILTER($C13:H"&amp;"13, ISNUMBER($C13:H13)))),
lastVal + 'K dynamique'!H13 * ((SQRT('Résultats des tournois'!H$2 + 1)/'Résultats des tournois'!H13) - (1 / (1 + 10^((H$103 - lastVal)/400)))))
)
))"),1499.3540814179917)</f>
        <v>1499.354081</v>
      </c>
      <c r="J13" s="32">
        <f>IFERROR(__xludf.DUMMYFUNCTION("IF('Résultats des tournois'!I$2=0,"""",LET(
lastVal, INDEX(FILTER($B13:I13, ISNUMBER($B13:I13)), COUNTA(FILTER($B13:I13, ISNUMBER($B13:I13)))),
IFERROR(
IF('Résultats des tournois'!I13="""", INDEX(FILTER($C13:I13, ISNUMBER($C13:I13)), COUNTA(FILTER($C13:I"&amp;"13, ISNUMBER($C13:I13)))),
lastVal + 'K dynamique'!I13 * ((SQRT('Résultats des tournois'!I$2 + 1)/'Résultats des tournois'!I13) - (1 / (1 + 10^((I$103 - lastVal)/400)))))
)
))"),1499.3540814179917)</f>
        <v>1499.354081</v>
      </c>
      <c r="K13" s="32">
        <f>IFERROR(__xludf.DUMMYFUNCTION("IF('Résultats des tournois'!J$2=0,"""",LET(
lastVal, INDEX(FILTER($B13:J13, ISNUMBER($B13:J13)), COUNTA(FILTER($B13:J13, ISNUMBER($B13:J13)))),
IFERROR(
IF('Résultats des tournois'!J13="""", INDEX(FILTER($C13:J13, ISNUMBER($C13:J13)), COUNTA(FILTER($C13:J"&amp;"13, ISNUMBER($C13:J13)))),
lastVal + 'K dynamique'!J13 * ((SQRT('Résultats des tournois'!J$2 + 1)/'Résultats des tournois'!J13) - (1 / (1 + 10^((J$103 - lastVal)/400)))))
)
))"),1498.987117848661)</f>
        <v>1498.987118</v>
      </c>
      <c r="L13" s="32">
        <f>IFERROR(__xludf.DUMMYFUNCTION("IF('Résultats des tournois'!K$2=0,"""",LET(
lastVal, INDEX(FILTER($B13:K13, ISNUMBER($B13:K13)), COUNTA(FILTER($B13:K13, ISNUMBER($B13:K13)))),
IFERROR(
IF('Résultats des tournois'!K13="""", INDEX(FILTER($C13:K13, ISNUMBER($C13:K13)), COUNTA(FILTER($C13:K"&amp;"13, ISNUMBER($C13:K13)))),
lastVal + 'K dynamique'!K13 * ((SQRT('Résultats des tournois'!K$2 + 1)/'Résultats des tournois'!K13) - (1 / (1 + 10^((K$103 - lastVal)/400)))))
)
))"),1497.3957628426547)</f>
        <v>1497.395763</v>
      </c>
      <c r="M13" s="32">
        <f>IFERROR(__xludf.DUMMYFUNCTION("IF('Résultats des tournois'!L$2=0,"""",LET(
lastVal, INDEX(FILTER($B13:L13, ISNUMBER($B13:L13)), COUNTA(FILTER($B13:L13, ISNUMBER($B13:L13)))),
IFERROR(
IF('Résultats des tournois'!L13="""", INDEX(FILTER($C13:L13, ISNUMBER($C13:L13)), COUNTA(FILTER($C13:L"&amp;"13, ISNUMBER($C13:L13)))),
lastVal + 'K dynamique'!L13 * ((SQRT('Résultats des tournois'!L$2 + 1)/'Résultats des tournois'!L13) - (1 / (1 + 10^((L$103 - lastVal)/400)))))
)
))"),1497.3957628426547)</f>
        <v>1497.395763</v>
      </c>
      <c r="N13" s="32" t="str">
        <f>IFERROR(__xludf.DUMMYFUNCTION("IF('Résultats des tournois'!M$2=0,"""",LET(
lastVal, INDEX(FILTER($B13:M13, ISNUMBER($B13:M13)), COUNTA(FILTER($B13:M13, ISNUMBER($B13:M13)))),
IFERROR(
IF('Résultats des tournois'!M13="""", INDEX(FILTER($C13:M13, ISNUMBER($C13:M13)), COUNTA(FILTER($C13:M"&amp;"13, ISNUMBER($C13:M13)))),
lastVal + 'K dynamique'!M13 * ((SQRT('Résultats des tournois'!M$2 + 1)/'Résultats des tournois'!M13) - (1 / (1 + 10^((M$103 - lastVal)/400)))))
)
))"),"")</f>
        <v/>
      </c>
      <c r="O13" s="32" t="str">
        <f>IFERROR(__xludf.DUMMYFUNCTION("IF('Résultats des tournois'!N$2=0,"""",LET(
lastVal, INDEX(FILTER($B13:N13, ISNUMBER($B13:N13)), COUNTA(FILTER($B13:N13, ISNUMBER($B13:N13)))),
IFERROR(
IF('Résultats des tournois'!N13="""", INDEX(FILTER($C13:N13, ISNUMBER($C13:N13)), COUNTA(FILTER($C13:N"&amp;"13, ISNUMBER($C13:N13)))),
lastVal + 'K dynamique'!N13 * ((SQRT('Résultats des tournois'!N$2 + 1)/'Résultats des tournois'!N13) - (1 / (1 + 10^((N$103 - lastVal)/400)))))
)
))"),"")</f>
        <v/>
      </c>
      <c r="P13" s="32" t="str">
        <f>IFERROR(__xludf.DUMMYFUNCTION("IF('Résultats des tournois'!O$2=0,"""",LET(
lastVal, INDEX(FILTER($B13:O13, ISNUMBER($B13:O13)), COUNTA(FILTER($B13:O13, ISNUMBER($B13:O13)))),
IFERROR(
IF('Résultats des tournois'!O13="""", INDEX(FILTER($C13:O13, ISNUMBER($C13:O13)), COUNTA(FILTER($C13:O"&amp;"13, ISNUMBER($C13:O13)))),
lastVal + 'K dynamique'!O13 * ((SQRT('Résultats des tournois'!O$2 + 1)/'Résultats des tournois'!O13) - (1 / (1 + 10^((O$103 - lastVal)/400)))))
)
))"),"")</f>
        <v/>
      </c>
      <c r="Q13" s="32" t="str">
        <f>IFERROR(__xludf.DUMMYFUNCTION("IF('Résultats des tournois'!P$2=0,"""",LET(
lastVal, INDEX(FILTER($B13:P13, ISNUMBER($B13:P13)), COUNTA(FILTER($B13:P13, ISNUMBER($B13:P13)))),
IFERROR(
IF('Résultats des tournois'!P13="""", INDEX(FILTER($C13:P13, ISNUMBER($C13:P13)), COUNTA(FILTER($C13:P"&amp;"13, ISNUMBER($C13:P13)))),
lastVal + 'K dynamique'!P13 * ((SQRT('Résultats des tournois'!P$2 + 1)/'Résultats des tournois'!P13) - (1 / (1 + 10^((P$103 - lastVal)/400)))))
)
))"),"")</f>
        <v/>
      </c>
      <c r="R13" s="32" t="str">
        <f>IFERROR(__xludf.DUMMYFUNCTION("IF('Résultats des tournois'!Q$2=0,"""",LET(
lastVal, INDEX(FILTER($B13:Q13, ISNUMBER($B13:Q13)), COUNTA(FILTER($B13:Q13, ISNUMBER($B13:Q13)))),
IFERROR(
IF('Résultats des tournois'!Q13="""", INDEX(FILTER($C13:Q13, ISNUMBER($C13:Q13)), COUNTA(FILTER($C13:Q"&amp;"13, ISNUMBER($C13:Q13)))),
lastVal + 'K dynamique'!Q13 * ((SQRT('Résultats des tournois'!Q$2 + 1)/'Résultats des tournois'!Q13) - (1 / (1 + 10^((Q$103 - lastVal)/400)))))
)
))"),"")</f>
        <v/>
      </c>
      <c r="S13" s="32" t="str">
        <f>IFERROR(__xludf.DUMMYFUNCTION("IF('Résultats des tournois'!R$2=0,"""",LET(
lastVal, INDEX(FILTER($B13:R13, ISNUMBER($B13:R13)), COUNTA(FILTER($B13:R13, ISNUMBER($B13:R13)))),
IFERROR(
IF('Résultats des tournois'!R13="""", INDEX(FILTER($C13:R13, ISNUMBER($C13:R13)), COUNTA(FILTER($C13:R"&amp;"13, ISNUMBER($C13:R13)))),
lastVal + 'K dynamique'!R13 * ((SQRT('Résultats des tournois'!R$2 + 1)/'Résultats des tournois'!R13) - (1 / (1 + 10^((R$103 - lastVal)/400)))))
)
))"),"")</f>
        <v/>
      </c>
      <c r="T13" s="32" t="str">
        <f>IFERROR(__xludf.DUMMYFUNCTION("IF('Résultats des tournois'!S$2=0,"""",LET(
lastVal, INDEX(FILTER($B13:S13, ISNUMBER($B13:S13)), COUNTA(FILTER($B13:S13, ISNUMBER($B13:S13)))),
IFERROR(
IF('Résultats des tournois'!S13="""", INDEX(FILTER($C13:S13, ISNUMBER($C13:S13)), COUNTA(FILTER($C13:S"&amp;"13, ISNUMBER($C13:S13)))),
lastVal + 'K dynamique'!S13 * ((SQRT('Résultats des tournois'!S$2 + 1)/'Résultats des tournois'!S13) - (1 / (1 + 10^((S$103 - lastVal)/400)))))
)
))"),"")</f>
        <v/>
      </c>
      <c r="U13" s="32" t="str">
        <f>IFERROR(__xludf.DUMMYFUNCTION("IF('Résultats des tournois'!T$2=0,"""",LET(
lastVal, INDEX(FILTER($B13:T13, ISNUMBER($B13:T13)), COUNTA(FILTER($B13:T13, ISNUMBER($B13:T13)))),
IFERROR(
IF('Résultats des tournois'!T13="""", INDEX(FILTER($C13:T13, ISNUMBER($C13:T13)), COUNTA(FILTER($C13:T"&amp;"13, ISNUMBER($C13:T13)))),
lastVal + 'K dynamique'!T13 * ((SQRT('Résultats des tournois'!T$2 + 1)/'Résultats des tournois'!T13) - (1 / (1 + 10^((T$103 - lastVal)/400)))))
)
))"),"")</f>
        <v/>
      </c>
      <c r="V13" s="32" t="str">
        <f>IFERROR(__xludf.DUMMYFUNCTION("IF('Résultats des tournois'!U$2=0,"""",LET(
lastVal, INDEX(FILTER($B13:U13, ISNUMBER($B13:U13)), COUNTA(FILTER($B13:U13, ISNUMBER($B13:U13)))),
IFERROR(
IF('Résultats des tournois'!U13="""", INDEX(FILTER($C13:U13, ISNUMBER($C13:U13)), COUNTA(FILTER($C13:U"&amp;"13, ISNUMBER($C13:U13)))),
lastVal + 'K dynamique'!U13 * ((SQRT('Résultats des tournois'!U$2 + 1)/'Résultats des tournois'!U13) - (1 / (1 + 10^((U$103 - lastVal)/400)))))
)
))"),"")</f>
        <v/>
      </c>
      <c r="W13" s="32" t="str">
        <f>IFERROR(__xludf.DUMMYFUNCTION("IF('Résultats des tournois'!V$2=0,"""",LET(
lastVal, INDEX(FILTER($B13:V13, ISNUMBER($B13:V13)), COUNTA(FILTER($B13:V13, ISNUMBER($B13:V13)))),
IFERROR(
IF('Résultats des tournois'!V13="""", INDEX(FILTER($C13:V13, ISNUMBER($C13:V13)), COUNTA(FILTER($C13:V"&amp;"13, ISNUMBER($C13:V13)))),
lastVal + 'K dynamique'!V13 * ((SQRT('Résultats des tournois'!V$2 + 1)/'Résultats des tournois'!V13) - (1 / (1 + 10^((V$103 - lastVal)/400)))))
)
))"),"")</f>
        <v/>
      </c>
      <c r="X13" s="32" t="str">
        <f>IFERROR(__xludf.DUMMYFUNCTION("IF('Résultats des tournois'!W$2=0,"""",LET(
lastVal, INDEX(FILTER($B13:W13, ISNUMBER($B13:W13)), COUNTA(FILTER($B13:W13, ISNUMBER($B13:W13)))),
IFERROR(
IF('Résultats des tournois'!W13="""", INDEX(FILTER($C13:W13, ISNUMBER($C13:W13)), COUNTA(FILTER($C13:W"&amp;"13, ISNUMBER($C13:W13)))),
lastVal + 'K dynamique'!W13 * ((SQRT('Résultats des tournois'!W$2 + 1)/'Résultats des tournois'!W13) - (1 / (1 + 10^((W$103 - lastVal)/400)))))
)
))"),"")</f>
        <v/>
      </c>
      <c r="Y13" s="32" t="str">
        <f>IFERROR(__xludf.DUMMYFUNCTION("IF('Résultats des tournois'!X$2=0,"""",LET(
lastVal, INDEX(FILTER($B13:X13, ISNUMBER($B13:X13)), COUNTA(FILTER($B13:X13, ISNUMBER($B13:X13)))),
IFERROR(
IF('Résultats des tournois'!X13="""", INDEX(FILTER($C13:X13, ISNUMBER($C13:X13)), COUNTA(FILTER($C13:X"&amp;"13, ISNUMBER($C13:X13)))),
lastVal + 'K dynamique'!X13 * ((SQRT('Résultats des tournois'!X$2 + 1)/'Résultats des tournois'!X13) - (1 / (1 + 10^((X$103 - lastVal)/400)))))
)
))"),"")</f>
        <v/>
      </c>
      <c r="Z13" s="32" t="str">
        <f>IFERROR(__xludf.DUMMYFUNCTION("IF('Résultats des tournois'!Y$2=0,"""",LET(
lastVal, INDEX(FILTER($B13:Y13, ISNUMBER($B13:Y13)), COUNTA(FILTER($B13:Y13, ISNUMBER($B13:Y13)))),
IFERROR(
IF('Résultats des tournois'!Y13="""", INDEX(FILTER($C13:Y13, ISNUMBER($C13:Y13)), COUNTA(FILTER($C13:Y"&amp;"13, ISNUMBER($C13:Y13)))),
lastVal + 'K dynamique'!Y13 * ((SQRT('Résultats des tournois'!Y$2 + 1)/'Résultats des tournois'!Y13) - (1 / (1 + 10^((Y$103 - lastVal)/400)))))
)
))"),"")</f>
        <v/>
      </c>
      <c r="AA13" s="32" t="str">
        <f>IFERROR(__xludf.DUMMYFUNCTION("IF('Résultats des tournois'!Z$2=0,"""",LET(
lastVal, INDEX(FILTER($B13:Z13, ISNUMBER($B13:Z13)), COUNTA(FILTER($B13:Z13, ISNUMBER($B13:Z13)))),
IFERROR(
IF('Résultats des tournois'!Z13="""", INDEX(FILTER($C13:Z13, ISNUMBER($C13:Z13)), COUNTA(FILTER($C13:Z"&amp;"13, ISNUMBER($C13:Z13)))),
lastVal + 'K dynamique'!Z13 * ((SQRT('Résultats des tournois'!Z$2 + 1)/'Résultats des tournois'!Z13) - (1 / (1 + 10^((Z$103 - lastVal)/400)))))
)
))"),"")</f>
        <v/>
      </c>
      <c r="AB13" s="32" t="str">
        <f>IFERROR(__xludf.DUMMYFUNCTION("IF('Résultats des tournois'!AA$2=0,"""",LET(
lastVal, INDEX(FILTER($B13:AA13, ISNUMBER($B13:AA13)), COUNTA(FILTER($B13:AA13, ISNUMBER($B13:AA13)))),
IFERROR(
IF('Résultats des tournois'!AA13="""", INDEX(FILTER($C13:AA13, ISNUMBER($C13:AA13)), COUNTA(FILTE"&amp;"R($C13:AA13, ISNUMBER($C13:AA13)))),
lastVal + 'K dynamique'!AA13 * ((SQRT('Résultats des tournois'!AA$2 + 1)/'Résultats des tournois'!AA13) - (1 / (1 + 10^((AA$103 - lastVal)/400)))))
)
))"),"")</f>
        <v/>
      </c>
      <c r="AC13" s="32" t="str">
        <f>IFERROR(__xludf.DUMMYFUNCTION("IF('Résultats des tournois'!AB$2=0,"""",LET(
lastVal, INDEX(FILTER($B13:AB13, ISNUMBER($B13:AB13)), COUNTA(FILTER($B13:AB13, ISNUMBER($B13:AB13)))),
IFERROR(
IF('Résultats des tournois'!AB13="""", INDEX(FILTER($C13:AB13, ISNUMBER($C13:AB13)), COUNTA(FILTE"&amp;"R($C13:AB13, ISNUMBER($C13:AB13)))),
lastVal + 'K dynamique'!AB13 * ((SQRT('Résultats des tournois'!AB$2 + 1)/'Résultats des tournois'!AB13) - (1 / (1 + 10^((AB$103 - lastVal)/400)))))
)
))"),"")</f>
        <v/>
      </c>
      <c r="AD13" s="32" t="str">
        <f>IFERROR(__xludf.DUMMYFUNCTION("IF('Résultats des tournois'!AC$2=0,"""",LET(
lastVal, INDEX(FILTER($B13:AC13, ISNUMBER($B13:AC13)), COUNTA(FILTER($B13:AC13, ISNUMBER($B13:AC13)))),
IFERROR(
IF('Résultats des tournois'!AC13="""", INDEX(FILTER($C13:AC13, ISNUMBER($C13:AC13)), COUNTA(FILTE"&amp;"R($C13:AC13, ISNUMBER($C13:AC13)))),
lastVal + 'K dynamique'!AC13 * ((SQRT('Résultats des tournois'!AC$2 + 1)/'Résultats des tournois'!AC13) - (1 / (1 + 10^((AC$103 - lastVal)/400)))))
)
))"),"")</f>
        <v/>
      </c>
      <c r="AE13" s="32" t="str">
        <f>IFERROR(__xludf.DUMMYFUNCTION("IF('Résultats des tournois'!AD$2=0,"""",LET(
lastVal, INDEX(FILTER($B13:AD13, ISNUMBER($B13:AD13)), COUNTA(FILTER($B13:AD13, ISNUMBER($B13:AD13)))),
IFERROR(
IF('Résultats des tournois'!AD13="""", INDEX(FILTER($C13:AD13, ISNUMBER($C13:AD13)), COUNTA(FILTE"&amp;"R($C13:AD13, ISNUMBER($C13:AD13)))),
lastVal + 'K dynamique'!AD13 * ((SQRT('Résultats des tournois'!AD$2 + 1)/'Résultats des tournois'!AD13) - (1 / (1 + 10^((AD$103 - lastVal)/400)))))
)
))"),"")</f>
        <v/>
      </c>
      <c r="AF13" s="32" t="str">
        <f>IFERROR(__xludf.DUMMYFUNCTION("IF('Résultats des tournois'!AE$2=0,"""",LET(
lastVal, INDEX(FILTER($B13:AE13, ISNUMBER($B13:AE13)), COUNTA(FILTER($B13:AE13, ISNUMBER($B13:AE13)))),
IFERROR(
IF('Résultats des tournois'!AE13="""", INDEX(FILTER($C13:AE13, ISNUMBER($C13:AE13)), COUNTA(FILTE"&amp;"R($C13:AE13, ISNUMBER($C13:AE13)))),
lastVal + 'K dynamique'!AE13 * ((SQRT('Résultats des tournois'!AE$2 + 1)/'Résultats des tournois'!AE13) - (1 / (1 + 10^((AE$103 - lastVal)/400)))))
)
))"),"")</f>
        <v/>
      </c>
      <c r="AG13" s="32" t="str">
        <f>IFERROR(__xludf.DUMMYFUNCTION("IF('Résultats des tournois'!AF$2=0,"""",LET(
lastVal, INDEX(FILTER($B13:AF13, ISNUMBER($B13:AF13)), COUNTA(FILTER($B13:AF13, ISNUMBER($B13:AF13)))),
IFERROR(
IF('Résultats des tournois'!AF13="""", INDEX(FILTER($C13:AF13, ISNUMBER($C13:AF13)), COUNTA(FILTE"&amp;"R($C13:AF13, ISNUMBER($C13:AF13)))),
lastVal + 'K dynamique'!AF13 * ((SQRT('Résultats des tournois'!AF$2 + 1)/'Résultats des tournois'!AF13) - (1 / (1 + 10^((AF$103 - lastVal)/400)))))
)
))"),"")</f>
        <v/>
      </c>
      <c r="AH13" s="32" t="str">
        <f>IFERROR(__xludf.DUMMYFUNCTION("IF('Résultats des tournois'!AG$2=0,"""",LET(
lastVal, INDEX(FILTER($B13:AG13, ISNUMBER($B13:AG13)), COUNTA(FILTER($B13:AG13, ISNUMBER($B13:AG13)))),
IFERROR(
IF('Résultats des tournois'!AG13="""", INDEX(FILTER($C13:AG13, ISNUMBER($C13:AG13)), COUNTA(FILTE"&amp;"R($C13:AG13, ISNUMBER($C13:AG13)))),
lastVal + 'K dynamique'!AG13 * ((SQRT('Résultats des tournois'!AG$2 + 1)/'Résultats des tournois'!AG13) - (1 / (1 + 10^((AG$103 - lastVal)/400)))))
)
))"),"")</f>
        <v/>
      </c>
      <c r="AI13" s="32" t="str">
        <f>IFERROR(__xludf.DUMMYFUNCTION("IF('Résultats des tournois'!AH$2=0,"""",LET(
lastVal, INDEX(FILTER($B13:AH13, ISNUMBER($B13:AH13)), COUNTA(FILTER($B13:AH13, ISNUMBER($B13:AH13)))),
IFERROR(
IF('Résultats des tournois'!AH13="""", INDEX(FILTER($C13:AH13, ISNUMBER($C13:AH13)), COUNTA(FILTE"&amp;"R($C13:AH13, ISNUMBER($C13:AH13)))),
lastVal + 'K dynamique'!AH13 * ((SQRT('Résultats des tournois'!AH$2 + 1)/'Résultats des tournois'!AH13) - (1 / (1 + 10^((AH$103 - lastVal)/400)))))
)
))"),"")</f>
        <v/>
      </c>
      <c r="AJ13" s="32" t="str">
        <f>IFERROR(__xludf.DUMMYFUNCTION("IF('Résultats des tournois'!AI$2=0,"""",LET(
lastVal, INDEX(FILTER($B13:AI13, ISNUMBER($B13:AI13)), COUNTA(FILTER($B13:AI13, ISNUMBER($B13:AI13)))),
IFERROR(
IF('Résultats des tournois'!AI13="""", INDEX(FILTER($C13:AI13, ISNUMBER($C13:AI13)), COUNTA(FILTE"&amp;"R($C13:AI13, ISNUMBER($C13:AI13)))),
lastVal + 'K dynamique'!AI13 * ((SQRT('Résultats des tournois'!AI$2 + 1)/'Résultats des tournois'!AI13) - (1 / (1 + 10^((AI$103 - lastVal)/400)))))
)
))"),"")</f>
        <v/>
      </c>
      <c r="AK13" s="32" t="str">
        <f>IFERROR(__xludf.DUMMYFUNCTION("IF('Résultats des tournois'!AJ$2=0,"""",LET(
lastVal, INDEX(FILTER($B13:AJ13, ISNUMBER($B13:AJ13)), COUNTA(FILTER($B13:AJ13, ISNUMBER($B13:AJ13)))),
IFERROR(
IF('Résultats des tournois'!AJ13="""", INDEX(FILTER($C13:AJ13, ISNUMBER($C13:AJ13)), COUNTA(FILTE"&amp;"R($C13:AJ13, ISNUMBER($C13:AJ13)))),
lastVal + 'K dynamique'!AJ13 * ((SQRT('Résultats des tournois'!AJ$2 + 1)/'Résultats des tournois'!AJ13) - (1 / (1 + 10^((AJ$103 - lastVal)/400)))))
)
))"),"")</f>
        <v/>
      </c>
      <c r="AL13" s="32" t="str">
        <f>IFERROR(__xludf.DUMMYFUNCTION("IF('Résultats des tournois'!AK$2=0,"""",LET(
lastVal, INDEX(FILTER($B13:AK13, ISNUMBER($B13:AK13)), COUNTA(FILTER($B13:AK13, ISNUMBER($B13:AK13)))),
IFERROR(
IF('Résultats des tournois'!AK13="""", INDEX(FILTER($C13:AK13, ISNUMBER($C13:AK13)), COUNTA(FILTE"&amp;"R($C13:AK13, ISNUMBER($C13:AK13)))),
lastVal + 'K dynamique'!AK13 * ((SQRT('Résultats des tournois'!AK$2 + 1)/'Résultats des tournois'!AK13) - (1 / (1 + 10^((AK$103 - lastVal)/400)))))
)
))"),"")</f>
        <v/>
      </c>
      <c r="AM13" s="32" t="str">
        <f>IFERROR(__xludf.DUMMYFUNCTION("IF('Résultats des tournois'!AL$2=0,"""",LET(
lastVal, INDEX(FILTER($B13:AL13, ISNUMBER($B13:AL13)), COUNTA(FILTER($B13:AL13, ISNUMBER($B13:AL13)))),
IFERROR(
IF('Résultats des tournois'!AL13="""", INDEX(FILTER($C13:AL13, ISNUMBER($C13:AL13)), COUNTA(FILTE"&amp;"R($C13:AL13, ISNUMBER($C13:AL13)))),
lastVal + 'K dynamique'!AL13 * ((SQRT('Résultats des tournois'!AL$2 + 1)/'Résultats des tournois'!AL13) - (1 / (1 + 10^((AL$103 - lastVal)/400)))))
)
))"),"")</f>
        <v/>
      </c>
      <c r="AN13" s="32" t="str">
        <f>IFERROR(__xludf.DUMMYFUNCTION("IF('Résultats des tournois'!AM$2=0,"""",LET(
lastVal, INDEX(FILTER($B13:AM13, ISNUMBER($B13:AM13)), COUNTA(FILTER($B13:AM13, ISNUMBER($B13:AM13)))),
IFERROR(
IF('Résultats des tournois'!AM13="""", INDEX(FILTER($C13:AM13, ISNUMBER($C13:AM13)), COUNTA(FILTE"&amp;"R($C13:AM13, ISNUMBER($C13:AM13)))),
lastVal + 'K dynamique'!AM13 * ((SQRT('Résultats des tournois'!AM$2 + 1)/'Résultats des tournois'!AM13) - (1 / (1 + 10^((AM$103 - lastVal)/400)))))
)
))"),"")</f>
        <v/>
      </c>
      <c r="AO13" s="32" t="str">
        <f>IFERROR(__xludf.DUMMYFUNCTION("IF('Résultats des tournois'!AN$2=0,"""",LET(
lastVal, INDEX(FILTER($B13:AN13, ISNUMBER($B13:AN13)), COUNTA(FILTER($B13:AN13, ISNUMBER($B13:AN13)))),
IFERROR(
IF('Résultats des tournois'!AN13="""", INDEX(FILTER($C13:AN13, ISNUMBER($C13:AN13)), COUNTA(FILTE"&amp;"R($C13:AN13, ISNUMBER($C13:AN13)))),
lastVal + 'K dynamique'!AN13 * ((SQRT('Résultats des tournois'!AN$2 + 1)/'Résultats des tournois'!AN13) - (1 / (1 + 10^((AN$103 - lastVal)/400)))))
)
))"),"")</f>
        <v/>
      </c>
      <c r="AP13" s="32" t="str">
        <f>IFERROR(__xludf.DUMMYFUNCTION("IF('Résultats des tournois'!AO$2=0,"""",LET(
lastVal, INDEX(FILTER($B13:AO13, ISNUMBER($B13:AO13)), COUNTA(FILTER($B13:AO13, ISNUMBER($B13:AO13)))),
IFERROR(
IF('Résultats des tournois'!AO13="""", INDEX(FILTER($C13:AO13, ISNUMBER($C13:AO13)), COUNTA(FILTE"&amp;"R($C13:AO13, ISNUMBER($C13:AO13)))),
lastVal + 'K dynamique'!AO13 * ((SQRT('Résultats des tournois'!AO$2 + 1)/'Résultats des tournois'!AO13) - (1 / (1 + 10^((AO$103 - lastVal)/400)))))
)
))"),"")</f>
        <v/>
      </c>
      <c r="AQ13" s="32" t="str">
        <f>IFERROR(__xludf.DUMMYFUNCTION("IF('Résultats des tournois'!AP$2=0,"""",LET(
lastVal, INDEX(FILTER($B13:AP13, ISNUMBER($B13:AP13)), COUNTA(FILTER($B13:AP13, ISNUMBER($B13:AP13)))),
IFERROR(
IF('Résultats des tournois'!AP13="""", INDEX(FILTER($C13:AP13, ISNUMBER($C13:AP13)), COUNTA(FILTE"&amp;"R($C13:AP13, ISNUMBER($C13:AP13)))),
lastVal + 'K dynamique'!AP13 * ((SQRT('Résultats des tournois'!AP$2 + 1)/'Résultats des tournois'!AP13) - (1 / (1 + 10^((AP$103 - lastVal)/400)))))
)
))"),"")</f>
        <v/>
      </c>
      <c r="AR13" s="32" t="str">
        <f>IFERROR(__xludf.DUMMYFUNCTION("IF('Résultats des tournois'!AQ$2=0,"""",LET(
lastVal, INDEX(FILTER($B13:AQ13, ISNUMBER($B13:AQ13)), COUNTA(FILTER($B13:AQ13, ISNUMBER($B13:AQ13)))),
IFERROR(
IF('Résultats des tournois'!AQ13="""", INDEX(FILTER($C13:AQ13, ISNUMBER($C13:AQ13)), COUNTA(FILTE"&amp;"R($C13:AQ13, ISNUMBER($C13:AQ13)))),
lastVal + 'K dynamique'!AQ13 * ((SQRT('Résultats des tournois'!AQ$2 + 1)/'Résultats des tournois'!AQ13) - (1 / (1 + 10^((AQ$103 - lastVal)/400)))))
)
))"),"")</f>
        <v/>
      </c>
      <c r="AS13" s="32" t="str">
        <f>IFERROR(__xludf.DUMMYFUNCTION("IF('Résultats des tournois'!AR$2=0,"""",LET(
lastVal, INDEX(FILTER($B13:AR13, ISNUMBER($B13:AR13)), COUNTA(FILTER($B13:AR13, ISNUMBER($B13:AR13)))),
IFERROR(
IF('Résultats des tournois'!AR13="""", INDEX(FILTER($C13:AR13, ISNUMBER($C13:AR13)), COUNTA(FILTE"&amp;"R($C13:AR13, ISNUMBER($C13:AR13)))),
lastVal + 'K dynamique'!AR13 * ((SQRT('Résultats des tournois'!AR$2 + 1)/'Résultats des tournois'!AR13) - (1 / (1 + 10^((AR$103 - lastVal)/400)))))
)
))"),"")</f>
        <v/>
      </c>
      <c r="AT13" s="32" t="str">
        <f>IFERROR(__xludf.DUMMYFUNCTION("IF('Résultats des tournois'!AS$2=0,"""",LET(
lastVal, INDEX(FILTER($B13:AS13, ISNUMBER($B13:AS13)), COUNTA(FILTER($B13:AS13, ISNUMBER($B13:AS13)))),
IFERROR(
IF('Résultats des tournois'!AS13="""", INDEX(FILTER($C13:AS13, ISNUMBER($C13:AS13)), COUNTA(FILTE"&amp;"R($C13:AS13, ISNUMBER($C13:AS13)))),
lastVal + 'K dynamique'!AS13 * ((SQRT('Résultats des tournois'!AS$2 + 1)/'Résultats des tournois'!AS13) - (1 / (1 + 10^((AS$103 - lastVal)/400)))))
)
))"),"")</f>
        <v/>
      </c>
      <c r="AU13" s="32" t="str">
        <f>IFERROR(__xludf.DUMMYFUNCTION("IF('Résultats des tournois'!AT$2=0,"""",LET(
lastVal, INDEX(FILTER($B13:AT13, ISNUMBER($B13:AT13)), COUNTA(FILTER($B13:AT13, ISNUMBER($B13:AT13)))),
IFERROR(
IF('Résultats des tournois'!AT13="""", INDEX(FILTER($C13:AT13, ISNUMBER($C13:AT13)), COUNTA(FILTE"&amp;"R($C13:AT13, ISNUMBER($C13:AT13)))),
lastVal + 'K dynamique'!AT13 * ((SQRT('Résultats des tournois'!AT$2 + 1)/'Résultats des tournois'!AT13) - (1 / (1 + 10^((AT$103 - lastVal)/400)))))
)
))"),"")</f>
        <v/>
      </c>
      <c r="AV13" s="32" t="str">
        <f>IFERROR(__xludf.DUMMYFUNCTION("IF('Résultats des tournois'!AU$2=0,"""",LET(
lastVal, INDEX(FILTER($B13:AU13, ISNUMBER($B13:AU13)), COUNTA(FILTER($B13:AU13, ISNUMBER($B13:AU13)))),
IFERROR(
IF('Résultats des tournois'!AU13="""", INDEX(FILTER($C13:AU13, ISNUMBER($C13:AU13)), COUNTA(FILTE"&amp;"R($C13:AU13, ISNUMBER($C13:AU13)))),
lastVal + 'K dynamique'!AU13 * ((SQRT('Résultats des tournois'!AU$2 + 1)/'Résultats des tournois'!AU13) - (1 / (1 + 10^((AU$103 - lastVal)/400)))))
)
))"),"")</f>
        <v/>
      </c>
      <c r="AW13" s="32" t="str">
        <f>IFERROR(__xludf.DUMMYFUNCTION("IF('Résultats des tournois'!AV$2=0,"""",LET(
lastVal, INDEX(FILTER($B13:AV13, ISNUMBER($B13:AV13)), COUNTA(FILTER($B13:AV13, ISNUMBER($B13:AV13)))),
IFERROR(
IF('Résultats des tournois'!AV13="""", INDEX(FILTER($C13:AV13, ISNUMBER($C13:AV13)), COUNTA(FILTE"&amp;"R($C13:AV13, ISNUMBER($C13:AV13)))),
lastVal + 'K dynamique'!AV13 * ((SQRT('Résultats des tournois'!AV$2 + 1)/'Résultats des tournois'!AV13) - (1 / (1 + 10^((AV$103 - lastVal)/400)))))
)
))"),"")</f>
        <v/>
      </c>
      <c r="AX13" s="32" t="str">
        <f>IFERROR(__xludf.DUMMYFUNCTION("IF('Résultats des tournois'!AW$2=0,"""",LET(
lastVal, INDEX(FILTER($B13:AW13, ISNUMBER($B13:AW13)), COUNTA(FILTER($B13:AW13, ISNUMBER($B13:AW13)))),
IFERROR(
IF('Résultats des tournois'!AW13="""", INDEX(FILTER($C13:AW13, ISNUMBER($C13:AW13)), COUNTA(FILTE"&amp;"R($C13:AW13, ISNUMBER($C13:AW13)))),
lastVal + 'K dynamique'!AW13 * ((SQRT('Résultats des tournois'!AW$2 + 1)/'Résultats des tournois'!AW13) - (1 / (1 + 10^((AW$103 - lastVal)/400)))))
)
))"),"")</f>
        <v/>
      </c>
      <c r="AY13" s="32" t="str">
        <f>IFERROR(__xludf.DUMMYFUNCTION("IF('Résultats des tournois'!AX$2=0,"""",LET(
lastVal, INDEX(FILTER($B13:AX13, ISNUMBER($B13:AX13)), COUNTA(FILTER($B13:AX13, ISNUMBER($B13:AX13)))),
IFERROR(
IF('Résultats des tournois'!AX13="""", INDEX(FILTER($C13:AX13, ISNUMBER($C13:AX13)), COUNTA(FILTE"&amp;"R($C13:AX13, ISNUMBER($C13:AX13)))),
lastVal + 'K dynamique'!AX13 * ((SQRT('Résultats des tournois'!AX$2 + 1)/'Résultats des tournois'!AX13) - (1 / (1 + 10^((AX$103 - lastVal)/400)))))
)
))"),"")</f>
        <v/>
      </c>
      <c r="AZ13" s="4">
        <f t="array" ref="AZ13">IF(MAX(($C13:AY13&lt;&gt;"")*COLUMN($C13:AY13))=0,"",INDEX($C13:AY13,1,MAX(($C13:AY13&lt;&gt;"")*COLUMN($C13:AY13))-COLUMN($C13)+1))</f>
        <v>1497.395763</v>
      </c>
      <c r="BA13" s="33">
        <f t="shared" si="1"/>
        <v>21</v>
      </c>
    </row>
    <row r="14" ht="14.25" customHeight="1">
      <c r="A14" s="32" t="str">
        <f>IF('Résultats des tournois'!A14="","",'Résultats des tournois'!A14)</f>
        <v>MinnieLoucas</v>
      </c>
      <c r="B14" s="32">
        <v>1500.0</v>
      </c>
      <c r="C14" s="32">
        <f>IF('Résultats des tournois'!B14="","",B14+'K dynamique'!B14*((SQRT('Résultats des tournois'!B$2+1)/'Résultats des tournois'!B14)-(1/(1+10^((B14-B14)/400)))))</f>
        <v>1503.955506</v>
      </c>
      <c r="D14" s="32">
        <f>IFERROR(__xludf.DUMMYFUNCTION("IF('Résultats des tournois'!C$2=0,"""",LET(
lastVal, INDEX(FILTER($B14:C14, ISNUMBER($B14:C14)), COUNTA(FILTER($B14:C14, ISNUMBER($B14:C14)))),
IFERROR(
IF('Résultats des tournois'!C14="""", INDEX(FILTER($C14:C14, ISNUMBER($C14:C14)), COUNTA(FILTER($C14:C"&amp;"14, ISNUMBER($C14:C14)))),
lastVal + 'K dynamique'!C14 * ((SQRT('Résultats des tournois'!C$2 + 1)/'Résultats des tournois'!C14) - (1 / (1 + 10^((C$103 - lastVal)/400)))))
)
))"),1543.8108874664902)</f>
        <v>1543.810887</v>
      </c>
      <c r="E14" s="32">
        <f>IFERROR(__xludf.DUMMYFUNCTION("IF('Résultats des tournois'!D$2=0,"""",LET(
lastVal, INDEX(FILTER($B14:D14, ISNUMBER($B14:D14)), COUNTA(FILTER($B14:D14, ISNUMBER($B14:D14)))),
IFERROR(
IF('Résultats des tournois'!D14="""", INDEX(FILTER($C14:D14, ISNUMBER($C14:D14)), COUNTA(FILTER($C14:D"&amp;"14, ISNUMBER($C14:D14)))),
lastVal + 'K dynamique'!D14 * ((SQRT('Résultats des tournois'!D$2 + 1)/'Résultats des tournois'!D14) - (1 / (1 + 10^((D$103 - lastVal)/400)))))
)
))"),1535.738375791348)</f>
        <v>1535.738376</v>
      </c>
      <c r="F14" s="32">
        <f>IFERROR(__xludf.DUMMYFUNCTION("IF('Résultats des tournois'!E$2=0,"""",LET(
lastVal, INDEX(FILTER($B14:E14, ISNUMBER($B14:E14)), COUNTA(FILTER($B14:E14, ISNUMBER($B14:E14)))),
IFERROR(
IF('Résultats des tournois'!E14="""", INDEX(FILTER($C14:E14, ISNUMBER($C14:E14)), COUNTA(FILTER($C14:E"&amp;"14, ISNUMBER($C14:E14)))),
lastVal + 'K dynamique'!E14 * ((SQRT('Résultats des tournois'!E$2 + 1)/'Résultats des tournois'!E14) - (1 / (1 + 10^((E$103 - lastVal)/400)))))
)
))"),1535.4006051047752)</f>
        <v>1535.400605</v>
      </c>
      <c r="G14" s="32">
        <f>IFERROR(__xludf.DUMMYFUNCTION("IF('Résultats des tournois'!F$2=0,"""",LET(
lastVal, INDEX(FILTER($B14:F14, ISNUMBER($B14:F14)), COUNTA(FILTER($B14:F14, ISNUMBER($B14:F14)))),
IFERROR(
IF('Résultats des tournois'!F14="""", INDEX(FILTER($C14:F14, ISNUMBER($C14:F14)), COUNTA(FILTER($C14:F"&amp;"14, ISNUMBER($C14:F14)))),
lastVal + 'K dynamique'!F14 * ((SQRT('Résultats des tournois'!F$2 + 1)/'Résultats des tournois'!F14) - (1 / (1 + 10^((F$103 - lastVal)/400)))))
)
))"),1548.5302203537447)</f>
        <v>1548.53022</v>
      </c>
      <c r="H14" s="32">
        <f>IFERROR(__xludf.DUMMYFUNCTION("IF('Résultats des tournois'!G$2=0,"""",LET(
lastVal, INDEX(FILTER($B14:G14, ISNUMBER($B14:G14)), COUNTA(FILTER($B14:G14, ISNUMBER($B14:G14)))),
IFERROR(
IF('Résultats des tournois'!G14="""", INDEX(FILTER($C14:G14, ISNUMBER($C14:G14)), COUNTA(FILTER($C14:G"&amp;"14, ISNUMBER($C14:G14)))),
lastVal + 'K dynamique'!G14 * ((SQRT('Résultats des tournois'!G$2 + 1)/'Résultats des tournois'!G14) - (1 / (1 + 10^((G$103 - lastVal)/400)))))
)
))"),1623.0700176589844)</f>
        <v>1623.070018</v>
      </c>
      <c r="I14" s="32">
        <f>IFERROR(__xludf.DUMMYFUNCTION("IF('Résultats des tournois'!H$2=0,"""",LET(
lastVal, INDEX(FILTER($B14:H14, ISNUMBER($B14:H14)), COUNTA(FILTER($B14:H14, ISNUMBER($B14:H14)))),
IFERROR(
IF('Résultats des tournois'!H14="""", INDEX(FILTER($C14:H14, ISNUMBER($C14:H14)), COUNTA(FILTER($C14:H"&amp;"14, ISNUMBER($C14:H14)))),
lastVal + 'K dynamique'!H14 * ((SQRT('Résultats des tournois'!H$2 + 1)/'Résultats des tournois'!H14) - (1 / (1 + 10^((H$103 - lastVal)/400)))))
)
))"),1707.4828782105865)</f>
        <v>1707.482878</v>
      </c>
      <c r="J14" s="32">
        <f>IFERROR(__xludf.DUMMYFUNCTION("IF('Résultats des tournois'!I$2=0,"""",LET(
lastVal, INDEX(FILTER($B14:I14, ISNUMBER($B14:I14)), COUNTA(FILTER($B14:I14, ISNUMBER($B14:I14)))),
IFERROR(
IF('Résultats des tournois'!I14="""", INDEX(FILTER($C14:I14, ISNUMBER($C14:I14)), COUNTA(FILTER($C14:I"&amp;"14, ISNUMBER($C14:I14)))),
lastVal + 'K dynamique'!I14 * ((SQRT('Résultats des tournois'!I$2 + 1)/'Résultats des tournois'!I14) - (1 / (1 + 10^((I$103 - lastVal)/400)))))
)
))"),1698.5277072693023)</f>
        <v>1698.527707</v>
      </c>
      <c r="K14" s="32">
        <f>IFERROR(__xludf.DUMMYFUNCTION("IF('Résultats des tournois'!J$2=0,"""",LET(
lastVal, INDEX(FILTER($B14:J14, ISNUMBER($B14:J14)), COUNTA(FILTER($B14:J14, ISNUMBER($B14:J14)))),
IFERROR(
IF('Résultats des tournois'!J14="""", INDEX(FILTER($C14:J14, ISNUMBER($C14:J14)), COUNTA(FILTER($C14:J"&amp;"14, ISNUMBER($C14:J14)))),
lastVal + 'K dynamique'!J14 * ((SQRT('Résultats des tournois'!J$2 + 1)/'Résultats des tournois'!J14) - (1 / (1 + 10^((J$103 - lastVal)/400)))))
)
))"),1688.4267970043354)</f>
        <v>1688.426797</v>
      </c>
      <c r="L14" s="32">
        <f>IFERROR(__xludf.DUMMYFUNCTION("IF('Résultats des tournois'!K$2=0,"""",LET(
lastVal, INDEX(FILTER($B14:K14, ISNUMBER($B14:K14)), COUNTA(FILTER($B14:K14, ISNUMBER($B14:K14)))),
IFERROR(
IF('Résultats des tournois'!K14="""", INDEX(FILTER($C14:K14, ISNUMBER($C14:K14)), COUNTA(FILTER($C14:K"&amp;"14, ISNUMBER($C14:K14)))),
lastVal + 'K dynamique'!K14 * ((SQRT('Résultats des tournois'!K$2 + 1)/'Résultats des tournois'!K14) - (1 / (1 + 10^((K$103 - lastVal)/400)))))
)
))"),1696.478137130286)</f>
        <v>1696.478137</v>
      </c>
      <c r="M14" s="32">
        <f>IFERROR(__xludf.DUMMYFUNCTION("IF('Résultats des tournois'!L$2=0,"""",LET(
lastVal, INDEX(FILTER($B14:L14, ISNUMBER($B14:L14)), COUNTA(FILTER($B14:L14, ISNUMBER($B14:L14)))),
IFERROR(
IF('Résultats des tournois'!L14="""", INDEX(FILTER($C14:L14, ISNUMBER($C14:L14)), COUNTA(FILTER($C14:L"&amp;"14, ISNUMBER($C14:L14)))),
lastVal + 'K dynamique'!L14 * ((SQRT('Résultats des tournois'!L$2 + 1)/'Résultats des tournois'!L14) - (1 / (1 + 10^((L$103 - lastVal)/400)))))
)
))"),1687.9488220161998)</f>
        <v>1687.948822</v>
      </c>
      <c r="N14" s="32" t="str">
        <f>IFERROR(__xludf.DUMMYFUNCTION("IF('Résultats des tournois'!M$2=0,"""",LET(
lastVal, INDEX(FILTER($B14:M14, ISNUMBER($B14:M14)), COUNTA(FILTER($B14:M14, ISNUMBER($B14:M14)))),
IFERROR(
IF('Résultats des tournois'!M14="""", INDEX(FILTER($C14:M14, ISNUMBER($C14:M14)), COUNTA(FILTER($C14:M"&amp;"14, ISNUMBER($C14:M14)))),
lastVal + 'K dynamique'!M14 * ((SQRT('Résultats des tournois'!M$2 + 1)/'Résultats des tournois'!M14) - (1 / (1 + 10^((M$103 - lastVal)/400)))))
)
))"),"")</f>
        <v/>
      </c>
      <c r="O14" s="32" t="str">
        <f>IFERROR(__xludf.DUMMYFUNCTION("IF('Résultats des tournois'!N$2=0,"""",LET(
lastVal, INDEX(FILTER($B14:N14, ISNUMBER($B14:N14)), COUNTA(FILTER($B14:N14, ISNUMBER($B14:N14)))),
IFERROR(
IF('Résultats des tournois'!N14="""", INDEX(FILTER($C14:N14, ISNUMBER($C14:N14)), COUNTA(FILTER($C14:N"&amp;"14, ISNUMBER($C14:N14)))),
lastVal + 'K dynamique'!N14 * ((SQRT('Résultats des tournois'!N$2 + 1)/'Résultats des tournois'!N14) - (1 / (1 + 10^((N$103 - lastVal)/400)))))
)
))"),"")</f>
        <v/>
      </c>
      <c r="P14" s="32" t="str">
        <f>IFERROR(__xludf.DUMMYFUNCTION("IF('Résultats des tournois'!O$2=0,"""",LET(
lastVal, INDEX(FILTER($B14:O14, ISNUMBER($B14:O14)), COUNTA(FILTER($B14:O14, ISNUMBER($B14:O14)))),
IFERROR(
IF('Résultats des tournois'!O14="""", INDEX(FILTER($C14:O14, ISNUMBER($C14:O14)), COUNTA(FILTER($C14:O"&amp;"14, ISNUMBER($C14:O14)))),
lastVal + 'K dynamique'!O14 * ((SQRT('Résultats des tournois'!O$2 + 1)/'Résultats des tournois'!O14) - (1 / (1 + 10^((O$103 - lastVal)/400)))))
)
))"),"")</f>
        <v/>
      </c>
      <c r="Q14" s="32" t="str">
        <f>IFERROR(__xludf.DUMMYFUNCTION("IF('Résultats des tournois'!P$2=0,"""",LET(
lastVal, INDEX(FILTER($B14:P14, ISNUMBER($B14:P14)), COUNTA(FILTER($B14:P14, ISNUMBER($B14:P14)))),
IFERROR(
IF('Résultats des tournois'!P14="""", INDEX(FILTER($C14:P14, ISNUMBER($C14:P14)), COUNTA(FILTER($C14:P"&amp;"14, ISNUMBER($C14:P14)))),
lastVal + 'K dynamique'!P14 * ((SQRT('Résultats des tournois'!P$2 + 1)/'Résultats des tournois'!P14) - (1 / (1 + 10^((P$103 - lastVal)/400)))))
)
))"),"")</f>
        <v/>
      </c>
      <c r="R14" s="32" t="str">
        <f>IFERROR(__xludf.DUMMYFUNCTION("IF('Résultats des tournois'!Q$2=0,"""",LET(
lastVal, INDEX(FILTER($B14:Q14, ISNUMBER($B14:Q14)), COUNTA(FILTER($B14:Q14, ISNUMBER($B14:Q14)))),
IFERROR(
IF('Résultats des tournois'!Q14="""", INDEX(FILTER($C14:Q14, ISNUMBER($C14:Q14)), COUNTA(FILTER($C14:Q"&amp;"14, ISNUMBER($C14:Q14)))),
lastVal + 'K dynamique'!Q14 * ((SQRT('Résultats des tournois'!Q$2 + 1)/'Résultats des tournois'!Q14) - (1 / (1 + 10^((Q$103 - lastVal)/400)))))
)
))"),"")</f>
        <v/>
      </c>
      <c r="S14" s="32" t="str">
        <f>IFERROR(__xludf.DUMMYFUNCTION("IF('Résultats des tournois'!R$2=0,"""",LET(
lastVal, INDEX(FILTER($B14:R14, ISNUMBER($B14:R14)), COUNTA(FILTER($B14:R14, ISNUMBER($B14:R14)))),
IFERROR(
IF('Résultats des tournois'!R14="""", INDEX(FILTER($C14:R14, ISNUMBER($C14:R14)), COUNTA(FILTER($C14:R"&amp;"14, ISNUMBER($C14:R14)))),
lastVal + 'K dynamique'!R14 * ((SQRT('Résultats des tournois'!R$2 + 1)/'Résultats des tournois'!R14) - (1 / (1 + 10^((R$103 - lastVal)/400)))))
)
))"),"")</f>
        <v/>
      </c>
      <c r="T14" s="32" t="str">
        <f>IFERROR(__xludf.DUMMYFUNCTION("IF('Résultats des tournois'!S$2=0,"""",LET(
lastVal, INDEX(FILTER($B14:S14, ISNUMBER($B14:S14)), COUNTA(FILTER($B14:S14, ISNUMBER($B14:S14)))),
IFERROR(
IF('Résultats des tournois'!S14="""", INDEX(FILTER($C14:S14, ISNUMBER($C14:S14)), COUNTA(FILTER($C14:S"&amp;"14, ISNUMBER($C14:S14)))),
lastVal + 'K dynamique'!S14 * ((SQRT('Résultats des tournois'!S$2 + 1)/'Résultats des tournois'!S14) - (1 / (1 + 10^((S$103 - lastVal)/400)))))
)
))"),"")</f>
        <v/>
      </c>
      <c r="U14" s="32" t="str">
        <f>IFERROR(__xludf.DUMMYFUNCTION("IF('Résultats des tournois'!T$2=0,"""",LET(
lastVal, INDEX(FILTER($B14:T14, ISNUMBER($B14:T14)), COUNTA(FILTER($B14:T14, ISNUMBER($B14:T14)))),
IFERROR(
IF('Résultats des tournois'!T14="""", INDEX(FILTER($C14:T14, ISNUMBER($C14:T14)), COUNTA(FILTER($C14:T"&amp;"14, ISNUMBER($C14:T14)))),
lastVal + 'K dynamique'!T14 * ((SQRT('Résultats des tournois'!T$2 + 1)/'Résultats des tournois'!T14) - (1 / (1 + 10^((T$103 - lastVal)/400)))))
)
))"),"")</f>
        <v/>
      </c>
      <c r="V14" s="32" t="str">
        <f>IFERROR(__xludf.DUMMYFUNCTION("IF('Résultats des tournois'!U$2=0,"""",LET(
lastVal, INDEX(FILTER($B14:U14, ISNUMBER($B14:U14)), COUNTA(FILTER($B14:U14, ISNUMBER($B14:U14)))),
IFERROR(
IF('Résultats des tournois'!U14="""", INDEX(FILTER($C14:U14, ISNUMBER($C14:U14)), COUNTA(FILTER($C14:U"&amp;"14, ISNUMBER($C14:U14)))),
lastVal + 'K dynamique'!U14 * ((SQRT('Résultats des tournois'!U$2 + 1)/'Résultats des tournois'!U14) - (1 / (1 + 10^((U$103 - lastVal)/400)))))
)
))"),"")</f>
        <v/>
      </c>
      <c r="W14" s="32" t="str">
        <f>IFERROR(__xludf.DUMMYFUNCTION("IF('Résultats des tournois'!V$2=0,"""",LET(
lastVal, INDEX(FILTER($B14:V14, ISNUMBER($B14:V14)), COUNTA(FILTER($B14:V14, ISNUMBER($B14:V14)))),
IFERROR(
IF('Résultats des tournois'!V14="""", INDEX(FILTER($C14:V14, ISNUMBER($C14:V14)), COUNTA(FILTER($C14:V"&amp;"14, ISNUMBER($C14:V14)))),
lastVal + 'K dynamique'!V14 * ((SQRT('Résultats des tournois'!V$2 + 1)/'Résultats des tournois'!V14) - (1 / (1 + 10^((V$103 - lastVal)/400)))))
)
))"),"")</f>
        <v/>
      </c>
      <c r="X14" s="32" t="str">
        <f>IFERROR(__xludf.DUMMYFUNCTION("IF('Résultats des tournois'!W$2=0,"""",LET(
lastVal, INDEX(FILTER($B14:W14, ISNUMBER($B14:W14)), COUNTA(FILTER($B14:W14, ISNUMBER($B14:W14)))),
IFERROR(
IF('Résultats des tournois'!W14="""", INDEX(FILTER($C14:W14, ISNUMBER($C14:W14)), COUNTA(FILTER($C14:W"&amp;"14, ISNUMBER($C14:W14)))),
lastVal + 'K dynamique'!W14 * ((SQRT('Résultats des tournois'!W$2 + 1)/'Résultats des tournois'!W14) - (1 / (1 + 10^((W$103 - lastVal)/400)))))
)
))"),"")</f>
        <v/>
      </c>
      <c r="Y14" s="32" t="str">
        <f>IFERROR(__xludf.DUMMYFUNCTION("IF('Résultats des tournois'!X$2=0,"""",LET(
lastVal, INDEX(FILTER($B14:X14, ISNUMBER($B14:X14)), COUNTA(FILTER($B14:X14, ISNUMBER($B14:X14)))),
IFERROR(
IF('Résultats des tournois'!X14="""", INDEX(FILTER($C14:X14, ISNUMBER($C14:X14)), COUNTA(FILTER($C14:X"&amp;"14, ISNUMBER($C14:X14)))),
lastVal + 'K dynamique'!X14 * ((SQRT('Résultats des tournois'!X$2 + 1)/'Résultats des tournois'!X14) - (1 / (1 + 10^((X$103 - lastVal)/400)))))
)
))"),"")</f>
        <v/>
      </c>
      <c r="Z14" s="32" t="str">
        <f>IFERROR(__xludf.DUMMYFUNCTION("IF('Résultats des tournois'!Y$2=0,"""",LET(
lastVal, INDEX(FILTER($B14:Y14, ISNUMBER($B14:Y14)), COUNTA(FILTER($B14:Y14, ISNUMBER($B14:Y14)))),
IFERROR(
IF('Résultats des tournois'!Y14="""", INDEX(FILTER($C14:Y14, ISNUMBER($C14:Y14)), COUNTA(FILTER($C14:Y"&amp;"14, ISNUMBER($C14:Y14)))),
lastVal + 'K dynamique'!Y14 * ((SQRT('Résultats des tournois'!Y$2 + 1)/'Résultats des tournois'!Y14) - (1 / (1 + 10^((Y$103 - lastVal)/400)))))
)
))"),"")</f>
        <v/>
      </c>
      <c r="AA14" s="32" t="str">
        <f>IFERROR(__xludf.DUMMYFUNCTION("IF('Résultats des tournois'!Z$2=0,"""",LET(
lastVal, INDEX(FILTER($B14:Z14, ISNUMBER($B14:Z14)), COUNTA(FILTER($B14:Z14, ISNUMBER($B14:Z14)))),
IFERROR(
IF('Résultats des tournois'!Z14="""", INDEX(FILTER($C14:Z14, ISNUMBER($C14:Z14)), COUNTA(FILTER($C14:Z"&amp;"14, ISNUMBER($C14:Z14)))),
lastVal + 'K dynamique'!Z14 * ((SQRT('Résultats des tournois'!Z$2 + 1)/'Résultats des tournois'!Z14) - (1 / (1 + 10^((Z$103 - lastVal)/400)))))
)
))"),"")</f>
        <v/>
      </c>
      <c r="AB14" s="32" t="str">
        <f>IFERROR(__xludf.DUMMYFUNCTION("IF('Résultats des tournois'!AA$2=0,"""",LET(
lastVal, INDEX(FILTER($B14:AA14, ISNUMBER($B14:AA14)), COUNTA(FILTER($B14:AA14, ISNUMBER($B14:AA14)))),
IFERROR(
IF('Résultats des tournois'!AA14="""", INDEX(FILTER($C14:AA14, ISNUMBER($C14:AA14)), COUNTA(FILTE"&amp;"R($C14:AA14, ISNUMBER($C14:AA14)))),
lastVal + 'K dynamique'!AA14 * ((SQRT('Résultats des tournois'!AA$2 + 1)/'Résultats des tournois'!AA14) - (1 / (1 + 10^((AA$103 - lastVal)/400)))))
)
))"),"")</f>
        <v/>
      </c>
      <c r="AC14" s="32" t="str">
        <f>IFERROR(__xludf.DUMMYFUNCTION("IF('Résultats des tournois'!AB$2=0,"""",LET(
lastVal, INDEX(FILTER($B14:AB14, ISNUMBER($B14:AB14)), COUNTA(FILTER($B14:AB14, ISNUMBER($B14:AB14)))),
IFERROR(
IF('Résultats des tournois'!AB14="""", INDEX(FILTER($C14:AB14, ISNUMBER($C14:AB14)), COUNTA(FILTE"&amp;"R($C14:AB14, ISNUMBER($C14:AB14)))),
lastVal + 'K dynamique'!AB14 * ((SQRT('Résultats des tournois'!AB$2 + 1)/'Résultats des tournois'!AB14) - (1 / (1 + 10^((AB$103 - lastVal)/400)))))
)
))"),"")</f>
        <v/>
      </c>
      <c r="AD14" s="32" t="str">
        <f>IFERROR(__xludf.DUMMYFUNCTION("IF('Résultats des tournois'!AC$2=0,"""",LET(
lastVal, INDEX(FILTER($B14:AC14, ISNUMBER($B14:AC14)), COUNTA(FILTER($B14:AC14, ISNUMBER($B14:AC14)))),
IFERROR(
IF('Résultats des tournois'!AC14="""", INDEX(FILTER($C14:AC14, ISNUMBER($C14:AC14)), COUNTA(FILTE"&amp;"R($C14:AC14, ISNUMBER($C14:AC14)))),
lastVal + 'K dynamique'!AC14 * ((SQRT('Résultats des tournois'!AC$2 + 1)/'Résultats des tournois'!AC14) - (1 / (1 + 10^((AC$103 - lastVal)/400)))))
)
))"),"")</f>
        <v/>
      </c>
      <c r="AE14" s="32" t="str">
        <f>IFERROR(__xludf.DUMMYFUNCTION("IF('Résultats des tournois'!AD$2=0,"""",LET(
lastVal, INDEX(FILTER($B14:AD14, ISNUMBER($B14:AD14)), COUNTA(FILTER($B14:AD14, ISNUMBER($B14:AD14)))),
IFERROR(
IF('Résultats des tournois'!AD14="""", INDEX(FILTER($C14:AD14, ISNUMBER($C14:AD14)), COUNTA(FILTE"&amp;"R($C14:AD14, ISNUMBER($C14:AD14)))),
lastVal + 'K dynamique'!AD14 * ((SQRT('Résultats des tournois'!AD$2 + 1)/'Résultats des tournois'!AD14) - (1 / (1 + 10^((AD$103 - lastVal)/400)))))
)
))"),"")</f>
        <v/>
      </c>
      <c r="AF14" s="32" t="str">
        <f>IFERROR(__xludf.DUMMYFUNCTION("IF('Résultats des tournois'!AE$2=0,"""",LET(
lastVal, INDEX(FILTER($B14:AE14, ISNUMBER($B14:AE14)), COUNTA(FILTER($B14:AE14, ISNUMBER($B14:AE14)))),
IFERROR(
IF('Résultats des tournois'!AE14="""", INDEX(FILTER($C14:AE14, ISNUMBER($C14:AE14)), COUNTA(FILTE"&amp;"R($C14:AE14, ISNUMBER($C14:AE14)))),
lastVal + 'K dynamique'!AE14 * ((SQRT('Résultats des tournois'!AE$2 + 1)/'Résultats des tournois'!AE14) - (1 / (1 + 10^((AE$103 - lastVal)/400)))))
)
))"),"")</f>
        <v/>
      </c>
      <c r="AG14" s="32" t="str">
        <f>IFERROR(__xludf.DUMMYFUNCTION("IF('Résultats des tournois'!AF$2=0,"""",LET(
lastVal, INDEX(FILTER($B14:AF14, ISNUMBER($B14:AF14)), COUNTA(FILTER($B14:AF14, ISNUMBER($B14:AF14)))),
IFERROR(
IF('Résultats des tournois'!AF14="""", INDEX(FILTER($C14:AF14, ISNUMBER($C14:AF14)), COUNTA(FILTE"&amp;"R($C14:AF14, ISNUMBER($C14:AF14)))),
lastVal + 'K dynamique'!AF14 * ((SQRT('Résultats des tournois'!AF$2 + 1)/'Résultats des tournois'!AF14) - (1 / (1 + 10^((AF$103 - lastVal)/400)))))
)
))"),"")</f>
        <v/>
      </c>
      <c r="AH14" s="32" t="str">
        <f>IFERROR(__xludf.DUMMYFUNCTION("IF('Résultats des tournois'!AG$2=0,"""",LET(
lastVal, INDEX(FILTER($B14:AG14, ISNUMBER($B14:AG14)), COUNTA(FILTER($B14:AG14, ISNUMBER($B14:AG14)))),
IFERROR(
IF('Résultats des tournois'!AG14="""", INDEX(FILTER($C14:AG14, ISNUMBER($C14:AG14)), COUNTA(FILTE"&amp;"R($C14:AG14, ISNUMBER($C14:AG14)))),
lastVal + 'K dynamique'!AG14 * ((SQRT('Résultats des tournois'!AG$2 + 1)/'Résultats des tournois'!AG14) - (1 / (1 + 10^((AG$103 - lastVal)/400)))))
)
))"),"")</f>
        <v/>
      </c>
      <c r="AI14" s="32" t="str">
        <f>IFERROR(__xludf.DUMMYFUNCTION("IF('Résultats des tournois'!AH$2=0,"""",LET(
lastVal, INDEX(FILTER($B14:AH14, ISNUMBER($B14:AH14)), COUNTA(FILTER($B14:AH14, ISNUMBER($B14:AH14)))),
IFERROR(
IF('Résultats des tournois'!AH14="""", INDEX(FILTER($C14:AH14, ISNUMBER($C14:AH14)), COUNTA(FILTE"&amp;"R($C14:AH14, ISNUMBER($C14:AH14)))),
lastVal + 'K dynamique'!AH14 * ((SQRT('Résultats des tournois'!AH$2 + 1)/'Résultats des tournois'!AH14) - (1 / (1 + 10^((AH$103 - lastVal)/400)))))
)
))"),"")</f>
        <v/>
      </c>
      <c r="AJ14" s="32" t="str">
        <f>IFERROR(__xludf.DUMMYFUNCTION("IF('Résultats des tournois'!AI$2=0,"""",LET(
lastVal, INDEX(FILTER($B14:AI14, ISNUMBER($B14:AI14)), COUNTA(FILTER($B14:AI14, ISNUMBER($B14:AI14)))),
IFERROR(
IF('Résultats des tournois'!AI14="""", INDEX(FILTER($C14:AI14, ISNUMBER($C14:AI14)), COUNTA(FILTE"&amp;"R($C14:AI14, ISNUMBER($C14:AI14)))),
lastVal + 'K dynamique'!AI14 * ((SQRT('Résultats des tournois'!AI$2 + 1)/'Résultats des tournois'!AI14) - (1 / (1 + 10^((AI$103 - lastVal)/400)))))
)
))"),"")</f>
        <v/>
      </c>
      <c r="AK14" s="32" t="str">
        <f>IFERROR(__xludf.DUMMYFUNCTION("IF('Résultats des tournois'!AJ$2=0,"""",LET(
lastVal, INDEX(FILTER($B14:AJ14, ISNUMBER($B14:AJ14)), COUNTA(FILTER($B14:AJ14, ISNUMBER($B14:AJ14)))),
IFERROR(
IF('Résultats des tournois'!AJ14="""", INDEX(FILTER($C14:AJ14, ISNUMBER($C14:AJ14)), COUNTA(FILTE"&amp;"R($C14:AJ14, ISNUMBER($C14:AJ14)))),
lastVal + 'K dynamique'!AJ14 * ((SQRT('Résultats des tournois'!AJ$2 + 1)/'Résultats des tournois'!AJ14) - (1 / (1 + 10^((AJ$103 - lastVal)/400)))))
)
))"),"")</f>
        <v/>
      </c>
      <c r="AL14" s="32" t="str">
        <f>IFERROR(__xludf.DUMMYFUNCTION("IF('Résultats des tournois'!AK$2=0,"""",LET(
lastVal, INDEX(FILTER($B14:AK14, ISNUMBER($B14:AK14)), COUNTA(FILTER($B14:AK14, ISNUMBER($B14:AK14)))),
IFERROR(
IF('Résultats des tournois'!AK14="""", INDEX(FILTER($C14:AK14, ISNUMBER($C14:AK14)), COUNTA(FILTE"&amp;"R($C14:AK14, ISNUMBER($C14:AK14)))),
lastVal + 'K dynamique'!AK14 * ((SQRT('Résultats des tournois'!AK$2 + 1)/'Résultats des tournois'!AK14) - (1 / (1 + 10^((AK$103 - lastVal)/400)))))
)
))"),"")</f>
        <v/>
      </c>
      <c r="AM14" s="32" t="str">
        <f>IFERROR(__xludf.DUMMYFUNCTION("IF('Résultats des tournois'!AL$2=0,"""",LET(
lastVal, INDEX(FILTER($B14:AL14, ISNUMBER($B14:AL14)), COUNTA(FILTER($B14:AL14, ISNUMBER($B14:AL14)))),
IFERROR(
IF('Résultats des tournois'!AL14="""", INDEX(FILTER($C14:AL14, ISNUMBER($C14:AL14)), COUNTA(FILTE"&amp;"R($C14:AL14, ISNUMBER($C14:AL14)))),
lastVal + 'K dynamique'!AL14 * ((SQRT('Résultats des tournois'!AL$2 + 1)/'Résultats des tournois'!AL14) - (1 / (1 + 10^((AL$103 - lastVal)/400)))))
)
))"),"")</f>
        <v/>
      </c>
      <c r="AN14" s="32" t="str">
        <f>IFERROR(__xludf.DUMMYFUNCTION("IF('Résultats des tournois'!AM$2=0,"""",LET(
lastVal, INDEX(FILTER($B14:AM14, ISNUMBER($B14:AM14)), COUNTA(FILTER($B14:AM14, ISNUMBER($B14:AM14)))),
IFERROR(
IF('Résultats des tournois'!AM14="""", INDEX(FILTER($C14:AM14, ISNUMBER($C14:AM14)), COUNTA(FILTE"&amp;"R($C14:AM14, ISNUMBER($C14:AM14)))),
lastVal + 'K dynamique'!AM14 * ((SQRT('Résultats des tournois'!AM$2 + 1)/'Résultats des tournois'!AM14) - (1 / (1 + 10^((AM$103 - lastVal)/400)))))
)
))"),"")</f>
        <v/>
      </c>
      <c r="AO14" s="32" t="str">
        <f>IFERROR(__xludf.DUMMYFUNCTION("IF('Résultats des tournois'!AN$2=0,"""",LET(
lastVal, INDEX(FILTER($B14:AN14, ISNUMBER($B14:AN14)), COUNTA(FILTER($B14:AN14, ISNUMBER($B14:AN14)))),
IFERROR(
IF('Résultats des tournois'!AN14="""", INDEX(FILTER($C14:AN14, ISNUMBER($C14:AN14)), COUNTA(FILTE"&amp;"R($C14:AN14, ISNUMBER($C14:AN14)))),
lastVal + 'K dynamique'!AN14 * ((SQRT('Résultats des tournois'!AN$2 + 1)/'Résultats des tournois'!AN14) - (1 / (1 + 10^((AN$103 - lastVal)/400)))))
)
))"),"")</f>
        <v/>
      </c>
      <c r="AP14" s="32" t="str">
        <f>IFERROR(__xludf.DUMMYFUNCTION("IF('Résultats des tournois'!AO$2=0,"""",LET(
lastVal, INDEX(FILTER($B14:AO14, ISNUMBER($B14:AO14)), COUNTA(FILTER($B14:AO14, ISNUMBER($B14:AO14)))),
IFERROR(
IF('Résultats des tournois'!AO14="""", INDEX(FILTER($C14:AO14, ISNUMBER($C14:AO14)), COUNTA(FILTE"&amp;"R($C14:AO14, ISNUMBER($C14:AO14)))),
lastVal + 'K dynamique'!AO14 * ((SQRT('Résultats des tournois'!AO$2 + 1)/'Résultats des tournois'!AO14) - (1 / (1 + 10^((AO$103 - lastVal)/400)))))
)
))"),"")</f>
        <v/>
      </c>
      <c r="AQ14" s="32" t="str">
        <f>IFERROR(__xludf.DUMMYFUNCTION("IF('Résultats des tournois'!AP$2=0,"""",LET(
lastVal, INDEX(FILTER($B14:AP14, ISNUMBER($B14:AP14)), COUNTA(FILTER($B14:AP14, ISNUMBER($B14:AP14)))),
IFERROR(
IF('Résultats des tournois'!AP14="""", INDEX(FILTER($C14:AP14, ISNUMBER($C14:AP14)), COUNTA(FILTE"&amp;"R($C14:AP14, ISNUMBER($C14:AP14)))),
lastVal + 'K dynamique'!AP14 * ((SQRT('Résultats des tournois'!AP$2 + 1)/'Résultats des tournois'!AP14) - (1 / (1 + 10^((AP$103 - lastVal)/400)))))
)
))"),"")</f>
        <v/>
      </c>
      <c r="AR14" s="32" t="str">
        <f>IFERROR(__xludf.DUMMYFUNCTION("IF('Résultats des tournois'!AQ$2=0,"""",LET(
lastVal, INDEX(FILTER($B14:AQ14, ISNUMBER($B14:AQ14)), COUNTA(FILTER($B14:AQ14, ISNUMBER($B14:AQ14)))),
IFERROR(
IF('Résultats des tournois'!AQ14="""", INDEX(FILTER($C14:AQ14, ISNUMBER($C14:AQ14)), COUNTA(FILTE"&amp;"R($C14:AQ14, ISNUMBER($C14:AQ14)))),
lastVal + 'K dynamique'!AQ14 * ((SQRT('Résultats des tournois'!AQ$2 + 1)/'Résultats des tournois'!AQ14) - (1 / (1 + 10^((AQ$103 - lastVal)/400)))))
)
))"),"")</f>
        <v/>
      </c>
      <c r="AS14" s="32" t="str">
        <f>IFERROR(__xludf.DUMMYFUNCTION("IF('Résultats des tournois'!AR$2=0,"""",LET(
lastVal, INDEX(FILTER($B14:AR14, ISNUMBER($B14:AR14)), COUNTA(FILTER($B14:AR14, ISNUMBER($B14:AR14)))),
IFERROR(
IF('Résultats des tournois'!AR14="""", INDEX(FILTER($C14:AR14, ISNUMBER($C14:AR14)), COUNTA(FILTE"&amp;"R($C14:AR14, ISNUMBER($C14:AR14)))),
lastVal + 'K dynamique'!AR14 * ((SQRT('Résultats des tournois'!AR$2 + 1)/'Résultats des tournois'!AR14) - (1 / (1 + 10^((AR$103 - lastVal)/400)))))
)
))"),"")</f>
        <v/>
      </c>
      <c r="AT14" s="32" t="str">
        <f>IFERROR(__xludf.DUMMYFUNCTION("IF('Résultats des tournois'!AS$2=0,"""",LET(
lastVal, INDEX(FILTER($B14:AS14, ISNUMBER($B14:AS14)), COUNTA(FILTER($B14:AS14, ISNUMBER($B14:AS14)))),
IFERROR(
IF('Résultats des tournois'!AS14="""", INDEX(FILTER($C14:AS14, ISNUMBER($C14:AS14)), COUNTA(FILTE"&amp;"R($C14:AS14, ISNUMBER($C14:AS14)))),
lastVal + 'K dynamique'!AS14 * ((SQRT('Résultats des tournois'!AS$2 + 1)/'Résultats des tournois'!AS14) - (1 / (1 + 10^((AS$103 - lastVal)/400)))))
)
))"),"")</f>
        <v/>
      </c>
      <c r="AU14" s="32" t="str">
        <f>IFERROR(__xludf.DUMMYFUNCTION("IF('Résultats des tournois'!AT$2=0,"""",LET(
lastVal, INDEX(FILTER($B14:AT14, ISNUMBER($B14:AT14)), COUNTA(FILTER($B14:AT14, ISNUMBER($B14:AT14)))),
IFERROR(
IF('Résultats des tournois'!AT14="""", INDEX(FILTER($C14:AT14, ISNUMBER($C14:AT14)), COUNTA(FILTE"&amp;"R($C14:AT14, ISNUMBER($C14:AT14)))),
lastVal + 'K dynamique'!AT14 * ((SQRT('Résultats des tournois'!AT$2 + 1)/'Résultats des tournois'!AT14) - (1 / (1 + 10^((AT$103 - lastVal)/400)))))
)
))"),"")</f>
        <v/>
      </c>
      <c r="AV14" s="32" t="str">
        <f>IFERROR(__xludf.DUMMYFUNCTION("IF('Résultats des tournois'!AU$2=0,"""",LET(
lastVal, INDEX(FILTER($B14:AU14, ISNUMBER($B14:AU14)), COUNTA(FILTER($B14:AU14, ISNUMBER($B14:AU14)))),
IFERROR(
IF('Résultats des tournois'!AU14="""", INDEX(FILTER($C14:AU14, ISNUMBER($C14:AU14)), COUNTA(FILTE"&amp;"R($C14:AU14, ISNUMBER($C14:AU14)))),
lastVal + 'K dynamique'!AU14 * ((SQRT('Résultats des tournois'!AU$2 + 1)/'Résultats des tournois'!AU14) - (1 / (1 + 10^((AU$103 - lastVal)/400)))))
)
))"),"")</f>
        <v/>
      </c>
      <c r="AW14" s="32" t="str">
        <f>IFERROR(__xludf.DUMMYFUNCTION("IF('Résultats des tournois'!AV$2=0,"""",LET(
lastVal, INDEX(FILTER($B14:AV14, ISNUMBER($B14:AV14)), COUNTA(FILTER($B14:AV14, ISNUMBER($B14:AV14)))),
IFERROR(
IF('Résultats des tournois'!AV14="""", INDEX(FILTER($C14:AV14, ISNUMBER($C14:AV14)), COUNTA(FILTE"&amp;"R($C14:AV14, ISNUMBER($C14:AV14)))),
lastVal + 'K dynamique'!AV14 * ((SQRT('Résultats des tournois'!AV$2 + 1)/'Résultats des tournois'!AV14) - (1 / (1 + 10^((AV$103 - lastVal)/400)))))
)
))"),"")</f>
        <v/>
      </c>
      <c r="AX14" s="32" t="str">
        <f>IFERROR(__xludf.DUMMYFUNCTION("IF('Résultats des tournois'!AW$2=0,"""",LET(
lastVal, INDEX(FILTER($B14:AW14, ISNUMBER($B14:AW14)), COUNTA(FILTER($B14:AW14, ISNUMBER($B14:AW14)))),
IFERROR(
IF('Résultats des tournois'!AW14="""", INDEX(FILTER($C14:AW14, ISNUMBER($C14:AW14)), COUNTA(FILTE"&amp;"R($C14:AW14, ISNUMBER($C14:AW14)))),
lastVal + 'K dynamique'!AW14 * ((SQRT('Résultats des tournois'!AW$2 + 1)/'Résultats des tournois'!AW14) - (1 / (1 + 10^((AW$103 - lastVal)/400)))))
)
))"),"")</f>
        <v/>
      </c>
      <c r="AY14" s="32" t="str">
        <f>IFERROR(__xludf.DUMMYFUNCTION("IF('Résultats des tournois'!AX$2=0,"""",LET(
lastVal, INDEX(FILTER($B14:AX14, ISNUMBER($B14:AX14)), COUNTA(FILTER($B14:AX14, ISNUMBER($B14:AX14)))),
IFERROR(
IF('Résultats des tournois'!AX14="""", INDEX(FILTER($C14:AX14, ISNUMBER($C14:AX14)), COUNTA(FILTE"&amp;"R($C14:AX14, ISNUMBER($C14:AX14)))),
lastVal + 'K dynamique'!AX14 * ((SQRT('Résultats des tournois'!AX$2 + 1)/'Résultats des tournois'!AX14) - (1 / (1 + 10^((AX$103 - lastVal)/400)))))
)
))"),"")</f>
        <v/>
      </c>
      <c r="AZ14" s="4">
        <f t="array" ref="AZ14">IF(MAX(($C14:AY14&lt;&gt;"")*COLUMN($C14:AY14))=0,"",INDEX($C14:AY14,1,MAX(($C14:AY14&lt;&gt;"")*COLUMN($C14:AY14))-COLUMN($C14)+1))</f>
        <v>1687.948822</v>
      </c>
      <c r="BA14" s="33">
        <f t="shared" si="1"/>
        <v>2</v>
      </c>
    </row>
    <row r="15" ht="14.25" customHeight="1">
      <c r="A15" s="32" t="str">
        <f>IF('Résultats des tournois'!A15="","",'Résultats des tournois'!A15)</f>
        <v>Nicolas</v>
      </c>
      <c r="B15" s="32">
        <v>1500.0</v>
      </c>
      <c r="C15" s="32">
        <f>IF('Résultats des tournois'!B15="","",B15+'K dynamique'!B15*((SQRT('Résultats des tournois'!B$2+1)/'Résultats des tournois'!B15)-(1/(1+10^((B15-B15)/400)))))</f>
        <v>1497.303671</v>
      </c>
      <c r="D15" s="32">
        <f>IFERROR(__xludf.DUMMYFUNCTION("IF('Résultats des tournois'!C$2=0,"""",LET(
lastVal, INDEX(FILTER($B15:C15, ISNUMBER($B15:C15)), COUNTA(FILTER($B15:C15, ISNUMBER($B15:C15)))),
IFERROR(
IF('Résultats des tournois'!C15="""", INDEX(FILTER($C15:C15, ISNUMBER($C15:C15)), COUNTA(FILTER($C15:C"&amp;"15, ISNUMBER($C15:C15)))),
lastVal + 'K dynamique'!C15 * ((SQRT('Résultats des tournois'!C$2 + 1)/'Résultats des tournois'!C15) - (1 / (1 + 10^((C$103 - lastVal)/400)))))
)
))"),1504.209589256332)</f>
        <v>1504.209589</v>
      </c>
      <c r="E15" s="32">
        <f>IFERROR(__xludf.DUMMYFUNCTION("IF('Résultats des tournois'!D$2=0,"""",LET(
lastVal, INDEX(FILTER($B15:D15, ISNUMBER($B15:D15)), COUNTA(FILTER($B15:D15, ISNUMBER($B15:D15)))),
IFERROR(
IF('Résultats des tournois'!D15="""", INDEX(FILTER($C15:D15, ISNUMBER($C15:D15)), COUNTA(FILTER($C15:D"&amp;"15, ISNUMBER($C15:D15)))),
lastVal + 'K dynamique'!D15 * ((SQRT('Résultats des tournois'!D$2 + 1)/'Résultats des tournois'!D15) - (1 / (1 + 10^((D$103 - lastVal)/400)))))
)
))"),1513.893371498481)</f>
        <v>1513.893371</v>
      </c>
      <c r="F15" s="32">
        <f>IFERROR(__xludf.DUMMYFUNCTION("IF('Résultats des tournois'!E$2=0,"""",LET(
lastVal, INDEX(FILTER($B15:E15, ISNUMBER($B15:E15)), COUNTA(FILTER($B15:E15, ISNUMBER($B15:E15)))),
IFERROR(
IF('Résultats des tournois'!E15="""", INDEX(FILTER($C15:E15, ISNUMBER($C15:E15)), COUNTA(FILTER($C15:E"&amp;"15, ISNUMBER($C15:E15)))),
lastVal + 'K dynamique'!E15 * ((SQRT('Résultats des tournois'!E$2 + 1)/'Résultats des tournois'!E15) - (1 / (1 + 10^((E$103 - lastVal)/400)))))
)
))"),1520.8952008680994)</f>
        <v>1520.895201</v>
      </c>
      <c r="G15" s="32">
        <f>IFERROR(__xludf.DUMMYFUNCTION("IF('Résultats des tournois'!F$2=0,"""",LET(
lastVal, INDEX(FILTER($B15:F15, ISNUMBER($B15:F15)), COUNTA(FILTER($B15:F15, ISNUMBER($B15:F15)))),
IFERROR(
IF('Résultats des tournois'!F15="""", INDEX(FILTER($C15:F15, ISNUMBER($C15:F15)), COUNTA(FILTER($C15:F"&amp;"15, ISNUMBER($C15:F15)))),
lastVal + 'K dynamique'!F15 * ((SQRT('Résultats des tournois'!F$2 + 1)/'Résultats des tournois'!F15) - (1 / (1 + 10^((F$103 - lastVal)/400)))))
)
))"),1563.5361288709503)</f>
        <v>1563.536129</v>
      </c>
      <c r="H15" s="32">
        <f>IFERROR(__xludf.DUMMYFUNCTION("IF('Résultats des tournois'!G$2=0,"""",LET(
lastVal, INDEX(FILTER($B15:G15, ISNUMBER($B15:G15)), COUNTA(FILTER($B15:G15, ISNUMBER($B15:G15)))),
IFERROR(
IF('Résultats des tournois'!G15="""", INDEX(FILTER($C15:G15, ISNUMBER($C15:G15)), COUNTA(FILTER($C15:G"&amp;"15, ISNUMBER($C15:G15)))),
lastVal + 'K dynamique'!G15 * ((SQRT('Résultats des tournois'!G$2 + 1)/'Résultats des tournois'!G15) - (1 / (1 + 10^((G$103 - lastVal)/400)))))
)
))"),1563.5361288709503)</f>
        <v>1563.536129</v>
      </c>
      <c r="I15" s="32">
        <f>IFERROR(__xludf.DUMMYFUNCTION("IF('Résultats des tournois'!H$2=0,"""",LET(
lastVal, INDEX(FILTER($B15:H15, ISNUMBER($B15:H15)), COUNTA(FILTER($B15:H15, ISNUMBER($B15:H15)))),
IFERROR(
IF('Résultats des tournois'!H15="""", INDEX(FILTER($C15:H15, ISNUMBER($C15:H15)), COUNTA(FILTER($C15:H"&amp;"15, ISNUMBER($C15:H15)))),
lastVal + 'K dynamique'!H15 * ((SQRT('Résultats des tournois'!H$2 + 1)/'Résultats des tournois'!H15) - (1 / (1 + 10^((H$103 - lastVal)/400)))))
)
))"),1567.5043732276336)</f>
        <v>1567.504373</v>
      </c>
      <c r="J15" s="32">
        <f>IFERROR(__xludf.DUMMYFUNCTION("IF('Résultats des tournois'!I$2=0,"""",LET(
lastVal, INDEX(FILTER($B15:I15, ISNUMBER($B15:I15)), COUNTA(FILTER($B15:I15, ISNUMBER($B15:I15)))),
IFERROR(
IF('Résultats des tournois'!I15="""", INDEX(FILTER($C15:I15, ISNUMBER($C15:I15)), COUNTA(FILTER($C15:I"&amp;"15, ISNUMBER($C15:I15)))),
lastVal + 'K dynamique'!I15 * ((SQRT('Résultats des tournois'!I$2 + 1)/'Résultats des tournois'!I15) - (1 / (1 + 10^((I$103 - lastVal)/400)))))
)
))"),1566.4890681209367)</f>
        <v>1566.489068</v>
      </c>
      <c r="K15" s="32">
        <f>IFERROR(__xludf.DUMMYFUNCTION("IF('Résultats des tournois'!J$2=0,"""",LET(
lastVal, INDEX(FILTER($B15:J15, ISNUMBER($B15:J15)), COUNTA(FILTER($B15:J15, ISNUMBER($B15:J15)))),
IFERROR(
IF('Résultats des tournois'!J15="""", INDEX(FILTER($C15:J15, ISNUMBER($C15:J15)), COUNTA(FILTER($C15:J"&amp;"15, ISNUMBER($C15:J15)))),
lastVal + 'K dynamique'!J15 * ((SQRT('Résultats des tournois'!J$2 + 1)/'Résultats des tournois'!J15) - (1 / (1 + 10^((J$103 - lastVal)/400)))))
)
))"),1568.032015098498)</f>
        <v>1568.032015</v>
      </c>
      <c r="L15" s="32">
        <f>IFERROR(__xludf.DUMMYFUNCTION("IF('Résultats des tournois'!K$2=0,"""",LET(
lastVal, INDEX(FILTER($B15:K15, ISNUMBER($B15:K15)), COUNTA(FILTER($B15:K15, ISNUMBER($B15:K15)))),
IFERROR(
IF('Résultats des tournois'!K15="""", INDEX(FILTER($C15:K15, ISNUMBER($C15:K15)), COUNTA(FILTER($C15:K"&amp;"15, ISNUMBER($C15:K15)))),
lastVal + 'K dynamique'!K15 * ((SQRT('Résultats des tournois'!K$2 + 1)/'Résultats des tournois'!K15) - (1 / (1 + 10^((K$103 - lastVal)/400)))))
)
))"),1566.7557522717377)</f>
        <v>1566.755752</v>
      </c>
      <c r="M15" s="32">
        <f>IFERROR(__xludf.DUMMYFUNCTION("IF('Résultats des tournois'!L$2=0,"""",LET(
lastVal, INDEX(FILTER($B15:L15, ISNUMBER($B15:L15)), COUNTA(FILTER($B15:L15, ISNUMBER($B15:L15)))),
IFERROR(
IF('Résultats des tournois'!L15="""", INDEX(FILTER($C15:L15, ISNUMBER($C15:L15)), COUNTA(FILTER($C15:L"&amp;"15, ISNUMBER($C15:L15)))),
lastVal + 'K dynamique'!L15 * ((SQRT('Résultats des tournois'!L$2 + 1)/'Résultats des tournois'!L15) - (1 / (1 + 10^((L$103 - lastVal)/400)))))
)
))"),1564.2163546643706)</f>
        <v>1564.216355</v>
      </c>
      <c r="N15" s="32" t="str">
        <f>IFERROR(__xludf.DUMMYFUNCTION("IF('Résultats des tournois'!M$2=0,"""",LET(
lastVal, INDEX(FILTER($B15:M15, ISNUMBER($B15:M15)), COUNTA(FILTER($B15:M15, ISNUMBER($B15:M15)))),
IFERROR(
IF('Résultats des tournois'!M15="""", INDEX(FILTER($C15:M15, ISNUMBER($C15:M15)), COUNTA(FILTER($C15:M"&amp;"15, ISNUMBER($C15:M15)))),
lastVal + 'K dynamique'!M15 * ((SQRT('Résultats des tournois'!M$2 + 1)/'Résultats des tournois'!M15) - (1 / (1 + 10^((M$103 - lastVal)/400)))))
)
))"),"")</f>
        <v/>
      </c>
      <c r="O15" s="32" t="str">
        <f>IFERROR(__xludf.DUMMYFUNCTION("IF('Résultats des tournois'!N$2=0,"""",LET(
lastVal, INDEX(FILTER($B15:N15, ISNUMBER($B15:N15)), COUNTA(FILTER($B15:N15, ISNUMBER($B15:N15)))),
IFERROR(
IF('Résultats des tournois'!N15="""", INDEX(FILTER($C15:N15, ISNUMBER($C15:N15)), COUNTA(FILTER($C15:N"&amp;"15, ISNUMBER($C15:N15)))),
lastVal + 'K dynamique'!N15 * ((SQRT('Résultats des tournois'!N$2 + 1)/'Résultats des tournois'!N15) - (1 / (1 + 10^((N$103 - lastVal)/400)))))
)
))"),"")</f>
        <v/>
      </c>
      <c r="P15" s="32" t="str">
        <f>IFERROR(__xludf.DUMMYFUNCTION("IF('Résultats des tournois'!O$2=0,"""",LET(
lastVal, INDEX(FILTER($B15:O15, ISNUMBER($B15:O15)), COUNTA(FILTER($B15:O15, ISNUMBER($B15:O15)))),
IFERROR(
IF('Résultats des tournois'!O15="""", INDEX(FILTER($C15:O15, ISNUMBER($C15:O15)), COUNTA(FILTER($C15:O"&amp;"15, ISNUMBER($C15:O15)))),
lastVal + 'K dynamique'!O15 * ((SQRT('Résultats des tournois'!O$2 + 1)/'Résultats des tournois'!O15) - (1 / (1 + 10^((O$103 - lastVal)/400)))))
)
))"),"")</f>
        <v/>
      </c>
      <c r="Q15" s="32" t="str">
        <f>IFERROR(__xludf.DUMMYFUNCTION("IF('Résultats des tournois'!P$2=0,"""",LET(
lastVal, INDEX(FILTER($B15:P15, ISNUMBER($B15:P15)), COUNTA(FILTER($B15:P15, ISNUMBER($B15:P15)))),
IFERROR(
IF('Résultats des tournois'!P15="""", INDEX(FILTER($C15:P15, ISNUMBER($C15:P15)), COUNTA(FILTER($C15:P"&amp;"15, ISNUMBER($C15:P15)))),
lastVal + 'K dynamique'!P15 * ((SQRT('Résultats des tournois'!P$2 + 1)/'Résultats des tournois'!P15) - (1 / (1 + 10^((P$103 - lastVal)/400)))))
)
))"),"")</f>
        <v/>
      </c>
      <c r="R15" s="32" t="str">
        <f>IFERROR(__xludf.DUMMYFUNCTION("IF('Résultats des tournois'!Q$2=0,"""",LET(
lastVal, INDEX(FILTER($B15:Q15, ISNUMBER($B15:Q15)), COUNTA(FILTER($B15:Q15, ISNUMBER($B15:Q15)))),
IFERROR(
IF('Résultats des tournois'!Q15="""", INDEX(FILTER($C15:Q15, ISNUMBER($C15:Q15)), COUNTA(FILTER($C15:Q"&amp;"15, ISNUMBER($C15:Q15)))),
lastVal + 'K dynamique'!Q15 * ((SQRT('Résultats des tournois'!Q$2 + 1)/'Résultats des tournois'!Q15) - (1 / (1 + 10^((Q$103 - lastVal)/400)))))
)
))"),"")</f>
        <v/>
      </c>
      <c r="S15" s="32" t="str">
        <f>IFERROR(__xludf.DUMMYFUNCTION("IF('Résultats des tournois'!R$2=0,"""",LET(
lastVal, INDEX(FILTER($B15:R15, ISNUMBER($B15:R15)), COUNTA(FILTER($B15:R15, ISNUMBER($B15:R15)))),
IFERROR(
IF('Résultats des tournois'!R15="""", INDEX(FILTER($C15:R15, ISNUMBER($C15:R15)), COUNTA(FILTER($C15:R"&amp;"15, ISNUMBER($C15:R15)))),
lastVal + 'K dynamique'!R15 * ((SQRT('Résultats des tournois'!R$2 + 1)/'Résultats des tournois'!R15) - (1 / (1 + 10^((R$103 - lastVal)/400)))))
)
))"),"")</f>
        <v/>
      </c>
      <c r="T15" s="32" t="str">
        <f>IFERROR(__xludf.DUMMYFUNCTION("IF('Résultats des tournois'!S$2=0,"""",LET(
lastVal, INDEX(FILTER($B15:S15, ISNUMBER($B15:S15)), COUNTA(FILTER($B15:S15, ISNUMBER($B15:S15)))),
IFERROR(
IF('Résultats des tournois'!S15="""", INDEX(FILTER($C15:S15, ISNUMBER($C15:S15)), COUNTA(FILTER($C15:S"&amp;"15, ISNUMBER($C15:S15)))),
lastVal + 'K dynamique'!S15 * ((SQRT('Résultats des tournois'!S$2 + 1)/'Résultats des tournois'!S15) - (1 / (1 + 10^((S$103 - lastVal)/400)))))
)
))"),"")</f>
        <v/>
      </c>
      <c r="U15" s="32" t="str">
        <f>IFERROR(__xludf.DUMMYFUNCTION("IF('Résultats des tournois'!T$2=0,"""",LET(
lastVal, INDEX(FILTER($B15:T15, ISNUMBER($B15:T15)), COUNTA(FILTER($B15:T15, ISNUMBER($B15:T15)))),
IFERROR(
IF('Résultats des tournois'!T15="""", INDEX(FILTER($C15:T15, ISNUMBER($C15:T15)), COUNTA(FILTER($C15:T"&amp;"15, ISNUMBER($C15:T15)))),
lastVal + 'K dynamique'!T15 * ((SQRT('Résultats des tournois'!T$2 + 1)/'Résultats des tournois'!T15) - (1 / (1 + 10^((T$103 - lastVal)/400)))))
)
))"),"")</f>
        <v/>
      </c>
      <c r="V15" s="32" t="str">
        <f>IFERROR(__xludf.DUMMYFUNCTION("IF('Résultats des tournois'!U$2=0,"""",LET(
lastVal, INDEX(FILTER($B15:U15, ISNUMBER($B15:U15)), COUNTA(FILTER($B15:U15, ISNUMBER($B15:U15)))),
IFERROR(
IF('Résultats des tournois'!U15="""", INDEX(FILTER($C15:U15, ISNUMBER($C15:U15)), COUNTA(FILTER($C15:U"&amp;"15, ISNUMBER($C15:U15)))),
lastVal + 'K dynamique'!U15 * ((SQRT('Résultats des tournois'!U$2 + 1)/'Résultats des tournois'!U15) - (1 / (1 + 10^((U$103 - lastVal)/400)))))
)
))"),"")</f>
        <v/>
      </c>
      <c r="W15" s="32" t="str">
        <f>IFERROR(__xludf.DUMMYFUNCTION("IF('Résultats des tournois'!V$2=0,"""",LET(
lastVal, INDEX(FILTER($B15:V15, ISNUMBER($B15:V15)), COUNTA(FILTER($B15:V15, ISNUMBER($B15:V15)))),
IFERROR(
IF('Résultats des tournois'!V15="""", INDEX(FILTER($C15:V15, ISNUMBER($C15:V15)), COUNTA(FILTER($C15:V"&amp;"15, ISNUMBER($C15:V15)))),
lastVal + 'K dynamique'!V15 * ((SQRT('Résultats des tournois'!V$2 + 1)/'Résultats des tournois'!V15) - (1 / (1 + 10^((V$103 - lastVal)/400)))))
)
))"),"")</f>
        <v/>
      </c>
      <c r="X15" s="32" t="str">
        <f>IFERROR(__xludf.DUMMYFUNCTION("IF('Résultats des tournois'!W$2=0,"""",LET(
lastVal, INDEX(FILTER($B15:W15, ISNUMBER($B15:W15)), COUNTA(FILTER($B15:W15, ISNUMBER($B15:W15)))),
IFERROR(
IF('Résultats des tournois'!W15="""", INDEX(FILTER($C15:W15, ISNUMBER($C15:W15)), COUNTA(FILTER($C15:W"&amp;"15, ISNUMBER($C15:W15)))),
lastVal + 'K dynamique'!W15 * ((SQRT('Résultats des tournois'!W$2 + 1)/'Résultats des tournois'!W15) - (1 / (1 + 10^((W$103 - lastVal)/400)))))
)
))"),"")</f>
        <v/>
      </c>
      <c r="Y15" s="32" t="str">
        <f>IFERROR(__xludf.DUMMYFUNCTION("IF('Résultats des tournois'!X$2=0,"""",LET(
lastVal, INDEX(FILTER($B15:X15, ISNUMBER($B15:X15)), COUNTA(FILTER($B15:X15, ISNUMBER($B15:X15)))),
IFERROR(
IF('Résultats des tournois'!X15="""", INDEX(FILTER($C15:X15, ISNUMBER($C15:X15)), COUNTA(FILTER($C15:X"&amp;"15, ISNUMBER($C15:X15)))),
lastVal + 'K dynamique'!X15 * ((SQRT('Résultats des tournois'!X$2 + 1)/'Résultats des tournois'!X15) - (1 / (1 + 10^((X$103 - lastVal)/400)))))
)
))"),"")</f>
        <v/>
      </c>
      <c r="Z15" s="32" t="str">
        <f>IFERROR(__xludf.DUMMYFUNCTION("IF('Résultats des tournois'!Y$2=0,"""",LET(
lastVal, INDEX(FILTER($B15:Y15, ISNUMBER($B15:Y15)), COUNTA(FILTER($B15:Y15, ISNUMBER($B15:Y15)))),
IFERROR(
IF('Résultats des tournois'!Y15="""", INDEX(FILTER($C15:Y15, ISNUMBER($C15:Y15)), COUNTA(FILTER($C15:Y"&amp;"15, ISNUMBER($C15:Y15)))),
lastVal + 'K dynamique'!Y15 * ((SQRT('Résultats des tournois'!Y$2 + 1)/'Résultats des tournois'!Y15) - (1 / (1 + 10^((Y$103 - lastVal)/400)))))
)
))"),"")</f>
        <v/>
      </c>
      <c r="AA15" s="32" t="str">
        <f>IFERROR(__xludf.DUMMYFUNCTION("IF('Résultats des tournois'!Z$2=0,"""",LET(
lastVal, INDEX(FILTER($B15:Z15, ISNUMBER($B15:Z15)), COUNTA(FILTER($B15:Z15, ISNUMBER($B15:Z15)))),
IFERROR(
IF('Résultats des tournois'!Z15="""", INDEX(FILTER($C15:Z15, ISNUMBER($C15:Z15)), COUNTA(FILTER($C15:Z"&amp;"15, ISNUMBER($C15:Z15)))),
lastVal + 'K dynamique'!Z15 * ((SQRT('Résultats des tournois'!Z$2 + 1)/'Résultats des tournois'!Z15) - (1 / (1 + 10^((Z$103 - lastVal)/400)))))
)
))"),"")</f>
        <v/>
      </c>
      <c r="AB15" s="32" t="str">
        <f>IFERROR(__xludf.DUMMYFUNCTION("IF('Résultats des tournois'!AA$2=0,"""",LET(
lastVal, INDEX(FILTER($B15:AA15, ISNUMBER($B15:AA15)), COUNTA(FILTER($B15:AA15, ISNUMBER($B15:AA15)))),
IFERROR(
IF('Résultats des tournois'!AA15="""", INDEX(FILTER($C15:AA15, ISNUMBER($C15:AA15)), COUNTA(FILTE"&amp;"R($C15:AA15, ISNUMBER($C15:AA15)))),
lastVal + 'K dynamique'!AA15 * ((SQRT('Résultats des tournois'!AA$2 + 1)/'Résultats des tournois'!AA15) - (1 / (1 + 10^((AA$103 - lastVal)/400)))))
)
))"),"")</f>
        <v/>
      </c>
      <c r="AC15" s="32" t="str">
        <f>IFERROR(__xludf.DUMMYFUNCTION("IF('Résultats des tournois'!AB$2=0,"""",LET(
lastVal, INDEX(FILTER($B15:AB15, ISNUMBER($B15:AB15)), COUNTA(FILTER($B15:AB15, ISNUMBER($B15:AB15)))),
IFERROR(
IF('Résultats des tournois'!AB15="""", INDEX(FILTER($C15:AB15, ISNUMBER($C15:AB15)), COUNTA(FILTE"&amp;"R($C15:AB15, ISNUMBER($C15:AB15)))),
lastVal + 'K dynamique'!AB15 * ((SQRT('Résultats des tournois'!AB$2 + 1)/'Résultats des tournois'!AB15) - (1 / (1 + 10^((AB$103 - lastVal)/400)))))
)
))"),"")</f>
        <v/>
      </c>
      <c r="AD15" s="32" t="str">
        <f>IFERROR(__xludf.DUMMYFUNCTION("IF('Résultats des tournois'!AC$2=0,"""",LET(
lastVal, INDEX(FILTER($B15:AC15, ISNUMBER($B15:AC15)), COUNTA(FILTER($B15:AC15, ISNUMBER($B15:AC15)))),
IFERROR(
IF('Résultats des tournois'!AC15="""", INDEX(FILTER($C15:AC15, ISNUMBER($C15:AC15)), COUNTA(FILTE"&amp;"R($C15:AC15, ISNUMBER($C15:AC15)))),
lastVal + 'K dynamique'!AC15 * ((SQRT('Résultats des tournois'!AC$2 + 1)/'Résultats des tournois'!AC15) - (1 / (1 + 10^((AC$103 - lastVal)/400)))))
)
))"),"")</f>
        <v/>
      </c>
      <c r="AE15" s="32" t="str">
        <f>IFERROR(__xludf.DUMMYFUNCTION("IF('Résultats des tournois'!AD$2=0,"""",LET(
lastVal, INDEX(FILTER($B15:AD15, ISNUMBER($B15:AD15)), COUNTA(FILTER($B15:AD15, ISNUMBER($B15:AD15)))),
IFERROR(
IF('Résultats des tournois'!AD15="""", INDEX(FILTER($C15:AD15, ISNUMBER($C15:AD15)), COUNTA(FILTE"&amp;"R($C15:AD15, ISNUMBER($C15:AD15)))),
lastVal + 'K dynamique'!AD15 * ((SQRT('Résultats des tournois'!AD$2 + 1)/'Résultats des tournois'!AD15) - (1 / (1 + 10^((AD$103 - lastVal)/400)))))
)
))"),"")</f>
        <v/>
      </c>
      <c r="AF15" s="32" t="str">
        <f>IFERROR(__xludf.DUMMYFUNCTION("IF('Résultats des tournois'!AE$2=0,"""",LET(
lastVal, INDEX(FILTER($B15:AE15, ISNUMBER($B15:AE15)), COUNTA(FILTER($B15:AE15, ISNUMBER($B15:AE15)))),
IFERROR(
IF('Résultats des tournois'!AE15="""", INDEX(FILTER($C15:AE15, ISNUMBER($C15:AE15)), COUNTA(FILTE"&amp;"R($C15:AE15, ISNUMBER($C15:AE15)))),
lastVal + 'K dynamique'!AE15 * ((SQRT('Résultats des tournois'!AE$2 + 1)/'Résultats des tournois'!AE15) - (1 / (1 + 10^((AE$103 - lastVal)/400)))))
)
))"),"")</f>
        <v/>
      </c>
      <c r="AG15" s="32" t="str">
        <f>IFERROR(__xludf.DUMMYFUNCTION("IF('Résultats des tournois'!AF$2=0,"""",LET(
lastVal, INDEX(FILTER($B15:AF15, ISNUMBER($B15:AF15)), COUNTA(FILTER($B15:AF15, ISNUMBER($B15:AF15)))),
IFERROR(
IF('Résultats des tournois'!AF15="""", INDEX(FILTER($C15:AF15, ISNUMBER($C15:AF15)), COUNTA(FILTE"&amp;"R($C15:AF15, ISNUMBER($C15:AF15)))),
lastVal + 'K dynamique'!AF15 * ((SQRT('Résultats des tournois'!AF$2 + 1)/'Résultats des tournois'!AF15) - (1 / (1 + 10^((AF$103 - lastVal)/400)))))
)
))"),"")</f>
        <v/>
      </c>
      <c r="AH15" s="32" t="str">
        <f>IFERROR(__xludf.DUMMYFUNCTION("IF('Résultats des tournois'!AG$2=0,"""",LET(
lastVal, INDEX(FILTER($B15:AG15, ISNUMBER($B15:AG15)), COUNTA(FILTER($B15:AG15, ISNUMBER($B15:AG15)))),
IFERROR(
IF('Résultats des tournois'!AG15="""", INDEX(FILTER($C15:AG15, ISNUMBER($C15:AG15)), COUNTA(FILTE"&amp;"R($C15:AG15, ISNUMBER($C15:AG15)))),
lastVal + 'K dynamique'!AG15 * ((SQRT('Résultats des tournois'!AG$2 + 1)/'Résultats des tournois'!AG15) - (1 / (1 + 10^((AG$103 - lastVal)/400)))))
)
))"),"")</f>
        <v/>
      </c>
      <c r="AI15" s="32" t="str">
        <f>IFERROR(__xludf.DUMMYFUNCTION("IF('Résultats des tournois'!AH$2=0,"""",LET(
lastVal, INDEX(FILTER($B15:AH15, ISNUMBER($B15:AH15)), COUNTA(FILTER($B15:AH15, ISNUMBER($B15:AH15)))),
IFERROR(
IF('Résultats des tournois'!AH15="""", INDEX(FILTER($C15:AH15, ISNUMBER($C15:AH15)), COUNTA(FILTE"&amp;"R($C15:AH15, ISNUMBER($C15:AH15)))),
lastVal + 'K dynamique'!AH15 * ((SQRT('Résultats des tournois'!AH$2 + 1)/'Résultats des tournois'!AH15) - (1 / (1 + 10^((AH$103 - lastVal)/400)))))
)
))"),"")</f>
        <v/>
      </c>
      <c r="AJ15" s="32" t="str">
        <f>IFERROR(__xludf.DUMMYFUNCTION("IF('Résultats des tournois'!AI$2=0,"""",LET(
lastVal, INDEX(FILTER($B15:AI15, ISNUMBER($B15:AI15)), COUNTA(FILTER($B15:AI15, ISNUMBER($B15:AI15)))),
IFERROR(
IF('Résultats des tournois'!AI15="""", INDEX(FILTER($C15:AI15, ISNUMBER($C15:AI15)), COUNTA(FILTE"&amp;"R($C15:AI15, ISNUMBER($C15:AI15)))),
lastVal + 'K dynamique'!AI15 * ((SQRT('Résultats des tournois'!AI$2 + 1)/'Résultats des tournois'!AI15) - (1 / (1 + 10^((AI$103 - lastVal)/400)))))
)
))"),"")</f>
        <v/>
      </c>
      <c r="AK15" s="32" t="str">
        <f>IFERROR(__xludf.DUMMYFUNCTION("IF('Résultats des tournois'!AJ$2=0,"""",LET(
lastVal, INDEX(FILTER($B15:AJ15, ISNUMBER($B15:AJ15)), COUNTA(FILTER($B15:AJ15, ISNUMBER($B15:AJ15)))),
IFERROR(
IF('Résultats des tournois'!AJ15="""", INDEX(FILTER($C15:AJ15, ISNUMBER($C15:AJ15)), COUNTA(FILTE"&amp;"R($C15:AJ15, ISNUMBER($C15:AJ15)))),
lastVal + 'K dynamique'!AJ15 * ((SQRT('Résultats des tournois'!AJ$2 + 1)/'Résultats des tournois'!AJ15) - (1 / (1 + 10^((AJ$103 - lastVal)/400)))))
)
))"),"")</f>
        <v/>
      </c>
      <c r="AL15" s="32" t="str">
        <f>IFERROR(__xludf.DUMMYFUNCTION("IF('Résultats des tournois'!AK$2=0,"""",LET(
lastVal, INDEX(FILTER($B15:AK15, ISNUMBER($B15:AK15)), COUNTA(FILTER($B15:AK15, ISNUMBER($B15:AK15)))),
IFERROR(
IF('Résultats des tournois'!AK15="""", INDEX(FILTER($C15:AK15, ISNUMBER($C15:AK15)), COUNTA(FILTE"&amp;"R($C15:AK15, ISNUMBER($C15:AK15)))),
lastVal + 'K dynamique'!AK15 * ((SQRT('Résultats des tournois'!AK$2 + 1)/'Résultats des tournois'!AK15) - (1 / (1 + 10^((AK$103 - lastVal)/400)))))
)
))"),"")</f>
        <v/>
      </c>
      <c r="AM15" s="32" t="str">
        <f>IFERROR(__xludf.DUMMYFUNCTION("IF('Résultats des tournois'!AL$2=0,"""",LET(
lastVal, INDEX(FILTER($B15:AL15, ISNUMBER($B15:AL15)), COUNTA(FILTER($B15:AL15, ISNUMBER($B15:AL15)))),
IFERROR(
IF('Résultats des tournois'!AL15="""", INDEX(FILTER($C15:AL15, ISNUMBER($C15:AL15)), COUNTA(FILTE"&amp;"R($C15:AL15, ISNUMBER($C15:AL15)))),
lastVal + 'K dynamique'!AL15 * ((SQRT('Résultats des tournois'!AL$2 + 1)/'Résultats des tournois'!AL15) - (1 / (1 + 10^((AL$103 - lastVal)/400)))))
)
))"),"")</f>
        <v/>
      </c>
      <c r="AN15" s="32" t="str">
        <f>IFERROR(__xludf.DUMMYFUNCTION("IF('Résultats des tournois'!AM$2=0,"""",LET(
lastVal, INDEX(FILTER($B15:AM15, ISNUMBER($B15:AM15)), COUNTA(FILTER($B15:AM15, ISNUMBER($B15:AM15)))),
IFERROR(
IF('Résultats des tournois'!AM15="""", INDEX(FILTER($C15:AM15, ISNUMBER($C15:AM15)), COUNTA(FILTE"&amp;"R($C15:AM15, ISNUMBER($C15:AM15)))),
lastVal + 'K dynamique'!AM15 * ((SQRT('Résultats des tournois'!AM$2 + 1)/'Résultats des tournois'!AM15) - (1 / (1 + 10^((AM$103 - lastVal)/400)))))
)
))"),"")</f>
        <v/>
      </c>
      <c r="AO15" s="32" t="str">
        <f>IFERROR(__xludf.DUMMYFUNCTION("IF('Résultats des tournois'!AN$2=0,"""",LET(
lastVal, INDEX(FILTER($B15:AN15, ISNUMBER($B15:AN15)), COUNTA(FILTER($B15:AN15, ISNUMBER($B15:AN15)))),
IFERROR(
IF('Résultats des tournois'!AN15="""", INDEX(FILTER($C15:AN15, ISNUMBER($C15:AN15)), COUNTA(FILTE"&amp;"R($C15:AN15, ISNUMBER($C15:AN15)))),
lastVal + 'K dynamique'!AN15 * ((SQRT('Résultats des tournois'!AN$2 + 1)/'Résultats des tournois'!AN15) - (1 / (1 + 10^((AN$103 - lastVal)/400)))))
)
))"),"")</f>
        <v/>
      </c>
      <c r="AP15" s="32" t="str">
        <f>IFERROR(__xludf.DUMMYFUNCTION("IF('Résultats des tournois'!AO$2=0,"""",LET(
lastVal, INDEX(FILTER($B15:AO15, ISNUMBER($B15:AO15)), COUNTA(FILTER($B15:AO15, ISNUMBER($B15:AO15)))),
IFERROR(
IF('Résultats des tournois'!AO15="""", INDEX(FILTER($C15:AO15, ISNUMBER($C15:AO15)), COUNTA(FILTE"&amp;"R($C15:AO15, ISNUMBER($C15:AO15)))),
lastVal + 'K dynamique'!AO15 * ((SQRT('Résultats des tournois'!AO$2 + 1)/'Résultats des tournois'!AO15) - (1 / (1 + 10^((AO$103 - lastVal)/400)))))
)
))"),"")</f>
        <v/>
      </c>
      <c r="AQ15" s="32" t="str">
        <f>IFERROR(__xludf.DUMMYFUNCTION("IF('Résultats des tournois'!AP$2=0,"""",LET(
lastVal, INDEX(FILTER($B15:AP15, ISNUMBER($B15:AP15)), COUNTA(FILTER($B15:AP15, ISNUMBER($B15:AP15)))),
IFERROR(
IF('Résultats des tournois'!AP15="""", INDEX(FILTER($C15:AP15, ISNUMBER($C15:AP15)), COUNTA(FILTE"&amp;"R($C15:AP15, ISNUMBER($C15:AP15)))),
lastVal + 'K dynamique'!AP15 * ((SQRT('Résultats des tournois'!AP$2 + 1)/'Résultats des tournois'!AP15) - (1 / (1 + 10^((AP$103 - lastVal)/400)))))
)
))"),"")</f>
        <v/>
      </c>
      <c r="AR15" s="32" t="str">
        <f>IFERROR(__xludf.DUMMYFUNCTION("IF('Résultats des tournois'!AQ$2=0,"""",LET(
lastVal, INDEX(FILTER($B15:AQ15, ISNUMBER($B15:AQ15)), COUNTA(FILTER($B15:AQ15, ISNUMBER($B15:AQ15)))),
IFERROR(
IF('Résultats des tournois'!AQ15="""", INDEX(FILTER($C15:AQ15, ISNUMBER($C15:AQ15)), COUNTA(FILTE"&amp;"R($C15:AQ15, ISNUMBER($C15:AQ15)))),
lastVal + 'K dynamique'!AQ15 * ((SQRT('Résultats des tournois'!AQ$2 + 1)/'Résultats des tournois'!AQ15) - (1 / (1 + 10^((AQ$103 - lastVal)/400)))))
)
))"),"")</f>
        <v/>
      </c>
      <c r="AS15" s="32" t="str">
        <f>IFERROR(__xludf.DUMMYFUNCTION("IF('Résultats des tournois'!AR$2=0,"""",LET(
lastVal, INDEX(FILTER($B15:AR15, ISNUMBER($B15:AR15)), COUNTA(FILTER($B15:AR15, ISNUMBER($B15:AR15)))),
IFERROR(
IF('Résultats des tournois'!AR15="""", INDEX(FILTER($C15:AR15, ISNUMBER($C15:AR15)), COUNTA(FILTE"&amp;"R($C15:AR15, ISNUMBER($C15:AR15)))),
lastVal + 'K dynamique'!AR15 * ((SQRT('Résultats des tournois'!AR$2 + 1)/'Résultats des tournois'!AR15) - (1 / (1 + 10^((AR$103 - lastVal)/400)))))
)
))"),"")</f>
        <v/>
      </c>
      <c r="AT15" s="32" t="str">
        <f>IFERROR(__xludf.DUMMYFUNCTION("IF('Résultats des tournois'!AS$2=0,"""",LET(
lastVal, INDEX(FILTER($B15:AS15, ISNUMBER($B15:AS15)), COUNTA(FILTER($B15:AS15, ISNUMBER($B15:AS15)))),
IFERROR(
IF('Résultats des tournois'!AS15="""", INDEX(FILTER($C15:AS15, ISNUMBER($C15:AS15)), COUNTA(FILTE"&amp;"R($C15:AS15, ISNUMBER($C15:AS15)))),
lastVal + 'K dynamique'!AS15 * ((SQRT('Résultats des tournois'!AS$2 + 1)/'Résultats des tournois'!AS15) - (1 / (1 + 10^((AS$103 - lastVal)/400)))))
)
))"),"")</f>
        <v/>
      </c>
      <c r="AU15" s="32" t="str">
        <f>IFERROR(__xludf.DUMMYFUNCTION("IF('Résultats des tournois'!AT$2=0,"""",LET(
lastVal, INDEX(FILTER($B15:AT15, ISNUMBER($B15:AT15)), COUNTA(FILTER($B15:AT15, ISNUMBER($B15:AT15)))),
IFERROR(
IF('Résultats des tournois'!AT15="""", INDEX(FILTER($C15:AT15, ISNUMBER($C15:AT15)), COUNTA(FILTE"&amp;"R($C15:AT15, ISNUMBER($C15:AT15)))),
lastVal + 'K dynamique'!AT15 * ((SQRT('Résultats des tournois'!AT$2 + 1)/'Résultats des tournois'!AT15) - (1 / (1 + 10^((AT$103 - lastVal)/400)))))
)
))"),"")</f>
        <v/>
      </c>
      <c r="AV15" s="32" t="str">
        <f>IFERROR(__xludf.DUMMYFUNCTION("IF('Résultats des tournois'!AU$2=0,"""",LET(
lastVal, INDEX(FILTER($B15:AU15, ISNUMBER($B15:AU15)), COUNTA(FILTER($B15:AU15, ISNUMBER($B15:AU15)))),
IFERROR(
IF('Résultats des tournois'!AU15="""", INDEX(FILTER($C15:AU15, ISNUMBER($C15:AU15)), COUNTA(FILTE"&amp;"R($C15:AU15, ISNUMBER($C15:AU15)))),
lastVal + 'K dynamique'!AU15 * ((SQRT('Résultats des tournois'!AU$2 + 1)/'Résultats des tournois'!AU15) - (1 / (1 + 10^((AU$103 - lastVal)/400)))))
)
))"),"")</f>
        <v/>
      </c>
      <c r="AW15" s="32" t="str">
        <f>IFERROR(__xludf.DUMMYFUNCTION("IF('Résultats des tournois'!AV$2=0,"""",LET(
lastVal, INDEX(FILTER($B15:AV15, ISNUMBER($B15:AV15)), COUNTA(FILTER($B15:AV15, ISNUMBER($B15:AV15)))),
IFERROR(
IF('Résultats des tournois'!AV15="""", INDEX(FILTER($C15:AV15, ISNUMBER($C15:AV15)), COUNTA(FILTE"&amp;"R($C15:AV15, ISNUMBER($C15:AV15)))),
lastVal + 'K dynamique'!AV15 * ((SQRT('Résultats des tournois'!AV$2 + 1)/'Résultats des tournois'!AV15) - (1 / (1 + 10^((AV$103 - lastVal)/400)))))
)
))"),"")</f>
        <v/>
      </c>
      <c r="AX15" s="32" t="str">
        <f>IFERROR(__xludf.DUMMYFUNCTION("IF('Résultats des tournois'!AW$2=0,"""",LET(
lastVal, INDEX(FILTER($B15:AW15, ISNUMBER($B15:AW15)), COUNTA(FILTER($B15:AW15, ISNUMBER($B15:AW15)))),
IFERROR(
IF('Résultats des tournois'!AW15="""", INDEX(FILTER($C15:AW15, ISNUMBER($C15:AW15)), COUNTA(FILTE"&amp;"R($C15:AW15, ISNUMBER($C15:AW15)))),
lastVal + 'K dynamique'!AW15 * ((SQRT('Résultats des tournois'!AW$2 + 1)/'Résultats des tournois'!AW15) - (1 / (1 + 10^((AW$103 - lastVal)/400)))))
)
))"),"")</f>
        <v/>
      </c>
      <c r="AY15" s="32" t="str">
        <f>IFERROR(__xludf.DUMMYFUNCTION("IF('Résultats des tournois'!AX$2=0,"""",LET(
lastVal, INDEX(FILTER($B15:AX15, ISNUMBER($B15:AX15)), COUNTA(FILTER($B15:AX15, ISNUMBER($B15:AX15)))),
IFERROR(
IF('Résultats des tournois'!AX15="""", INDEX(FILTER($C15:AX15, ISNUMBER($C15:AX15)), COUNTA(FILTE"&amp;"R($C15:AX15, ISNUMBER($C15:AX15)))),
lastVal + 'K dynamique'!AX15 * ((SQRT('Résultats des tournois'!AX$2 + 1)/'Résultats des tournois'!AX15) - (1 / (1 + 10^((AX$103 - lastVal)/400)))))
)
))"),"")</f>
        <v/>
      </c>
      <c r="AZ15" s="4">
        <f t="array" ref="AZ15">IF(MAX(($C15:AY15&lt;&gt;"")*COLUMN($C15:AY15))=0,"",INDEX($C15:AY15,1,MAX(($C15:AY15&lt;&gt;"")*COLUMN($C15:AY15))-COLUMN($C15)+1))</f>
        <v>1564.216355</v>
      </c>
      <c r="BA15" s="33">
        <f t="shared" si="1"/>
        <v>11</v>
      </c>
    </row>
    <row r="16" ht="14.25" customHeight="1">
      <c r="A16" s="32" t="str">
        <f>IF('Résultats des tournois'!A16="","",'Résultats des tournois'!A16)</f>
        <v>Patrice</v>
      </c>
      <c r="B16" s="32">
        <v>1500.0</v>
      </c>
      <c r="C16" s="32">
        <f>IF('Résultats des tournois'!B16="","",B16+'K dynamique'!B16*((SQRT('Résultats des tournois'!B$2+1)/'Résultats des tournois'!B16)-(1/(1+10^((B16-B16)/400)))))</f>
        <v>1603.733036</v>
      </c>
      <c r="D16" s="32">
        <f>IFERROR(__xludf.DUMMYFUNCTION("IF('Résultats des tournois'!C$2=0,"""",LET(
lastVal, INDEX(FILTER($B16:C16, ISNUMBER($B16:C16)), COUNTA(FILTER($B16:C16, ISNUMBER($B16:C16)))),
IFERROR(
IF('Résultats des tournois'!C16="""", INDEX(FILTER($C16:C16, ISNUMBER($C16:C16)), COUNTA(FILTER($C16:C"&amp;"16, ISNUMBER($C16:C16)))),
lastVal + 'K dynamique'!C16 * ((SQRT('Résultats des tournois'!C$2 + 1)/'Résultats des tournois'!C16) - (1 / (1 + 10^((C$103 - lastVal)/400)))))
)
))"),1597.515976180232)</f>
        <v>1597.515976</v>
      </c>
      <c r="E16" s="32">
        <f>IFERROR(__xludf.DUMMYFUNCTION("IF('Résultats des tournois'!D$2=0,"""",LET(
lastVal, INDEX(FILTER($B16:D16, ISNUMBER($B16:D16)), COUNTA(FILTER($B16:D16, ISNUMBER($B16:D16)))),
IFERROR(
IF('Résultats des tournois'!D16="""", INDEX(FILTER($C16:D16, ISNUMBER($C16:D16)), COUNTA(FILTER($C16:D"&amp;"16, ISNUMBER($C16:D16)))),
lastVal + 'K dynamique'!D16 * ((SQRT('Résultats des tournois'!D$2 + 1)/'Résultats des tournois'!D16) - (1 / (1 + 10^((D$103 - lastVal)/400)))))
)
))"),1589.4337864027684)</f>
        <v>1589.433786</v>
      </c>
      <c r="F16" s="32">
        <f>IFERROR(__xludf.DUMMYFUNCTION("IF('Résultats des tournois'!E$2=0,"""",LET(
lastVal, INDEX(FILTER($B16:E16, ISNUMBER($B16:E16)), COUNTA(FILTER($B16:E16, ISNUMBER($B16:E16)))),
IFERROR(
IF('Résultats des tournois'!E16="""", INDEX(FILTER($C16:E16, ISNUMBER($C16:E16)), COUNTA(FILTER($C16:E"&amp;"16, ISNUMBER($C16:E16)))),
lastVal + 'K dynamique'!E16 * ((SQRT('Résultats des tournois'!E$2 + 1)/'Résultats des tournois'!E16) - (1 / (1 + 10^((E$103 - lastVal)/400)))))
)
))"),1580.8886097063485)</f>
        <v>1580.88861</v>
      </c>
      <c r="G16" s="32">
        <f>IFERROR(__xludf.DUMMYFUNCTION("IF('Résultats des tournois'!F$2=0,"""",LET(
lastVal, INDEX(FILTER($B16:F16, ISNUMBER($B16:F16)), COUNTA(FILTER($B16:F16, ISNUMBER($B16:F16)))),
IFERROR(
IF('Résultats des tournois'!F16="""", INDEX(FILTER($C16:F16, ISNUMBER($C16:F16)), COUNTA(FILTER($C16:F"&amp;"16, ISNUMBER($C16:F16)))),
lastVal + 'K dynamique'!F16 * ((SQRT('Résultats des tournois'!F$2 + 1)/'Résultats des tournois'!F16) - (1 / (1 + 10^((F$103 - lastVal)/400)))))
)
))"),1586.1622492775628)</f>
        <v>1586.162249</v>
      </c>
      <c r="H16" s="32">
        <f>IFERROR(__xludf.DUMMYFUNCTION("IF('Résultats des tournois'!G$2=0,"""",LET(
lastVal, INDEX(FILTER($B16:G16, ISNUMBER($B16:G16)), COUNTA(FILTER($B16:G16, ISNUMBER($B16:G16)))),
IFERROR(
IF('Résultats des tournois'!G16="""", INDEX(FILTER($C16:G16, ISNUMBER($C16:G16)), COUNTA(FILTER($C16:G"&amp;"16, ISNUMBER($C16:G16)))),
lastVal + 'K dynamique'!G16 * ((SQRT('Résultats des tournois'!G$2 + 1)/'Résultats des tournois'!G16) - (1 / (1 + 10^((G$103 - lastVal)/400)))))
)
))"),1616.140650128959)</f>
        <v>1616.14065</v>
      </c>
      <c r="I16" s="32">
        <f>IFERROR(__xludf.DUMMYFUNCTION("IF('Résultats des tournois'!H$2=0,"""",LET(
lastVal, INDEX(FILTER($B16:H16, ISNUMBER($B16:H16)), COUNTA(FILTER($B16:H16, ISNUMBER($B16:H16)))),
IFERROR(
IF('Résultats des tournois'!H16="""", INDEX(FILTER($C16:H16, ISNUMBER($C16:H16)), COUNTA(FILTER($C16:H"&amp;"16, ISNUMBER($C16:H16)))),
lastVal + 'K dynamique'!H16 * ((SQRT('Résultats des tournois'!H$2 + 1)/'Résultats des tournois'!H16) - (1 / (1 + 10^((H$103 - lastVal)/400)))))
)
))"),1615.9648720061425)</f>
        <v>1615.964872</v>
      </c>
      <c r="J16" s="32">
        <f>IFERROR(__xludf.DUMMYFUNCTION("IF('Résultats des tournois'!I$2=0,"""",LET(
lastVal, INDEX(FILTER($B16:I16, ISNUMBER($B16:I16)), COUNTA(FILTER($B16:I16, ISNUMBER($B16:I16)))),
IFERROR(
IF('Résultats des tournois'!I16="""", INDEX(FILTER($C16:I16, ISNUMBER($C16:I16)), COUNTA(FILTER($C16:I"&amp;"16, ISNUMBER($C16:I16)))),
lastVal + 'K dynamique'!I16 * ((SQRT('Résultats des tournois'!I$2 + 1)/'Résultats des tournois'!I16) - (1 / (1 + 10^((I$103 - lastVal)/400)))))
)
))"),1615.9648720061425)</f>
        <v>1615.964872</v>
      </c>
      <c r="K16" s="32">
        <f>IFERROR(__xludf.DUMMYFUNCTION("IF('Résultats des tournois'!J$2=0,"""",LET(
lastVal, INDEX(FILTER($B16:J16, ISNUMBER($B16:J16)), COUNTA(FILTER($B16:J16, ISNUMBER($B16:J16)))),
IFERROR(
IF('Résultats des tournois'!J16="""", INDEX(FILTER($C16:J16, ISNUMBER($C16:J16)), COUNTA(FILTER($C16:J"&amp;"16, ISNUMBER($C16:J16)))),
lastVal + 'K dynamique'!J16 * ((SQRT('Résultats des tournois'!J$2 + 1)/'Résultats des tournois'!J16) - (1 / (1 + 10^((J$103 - lastVal)/400)))))
)
))"),1612.7665906717575)</f>
        <v>1612.766591</v>
      </c>
      <c r="L16" s="32">
        <f>IFERROR(__xludf.DUMMYFUNCTION("IF('Résultats des tournois'!K$2=0,"""",LET(
lastVal, INDEX(FILTER($B16:K16, ISNUMBER($B16:K16)), COUNTA(FILTER($B16:K16, ISNUMBER($B16:K16)))),
IFERROR(
IF('Résultats des tournois'!K16="""", INDEX(FILTER($C16:K16, ISNUMBER($C16:K16)), COUNTA(FILTER($C16:K"&amp;"16, ISNUMBER($C16:K16)))),
lastVal + 'K dynamique'!K16 * ((SQRT('Résultats des tournois'!K$2 + 1)/'Résultats des tournois'!K16) - (1 / (1 + 10^((K$103 - lastVal)/400)))))
)
))"),1605.68616408582)</f>
        <v>1605.686164</v>
      </c>
      <c r="M16" s="32">
        <f>IFERROR(__xludf.DUMMYFUNCTION("IF('Résultats des tournois'!L$2=0,"""",LET(
lastVal, INDEX(FILTER($B16:L16, ISNUMBER($B16:L16)), COUNTA(FILTER($B16:L16, ISNUMBER($B16:L16)))),
IFERROR(
IF('Résultats des tournois'!L16="""", INDEX(FILTER($C16:L16, ISNUMBER($C16:L16)), COUNTA(FILTER($C16:L"&amp;"16, ISNUMBER($C16:L16)))),
lastVal + 'K dynamique'!L16 * ((SQRT('Résultats des tournois'!L$2 + 1)/'Résultats des tournois'!L16) - (1 / (1 + 10^((L$103 - lastVal)/400)))))
)
))"),1613.352443351512)</f>
        <v>1613.352443</v>
      </c>
      <c r="N16" s="32" t="str">
        <f>IFERROR(__xludf.DUMMYFUNCTION("IF('Résultats des tournois'!M$2=0,"""",LET(
lastVal, INDEX(FILTER($B16:M16, ISNUMBER($B16:M16)), COUNTA(FILTER($B16:M16, ISNUMBER($B16:M16)))),
IFERROR(
IF('Résultats des tournois'!M16="""", INDEX(FILTER($C16:M16, ISNUMBER($C16:M16)), COUNTA(FILTER($C16:M"&amp;"16, ISNUMBER($C16:M16)))),
lastVal + 'K dynamique'!M16 * ((SQRT('Résultats des tournois'!M$2 + 1)/'Résultats des tournois'!M16) - (1 / (1 + 10^((M$103 - lastVal)/400)))))
)
))"),"")</f>
        <v/>
      </c>
      <c r="O16" s="32" t="str">
        <f>IFERROR(__xludf.DUMMYFUNCTION("IF('Résultats des tournois'!N$2=0,"""",LET(
lastVal, INDEX(FILTER($B16:N16, ISNUMBER($B16:N16)), COUNTA(FILTER($B16:N16, ISNUMBER($B16:N16)))),
IFERROR(
IF('Résultats des tournois'!N16="""", INDEX(FILTER($C16:N16, ISNUMBER($C16:N16)), COUNTA(FILTER($C16:N"&amp;"16, ISNUMBER($C16:N16)))),
lastVal + 'K dynamique'!N16 * ((SQRT('Résultats des tournois'!N$2 + 1)/'Résultats des tournois'!N16) - (1 / (1 + 10^((N$103 - lastVal)/400)))))
)
))"),"")</f>
        <v/>
      </c>
      <c r="P16" s="32" t="str">
        <f>IFERROR(__xludf.DUMMYFUNCTION("IF('Résultats des tournois'!O$2=0,"""",LET(
lastVal, INDEX(FILTER($B16:O16, ISNUMBER($B16:O16)), COUNTA(FILTER($B16:O16, ISNUMBER($B16:O16)))),
IFERROR(
IF('Résultats des tournois'!O16="""", INDEX(FILTER($C16:O16, ISNUMBER($C16:O16)), COUNTA(FILTER($C16:O"&amp;"16, ISNUMBER($C16:O16)))),
lastVal + 'K dynamique'!O16 * ((SQRT('Résultats des tournois'!O$2 + 1)/'Résultats des tournois'!O16) - (1 / (1 + 10^((O$103 - lastVal)/400)))))
)
))"),"")</f>
        <v/>
      </c>
      <c r="Q16" s="32" t="str">
        <f>IFERROR(__xludf.DUMMYFUNCTION("IF('Résultats des tournois'!P$2=0,"""",LET(
lastVal, INDEX(FILTER($B16:P16, ISNUMBER($B16:P16)), COUNTA(FILTER($B16:P16, ISNUMBER($B16:P16)))),
IFERROR(
IF('Résultats des tournois'!P16="""", INDEX(FILTER($C16:P16, ISNUMBER($C16:P16)), COUNTA(FILTER($C16:P"&amp;"16, ISNUMBER($C16:P16)))),
lastVal + 'K dynamique'!P16 * ((SQRT('Résultats des tournois'!P$2 + 1)/'Résultats des tournois'!P16) - (1 / (1 + 10^((P$103 - lastVal)/400)))))
)
))"),"")</f>
        <v/>
      </c>
      <c r="R16" s="32" t="str">
        <f>IFERROR(__xludf.DUMMYFUNCTION("IF('Résultats des tournois'!Q$2=0,"""",LET(
lastVal, INDEX(FILTER($B16:Q16, ISNUMBER($B16:Q16)), COUNTA(FILTER($B16:Q16, ISNUMBER($B16:Q16)))),
IFERROR(
IF('Résultats des tournois'!Q16="""", INDEX(FILTER($C16:Q16, ISNUMBER($C16:Q16)), COUNTA(FILTER($C16:Q"&amp;"16, ISNUMBER($C16:Q16)))),
lastVal + 'K dynamique'!Q16 * ((SQRT('Résultats des tournois'!Q$2 + 1)/'Résultats des tournois'!Q16) - (1 / (1 + 10^((Q$103 - lastVal)/400)))))
)
))"),"")</f>
        <v/>
      </c>
      <c r="S16" s="32" t="str">
        <f>IFERROR(__xludf.DUMMYFUNCTION("IF('Résultats des tournois'!R$2=0,"""",LET(
lastVal, INDEX(FILTER($B16:R16, ISNUMBER($B16:R16)), COUNTA(FILTER($B16:R16, ISNUMBER($B16:R16)))),
IFERROR(
IF('Résultats des tournois'!R16="""", INDEX(FILTER($C16:R16, ISNUMBER($C16:R16)), COUNTA(FILTER($C16:R"&amp;"16, ISNUMBER($C16:R16)))),
lastVal + 'K dynamique'!R16 * ((SQRT('Résultats des tournois'!R$2 + 1)/'Résultats des tournois'!R16) - (1 / (1 + 10^((R$103 - lastVal)/400)))))
)
))"),"")</f>
        <v/>
      </c>
      <c r="T16" s="32" t="str">
        <f>IFERROR(__xludf.DUMMYFUNCTION("IF('Résultats des tournois'!S$2=0,"""",LET(
lastVal, INDEX(FILTER($B16:S16, ISNUMBER($B16:S16)), COUNTA(FILTER($B16:S16, ISNUMBER($B16:S16)))),
IFERROR(
IF('Résultats des tournois'!S16="""", INDEX(FILTER($C16:S16, ISNUMBER($C16:S16)), COUNTA(FILTER($C16:S"&amp;"16, ISNUMBER($C16:S16)))),
lastVal + 'K dynamique'!S16 * ((SQRT('Résultats des tournois'!S$2 + 1)/'Résultats des tournois'!S16) - (1 / (1 + 10^((S$103 - lastVal)/400)))))
)
))"),"")</f>
        <v/>
      </c>
      <c r="U16" s="32" t="str">
        <f>IFERROR(__xludf.DUMMYFUNCTION("IF('Résultats des tournois'!T$2=0,"""",LET(
lastVal, INDEX(FILTER($B16:T16, ISNUMBER($B16:T16)), COUNTA(FILTER($B16:T16, ISNUMBER($B16:T16)))),
IFERROR(
IF('Résultats des tournois'!T16="""", INDEX(FILTER($C16:T16, ISNUMBER($C16:T16)), COUNTA(FILTER($C16:T"&amp;"16, ISNUMBER($C16:T16)))),
lastVal + 'K dynamique'!T16 * ((SQRT('Résultats des tournois'!T$2 + 1)/'Résultats des tournois'!T16) - (1 / (1 + 10^((T$103 - lastVal)/400)))))
)
))"),"")</f>
        <v/>
      </c>
      <c r="V16" s="32" t="str">
        <f>IFERROR(__xludf.DUMMYFUNCTION("IF('Résultats des tournois'!U$2=0,"""",LET(
lastVal, INDEX(FILTER($B16:U16, ISNUMBER($B16:U16)), COUNTA(FILTER($B16:U16, ISNUMBER($B16:U16)))),
IFERROR(
IF('Résultats des tournois'!U16="""", INDEX(FILTER($C16:U16, ISNUMBER($C16:U16)), COUNTA(FILTER($C16:U"&amp;"16, ISNUMBER($C16:U16)))),
lastVal + 'K dynamique'!U16 * ((SQRT('Résultats des tournois'!U$2 + 1)/'Résultats des tournois'!U16) - (1 / (1 + 10^((U$103 - lastVal)/400)))))
)
))"),"")</f>
        <v/>
      </c>
      <c r="W16" s="32" t="str">
        <f>IFERROR(__xludf.DUMMYFUNCTION("IF('Résultats des tournois'!V$2=0,"""",LET(
lastVal, INDEX(FILTER($B16:V16, ISNUMBER($B16:V16)), COUNTA(FILTER($B16:V16, ISNUMBER($B16:V16)))),
IFERROR(
IF('Résultats des tournois'!V16="""", INDEX(FILTER($C16:V16, ISNUMBER($C16:V16)), COUNTA(FILTER($C16:V"&amp;"16, ISNUMBER($C16:V16)))),
lastVal + 'K dynamique'!V16 * ((SQRT('Résultats des tournois'!V$2 + 1)/'Résultats des tournois'!V16) - (1 / (1 + 10^((V$103 - lastVal)/400)))))
)
))"),"")</f>
        <v/>
      </c>
      <c r="X16" s="32" t="str">
        <f>IFERROR(__xludf.DUMMYFUNCTION("IF('Résultats des tournois'!W$2=0,"""",LET(
lastVal, INDEX(FILTER($B16:W16, ISNUMBER($B16:W16)), COUNTA(FILTER($B16:W16, ISNUMBER($B16:W16)))),
IFERROR(
IF('Résultats des tournois'!W16="""", INDEX(FILTER($C16:W16, ISNUMBER($C16:W16)), COUNTA(FILTER($C16:W"&amp;"16, ISNUMBER($C16:W16)))),
lastVal + 'K dynamique'!W16 * ((SQRT('Résultats des tournois'!W$2 + 1)/'Résultats des tournois'!W16) - (1 / (1 + 10^((W$103 - lastVal)/400)))))
)
))"),"")</f>
        <v/>
      </c>
      <c r="Y16" s="32" t="str">
        <f>IFERROR(__xludf.DUMMYFUNCTION("IF('Résultats des tournois'!X$2=0,"""",LET(
lastVal, INDEX(FILTER($B16:X16, ISNUMBER($B16:X16)), COUNTA(FILTER($B16:X16, ISNUMBER($B16:X16)))),
IFERROR(
IF('Résultats des tournois'!X16="""", INDEX(FILTER($C16:X16, ISNUMBER($C16:X16)), COUNTA(FILTER($C16:X"&amp;"16, ISNUMBER($C16:X16)))),
lastVal + 'K dynamique'!X16 * ((SQRT('Résultats des tournois'!X$2 + 1)/'Résultats des tournois'!X16) - (1 / (1 + 10^((X$103 - lastVal)/400)))))
)
))"),"")</f>
        <v/>
      </c>
      <c r="Z16" s="32" t="str">
        <f>IFERROR(__xludf.DUMMYFUNCTION("IF('Résultats des tournois'!Y$2=0,"""",LET(
lastVal, INDEX(FILTER($B16:Y16, ISNUMBER($B16:Y16)), COUNTA(FILTER($B16:Y16, ISNUMBER($B16:Y16)))),
IFERROR(
IF('Résultats des tournois'!Y16="""", INDEX(FILTER($C16:Y16, ISNUMBER($C16:Y16)), COUNTA(FILTER($C16:Y"&amp;"16, ISNUMBER($C16:Y16)))),
lastVal + 'K dynamique'!Y16 * ((SQRT('Résultats des tournois'!Y$2 + 1)/'Résultats des tournois'!Y16) - (1 / (1 + 10^((Y$103 - lastVal)/400)))))
)
))"),"")</f>
        <v/>
      </c>
      <c r="AA16" s="32" t="str">
        <f>IFERROR(__xludf.DUMMYFUNCTION("IF('Résultats des tournois'!Z$2=0,"""",LET(
lastVal, INDEX(FILTER($B16:Z16, ISNUMBER($B16:Z16)), COUNTA(FILTER($B16:Z16, ISNUMBER($B16:Z16)))),
IFERROR(
IF('Résultats des tournois'!Z16="""", INDEX(FILTER($C16:Z16, ISNUMBER($C16:Z16)), COUNTA(FILTER($C16:Z"&amp;"16, ISNUMBER($C16:Z16)))),
lastVal + 'K dynamique'!Z16 * ((SQRT('Résultats des tournois'!Z$2 + 1)/'Résultats des tournois'!Z16) - (1 / (1 + 10^((Z$103 - lastVal)/400)))))
)
))"),"")</f>
        <v/>
      </c>
      <c r="AB16" s="32" t="str">
        <f>IFERROR(__xludf.DUMMYFUNCTION("IF('Résultats des tournois'!AA$2=0,"""",LET(
lastVal, INDEX(FILTER($B16:AA16, ISNUMBER($B16:AA16)), COUNTA(FILTER($B16:AA16, ISNUMBER($B16:AA16)))),
IFERROR(
IF('Résultats des tournois'!AA16="""", INDEX(FILTER($C16:AA16, ISNUMBER($C16:AA16)), COUNTA(FILTE"&amp;"R($C16:AA16, ISNUMBER($C16:AA16)))),
lastVal + 'K dynamique'!AA16 * ((SQRT('Résultats des tournois'!AA$2 + 1)/'Résultats des tournois'!AA16) - (1 / (1 + 10^((AA$103 - lastVal)/400)))))
)
))"),"")</f>
        <v/>
      </c>
      <c r="AC16" s="32" t="str">
        <f>IFERROR(__xludf.DUMMYFUNCTION("IF('Résultats des tournois'!AB$2=0,"""",LET(
lastVal, INDEX(FILTER($B16:AB16, ISNUMBER($B16:AB16)), COUNTA(FILTER($B16:AB16, ISNUMBER($B16:AB16)))),
IFERROR(
IF('Résultats des tournois'!AB16="""", INDEX(FILTER($C16:AB16, ISNUMBER($C16:AB16)), COUNTA(FILTE"&amp;"R($C16:AB16, ISNUMBER($C16:AB16)))),
lastVal + 'K dynamique'!AB16 * ((SQRT('Résultats des tournois'!AB$2 + 1)/'Résultats des tournois'!AB16) - (1 / (1 + 10^((AB$103 - lastVal)/400)))))
)
))"),"")</f>
        <v/>
      </c>
      <c r="AD16" s="32" t="str">
        <f>IFERROR(__xludf.DUMMYFUNCTION("IF('Résultats des tournois'!AC$2=0,"""",LET(
lastVal, INDEX(FILTER($B16:AC16, ISNUMBER($B16:AC16)), COUNTA(FILTER($B16:AC16, ISNUMBER($B16:AC16)))),
IFERROR(
IF('Résultats des tournois'!AC16="""", INDEX(FILTER($C16:AC16, ISNUMBER($C16:AC16)), COUNTA(FILTE"&amp;"R($C16:AC16, ISNUMBER($C16:AC16)))),
lastVal + 'K dynamique'!AC16 * ((SQRT('Résultats des tournois'!AC$2 + 1)/'Résultats des tournois'!AC16) - (1 / (1 + 10^((AC$103 - lastVal)/400)))))
)
))"),"")</f>
        <v/>
      </c>
      <c r="AE16" s="32" t="str">
        <f>IFERROR(__xludf.DUMMYFUNCTION("IF('Résultats des tournois'!AD$2=0,"""",LET(
lastVal, INDEX(FILTER($B16:AD16, ISNUMBER($B16:AD16)), COUNTA(FILTER($B16:AD16, ISNUMBER($B16:AD16)))),
IFERROR(
IF('Résultats des tournois'!AD16="""", INDEX(FILTER($C16:AD16, ISNUMBER($C16:AD16)), COUNTA(FILTE"&amp;"R($C16:AD16, ISNUMBER($C16:AD16)))),
lastVal + 'K dynamique'!AD16 * ((SQRT('Résultats des tournois'!AD$2 + 1)/'Résultats des tournois'!AD16) - (1 / (1 + 10^((AD$103 - lastVal)/400)))))
)
))"),"")</f>
        <v/>
      </c>
      <c r="AF16" s="32" t="str">
        <f>IFERROR(__xludf.DUMMYFUNCTION("IF('Résultats des tournois'!AE$2=0,"""",LET(
lastVal, INDEX(FILTER($B16:AE16, ISNUMBER($B16:AE16)), COUNTA(FILTER($B16:AE16, ISNUMBER($B16:AE16)))),
IFERROR(
IF('Résultats des tournois'!AE16="""", INDEX(FILTER($C16:AE16, ISNUMBER($C16:AE16)), COUNTA(FILTE"&amp;"R($C16:AE16, ISNUMBER($C16:AE16)))),
lastVal + 'K dynamique'!AE16 * ((SQRT('Résultats des tournois'!AE$2 + 1)/'Résultats des tournois'!AE16) - (1 / (1 + 10^((AE$103 - lastVal)/400)))))
)
))"),"")</f>
        <v/>
      </c>
      <c r="AG16" s="32" t="str">
        <f>IFERROR(__xludf.DUMMYFUNCTION("IF('Résultats des tournois'!AF$2=0,"""",LET(
lastVal, INDEX(FILTER($B16:AF16, ISNUMBER($B16:AF16)), COUNTA(FILTER($B16:AF16, ISNUMBER($B16:AF16)))),
IFERROR(
IF('Résultats des tournois'!AF16="""", INDEX(FILTER($C16:AF16, ISNUMBER($C16:AF16)), COUNTA(FILTE"&amp;"R($C16:AF16, ISNUMBER($C16:AF16)))),
lastVal + 'K dynamique'!AF16 * ((SQRT('Résultats des tournois'!AF$2 + 1)/'Résultats des tournois'!AF16) - (1 / (1 + 10^((AF$103 - lastVal)/400)))))
)
))"),"")</f>
        <v/>
      </c>
      <c r="AH16" s="32" t="str">
        <f>IFERROR(__xludf.DUMMYFUNCTION("IF('Résultats des tournois'!AG$2=0,"""",LET(
lastVal, INDEX(FILTER($B16:AG16, ISNUMBER($B16:AG16)), COUNTA(FILTER($B16:AG16, ISNUMBER($B16:AG16)))),
IFERROR(
IF('Résultats des tournois'!AG16="""", INDEX(FILTER($C16:AG16, ISNUMBER($C16:AG16)), COUNTA(FILTE"&amp;"R($C16:AG16, ISNUMBER($C16:AG16)))),
lastVal + 'K dynamique'!AG16 * ((SQRT('Résultats des tournois'!AG$2 + 1)/'Résultats des tournois'!AG16) - (1 / (1 + 10^((AG$103 - lastVal)/400)))))
)
))"),"")</f>
        <v/>
      </c>
      <c r="AI16" s="32" t="str">
        <f>IFERROR(__xludf.DUMMYFUNCTION("IF('Résultats des tournois'!AH$2=0,"""",LET(
lastVal, INDEX(FILTER($B16:AH16, ISNUMBER($B16:AH16)), COUNTA(FILTER($B16:AH16, ISNUMBER($B16:AH16)))),
IFERROR(
IF('Résultats des tournois'!AH16="""", INDEX(FILTER($C16:AH16, ISNUMBER($C16:AH16)), COUNTA(FILTE"&amp;"R($C16:AH16, ISNUMBER($C16:AH16)))),
lastVal + 'K dynamique'!AH16 * ((SQRT('Résultats des tournois'!AH$2 + 1)/'Résultats des tournois'!AH16) - (1 / (1 + 10^((AH$103 - lastVal)/400)))))
)
))"),"")</f>
        <v/>
      </c>
      <c r="AJ16" s="32" t="str">
        <f>IFERROR(__xludf.DUMMYFUNCTION("IF('Résultats des tournois'!AI$2=0,"""",LET(
lastVal, INDEX(FILTER($B16:AI16, ISNUMBER($B16:AI16)), COUNTA(FILTER($B16:AI16, ISNUMBER($B16:AI16)))),
IFERROR(
IF('Résultats des tournois'!AI16="""", INDEX(FILTER($C16:AI16, ISNUMBER($C16:AI16)), COUNTA(FILTE"&amp;"R($C16:AI16, ISNUMBER($C16:AI16)))),
lastVal + 'K dynamique'!AI16 * ((SQRT('Résultats des tournois'!AI$2 + 1)/'Résultats des tournois'!AI16) - (1 / (1 + 10^((AI$103 - lastVal)/400)))))
)
))"),"")</f>
        <v/>
      </c>
      <c r="AK16" s="32" t="str">
        <f>IFERROR(__xludf.DUMMYFUNCTION("IF('Résultats des tournois'!AJ$2=0,"""",LET(
lastVal, INDEX(FILTER($B16:AJ16, ISNUMBER($B16:AJ16)), COUNTA(FILTER($B16:AJ16, ISNUMBER($B16:AJ16)))),
IFERROR(
IF('Résultats des tournois'!AJ16="""", INDEX(FILTER($C16:AJ16, ISNUMBER($C16:AJ16)), COUNTA(FILTE"&amp;"R($C16:AJ16, ISNUMBER($C16:AJ16)))),
lastVal + 'K dynamique'!AJ16 * ((SQRT('Résultats des tournois'!AJ$2 + 1)/'Résultats des tournois'!AJ16) - (1 / (1 + 10^((AJ$103 - lastVal)/400)))))
)
))"),"")</f>
        <v/>
      </c>
      <c r="AL16" s="32" t="str">
        <f>IFERROR(__xludf.DUMMYFUNCTION("IF('Résultats des tournois'!AK$2=0,"""",LET(
lastVal, INDEX(FILTER($B16:AK16, ISNUMBER($B16:AK16)), COUNTA(FILTER($B16:AK16, ISNUMBER($B16:AK16)))),
IFERROR(
IF('Résultats des tournois'!AK16="""", INDEX(FILTER($C16:AK16, ISNUMBER($C16:AK16)), COUNTA(FILTE"&amp;"R($C16:AK16, ISNUMBER($C16:AK16)))),
lastVal + 'K dynamique'!AK16 * ((SQRT('Résultats des tournois'!AK$2 + 1)/'Résultats des tournois'!AK16) - (1 / (1 + 10^((AK$103 - lastVal)/400)))))
)
))"),"")</f>
        <v/>
      </c>
      <c r="AM16" s="32" t="str">
        <f>IFERROR(__xludf.DUMMYFUNCTION("IF('Résultats des tournois'!AL$2=0,"""",LET(
lastVal, INDEX(FILTER($B16:AL16, ISNUMBER($B16:AL16)), COUNTA(FILTER($B16:AL16, ISNUMBER($B16:AL16)))),
IFERROR(
IF('Résultats des tournois'!AL16="""", INDEX(FILTER($C16:AL16, ISNUMBER($C16:AL16)), COUNTA(FILTE"&amp;"R($C16:AL16, ISNUMBER($C16:AL16)))),
lastVal + 'K dynamique'!AL16 * ((SQRT('Résultats des tournois'!AL$2 + 1)/'Résultats des tournois'!AL16) - (1 / (1 + 10^((AL$103 - lastVal)/400)))))
)
))"),"")</f>
        <v/>
      </c>
      <c r="AN16" s="32" t="str">
        <f>IFERROR(__xludf.DUMMYFUNCTION("IF('Résultats des tournois'!AM$2=0,"""",LET(
lastVal, INDEX(FILTER($B16:AM16, ISNUMBER($B16:AM16)), COUNTA(FILTER($B16:AM16, ISNUMBER($B16:AM16)))),
IFERROR(
IF('Résultats des tournois'!AM16="""", INDEX(FILTER($C16:AM16, ISNUMBER($C16:AM16)), COUNTA(FILTE"&amp;"R($C16:AM16, ISNUMBER($C16:AM16)))),
lastVal + 'K dynamique'!AM16 * ((SQRT('Résultats des tournois'!AM$2 + 1)/'Résultats des tournois'!AM16) - (1 / (1 + 10^((AM$103 - lastVal)/400)))))
)
))"),"")</f>
        <v/>
      </c>
      <c r="AO16" s="32" t="str">
        <f>IFERROR(__xludf.DUMMYFUNCTION("IF('Résultats des tournois'!AN$2=0,"""",LET(
lastVal, INDEX(FILTER($B16:AN16, ISNUMBER($B16:AN16)), COUNTA(FILTER($B16:AN16, ISNUMBER($B16:AN16)))),
IFERROR(
IF('Résultats des tournois'!AN16="""", INDEX(FILTER($C16:AN16, ISNUMBER($C16:AN16)), COUNTA(FILTE"&amp;"R($C16:AN16, ISNUMBER($C16:AN16)))),
lastVal + 'K dynamique'!AN16 * ((SQRT('Résultats des tournois'!AN$2 + 1)/'Résultats des tournois'!AN16) - (1 / (1 + 10^((AN$103 - lastVal)/400)))))
)
))"),"")</f>
        <v/>
      </c>
      <c r="AP16" s="32" t="str">
        <f>IFERROR(__xludf.DUMMYFUNCTION("IF('Résultats des tournois'!AO$2=0,"""",LET(
lastVal, INDEX(FILTER($B16:AO16, ISNUMBER($B16:AO16)), COUNTA(FILTER($B16:AO16, ISNUMBER($B16:AO16)))),
IFERROR(
IF('Résultats des tournois'!AO16="""", INDEX(FILTER($C16:AO16, ISNUMBER($C16:AO16)), COUNTA(FILTE"&amp;"R($C16:AO16, ISNUMBER($C16:AO16)))),
lastVal + 'K dynamique'!AO16 * ((SQRT('Résultats des tournois'!AO$2 + 1)/'Résultats des tournois'!AO16) - (1 / (1 + 10^((AO$103 - lastVal)/400)))))
)
))"),"")</f>
        <v/>
      </c>
      <c r="AQ16" s="32" t="str">
        <f>IFERROR(__xludf.DUMMYFUNCTION("IF('Résultats des tournois'!AP$2=0,"""",LET(
lastVal, INDEX(FILTER($B16:AP16, ISNUMBER($B16:AP16)), COUNTA(FILTER($B16:AP16, ISNUMBER($B16:AP16)))),
IFERROR(
IF('Résultats des tournois'!AP16="""", INDEX(FILTER($C16:AP16, ISNUMBER($C16:AP16)), COUNTA(FILTE"&amp;"R($C16:AP16, ISNUMBER($C16:AP16)))),
lastVal + 'K dynamique'!AP16 * ((SQRT('Résultats des tournois'!AP$2 + 1)/'Résultats des tournois'!AP16) - (1 / (1 + 10^((AP$103 - lastVal)/400)))))
)
))"),"")</f>
        <v/>
      </c>
      <c r="AR16" s="32" t="str">
        <f>IFERROR(__xludf.DUMMYFUNCTION("IF('Résultats des tournois'!AQ$2=0,"""",LET(
lastVal, INDEX(FILTER($B16:AQ16, ISNUMBER($B16:AQ16)), COUNTA(FILTER($B16:AQ16, ISNUMBER($B16:AQ16)))),
IFERROR(
IF('Résultats des tournois'!AQ16="""", INDEX(FILTER($C16:AQ16, ISNUMBER($C16:AQ16)), COUNTA(FILTE"&amp;"R($C16:AQ16, ISNUMBER($C16:AQ16)))),
lastVal + 'K dynamique'!AQ16 * ((SQRT('Résultats des tournois'!AQ$2 + 1)/'Résultats des tournois'!AQ16) - (1 / (1 + 10^((AQ$103 - lastVal)/400)))))
)
))"),"")</f>
        <v/>
      </c>
      <c r="AS16" s="32" t="str">
        <f>IFERROR(__xludf.DUMMYFUNCTION("IF('Résultats des tournois'!AR$2=0,"""",LET(
lastVal, INDEX(FILTER($B16:AR16, ISNUMBER($B16:AR16)), COUNTA(FILTER($B16:AR16, ISNUMBER($B16:AR16)))),
IFERROR(
IF('Résultats des tournois'!AR16="""", INDEX(FILTER($C16:AR16, ISNUMBER($C16:AR16)), COUNTA(FILTE"&amp;"R($C16:AR16, ISNUMBER($C16:AR16)))),
lastVal + 'K dynamique'!AR16 * ((SQRT('Résultats des tournois'!AR$2 + 1)/'Résultats des tournois'!AR16) - (1 / (1 + 10^((AR$103 - lastVal)/400)))))
)
))"),"")</f>
        <v/>
      </c>
      <c r="AT16" s="32" t="str">
        <f>IFERROR(__xludf.DUMMYFUNCTION("IF('Résultats des tournois'!AS$2=0,"""",LET(
lastVal, INDEX(FILTER($B16:AS16, ISNUMBER($B16:AS16)), COUNTA(FILTER($B16:AS16, ISNUMBER($B16:AS16)))),
IFERROR(
IF('Résultats des tournois'!AS16="""", INDEX(FILTER($C16:AS16, ISNUMBER($C16:AS16)), COUNTA(FILTE"&amp;"R($C16:AS16, ISNUMBER($C16:AS16)))),
lastVal + 'K dynamique'!AS16 * ((SQRT('Résultats des tournois'!AS$2 + 1)/'Résultats des tournois'!AS16) - (1 / (1 + 10^((AS$103 - lastVal)/400)))))
)
))"),"")</f>
        <v/>
      </c>
      <c r="AU16" s="32" t="str">
        <f>IFERROR(__xludf.DUMMYFUNCTION("IF('Résultats des tournois'!AT$2=0,"""",LET(
lastVal, INDEX(FILTER($B16:AT16, ISNUMBER($B16:AT16)), COUNTA(FILTER($B16:AT16, ISNUMBER($B16:AT16)))),
IFERROR(
IF('Résultats des tournois'!AT16="""", INDEX(FILTER($C16:AT16, ISNUMBER($C16:AT16)), COUNTA(FILTE"&amp;"R($C16:AT16, ISNUMBER($C16:AT16)))),
lastVal + 'K dynamique'!AT16 * ((SQRT('Résultats des tournois'!AT$2 + 1)/'Résultats des tournois'!AT16) - (1 / (1 + 10^((AT$103 - lastVal)/400)))))
)
))"),"")</f>
        <v/>
      </c>
      <c r="AV16" s="32" t="str">
        <f>IFERROR(__xludf.DUMMYFUNCTION("IF('Résultats des tournois'!AU$2=0,"""",LET(
lastVal, INDEX(FILTER($B16:AU16, ISNUMBER($B16:AU16)), COUNTA(FILTER($B16:AU16, ISNUMBER($B16:AU16)))),
IFERROR(
IF('Résultats des tournois'!AU16="""", INDEX(FILTER($C16:AU16, ISNUMBER($C16:AU16)), COUNTA(FILTE"&amp;"R($C16:AU16, ISNUMBER($C16:AU16)))),
lastVal + 'K dynamique'!AU16 * ((SQRT('Résultats des tournois'!AU$2 + 1)/'Résultats des tournois'!AU16) - (1 / (1 + 10^((AU$103 - lastVal)/400)))))
)
))"),"")</f>
        <v/>
      </c>
      <c r="AW16" s="32" t="str">
        <f>IFERROR(__xludf.DUMMYFUNCTION("IF('Résultats des tournois'!AV$2=0,"""",LET(
lastVal, INDEX(FILTER($B16:AV16, ISNUMBER($B16:AV16)), COUNTA(FILTER($B16:AV16, ISNUMBER($B16:AV16)))),
IFERROR(
IF('Résultats des tournois'!AV16="""", INDEX(FILTER($C16:AV16, ISNUMBER($C16:AV16)), COUNTA(FILTE"&amp;"R($C16:AV16, ISNUMBER($C16:AV16)))),
lastVal + 'K dynamique'!AV16 * ((SQRT('Résultats des tournois'!AV$2 + 1)/'Résultats des tournois'!AV16) - (1 / (1 + 10^((AV$103 - lastVal)/400)))))
)
))"),"")</f>
        <v/>
      </c>
      <c r="AX16" s="32" t="str">
        <f>IFERROR(__xludf.DUMMYFUNCTION("IF('Résultats des tournois'!AW$2=0,"""",LET(
lastVal, INDEX(FILTER($B16:AW16, ISNUMBER($B16:AW16)), COUNTA(FILTER($B16:AW16, ISNUMBER($B16:AW16)))),
IFERROR(
IF('Résultats des tournois'!AW16="""", INDEX(FILTER($C16:AW16, ISNUMBER($C16:AW16)), COUNTA(FILTE"&amp;"R($C16:AW16, ISNUMBER($C16:AW16)))),
lastVal + 'K dynamique'!AW16 * ((SQRT('Résultats des tournois'!AW$2 + 1)/'Résultats des tournois'!AW16) - (1 / (1 + 10^((AW$103 - lastVal)/400)))))
)
))"),"")</f>
        <v/>
      </c>
      <c r="AY16" s="32" t="str">
        <f>IFERROR(__xludf.DUMMYFUNCTION("IF('Résultats des tournois'!AX$2=0,"""",LET(
lastVal, INDEX(FILTER($B16:AX16, ISNUMBER($B16:AX16)), COUNTA(FILTER($B16:AX16, ISNUMBER($B16:AX16)))),
IFERROR(
IF('Résultats des tournois'!AX16="""", INDEX(FILTER($C16:AX16, ISNUMBER($C16:AX16)), COUNTA(FILTE"&amp;"R($C16:AX16, ISNUMBER($C16:AX16)))),
lastVal + 'K dynamique'!AX16 * ((SQRT('Résultats des tournois'!AX$2 + 1)/'Résultats des tournois'!AX16) - (1 / (1 + 10^((AX$103 - lastVal)/400)))))
)
))"),"")</f>
        <v/>
      </c>
      <c r="AZ16" s="4">
        <f t="array" ref="AZ16">IF(MAX(($C16:AY16&lt;&gt;"")*COLUMN($C16:AY16))=0,"",INDEX($C16:AY16,1,MAX(($C16:AY16&lt;&gt;"")*COLUMN($C16:AY16))-COLUMN($C16)+1))</f>
        <v>1613.352443</v>
      </c>
      <c r="BA16" s="33">
        <f t="shared" si="1"/>
        <v>7</v>
      </c>
    </row>
    <row r="17" ht="14.25" customHeight="1">
      <c r="A17" s="32" t="str">
        <f>IF('Résultats des tournois'!A17="","",'Résultats des tournois'!A17)</f>
        <v>Phoenix</v>
      </c>
      <c r="B17" s="32">
        <v>1500.0</v>
      </c>
      <c r="C17" s="32">
        <f>IF('Résultats des tournois'!B17="","",B17+'K dynamique'!B17*((SQRT('Résultats des tournois'!B$2+1)/'Résultats des tournois'!B17)-(1/(1+10^((B17-B17)/400)))))</f>
        <v>1494.884821</v>
      </c>
      <c r="D17" s="32">
        <f>IFERROR(__xludf.DUMMYFUNCTION("IF('Résultats des tournois'!C$2=0,"""",LET(
lastVal, INDEX(FILTER($B17:C17, ISNUMBER($B17:C17)), COUNTA(FILTER($B17:C17, ISNUMBER($B17:C17)))),
IFERROR(
IF('Résultats des tournois'!C17="""", INDEX(FILTER($C17:C17, ISNUMBER($C17:C17)), COUNTA(FILTER($C17:C"&amp;"17, ISNUMBER($C17:C17)))),
lastVal + 'K dynamique'!C17 * ((SQRT('Résultats des tournois'!C$2 + 1)/'Résultats des tournois'!C17) - (1 / (1 + 10^((C$103 - lastVal)/400)))))
)
))"),1516.6820261922387)</f>
        <v>1516.682026</v>
      </c>
      <c r="E17" s="32">
        <f>IFERROR(__xludf.DUMMYFUNCTION("IF('Résultats des tournois'!D$2=0,"""",LET(
lastVal, INDEX(FILTER($B17:D17, ISNUMBER($B17:D17)), COUNTA(FILTER($B17:D17, ISNUMBER($B17:D17)))),
IFERROR(
IF('Résultats des tournois'!D17="""", INDEX(FILTER($C17:D17, ISNUMBER($C17:D17)), COUNTA(FILTER($C17:D"&amp;"17, ISNUMBER($C17:D17)))),
lastVal + 'K dynamique'!D17 * ((SQRT('Résultats des tournois'!D$2 + 1)/'Résultats des tournois'!D17) - (1 / (1 + 10^((D$103 - lastVal)/400)))))
)
))"),1511.3331902411726)</f>
        <v>1511.33319</v>
      </c>
      <c r="F17" s="32">
        <f>IFERROR(__xludf.DUMMYFUNCTION("IF('Résultats des tournois'!E$2=0,"""",LET(
lastVal, INDEX(FILTER($B17:E17, ISNUMBER($B17:E17)), COUNTA(FILTER($B17:E17, ISNUMBER($B17:E17)))),
IFERROR(
IF('Résultats des tournois'!E17="""", INDEX(FILTER($C17:E17, ISNUMBER($C17:E17)), COUNTA(FILTER($C17:E"&amp;"17, ISNUMBER($C17:E17)))),
lastVal + 'K dynamique'!E17 * ((SQRT('Résultats des tournois'!E$2 + 1)/'Résultats des tournois'!E17) - (1 / (1 + 10^((E$103 - lastVal)/400)))))
)
))"),1533.2327215837097)</f>
        <v>1533.232722</v>
      </c>
      <c r="G17" s="32">
        <f>IFERROR(__xludf.DUMMYFUNCTION("IF('Résultats des tournois'!F$2=0,"""",LET(
lastVal, INDEX(FILTER($B17:F17, ISNUMBER($B17:F17)), COUNTA(FILTER($B17:F17, ISNUMBER($B17:F17)))),
IFERROR(
IF('Résultats des tournois'!F17="""", INDEX(FILTER($C17:F17, ISNUMBER($C17:F17)), COUNTA(FILTER($C17:F"&amp;"17, ISNUMBER($C17:F17)))),
lastVal + 'K dynamique'!F17 * ((SQRT('Résultats des tournois'!F$2 + 1)/'Résultats des tournois'!F17) - (1 / (1 + 10^((F$103 - lastVal)/400)))))
)
))"),1532.0399223405482)</f>
        <v>1532.039922</v>
      </c>
      <c r="H17" s="32">
        <f>IFERROR(__xludf.DUMMYFUNCTION("IF('Résultats des tournois'!G$2=0,"""",LET(
lastVal, INDEX(FILTER($B17:G17, ISNUMBER($B17:G17)), COUNTA(FILTER($B17:G17, ISNUMBER($B17:G17)))),
IFERROR(
IF('Résultats des tournois'!G17="""", INDEX(FILTER($C17:G17, ISNUMBER($C17:G17)), COUNTA(FILTER($C17:G"&amp;"17, ISNUMBER($C17:G17)))),
lastVal + 'K dynamique'!G17 * ((SQRT('Résultats des tournois'!G$2 + 1)/'Résultats des tournois'!G17) - (1 / (1 + 10^((G$103 - lastVal)/400)))))
)
))"),1529.2689245721313)</f>
        <v>1529.268925</v>
      </c>
      <c r="I17" s="32">
        <f>IFERROR(__xludf.DUMMYFUNCTION("IF('Résultats des tournois'!H$2=0,"""",LET(
lastVal, INDEX(FILTER($B17:H17, ISNUMBER($B17:H17)), COUNTA(FILTER($B17:H17, ISNUMBER($B17:H17)))),
IFERROR(
IF('Résultats des tournois'!H17="""", INDEX(FILTER($C17:H17, ISNUMBER($C17:H17)), COUNTA(FILTER($C17:H"&amp;"17, ISNUMBER($C17:H17)))),
lastVal + 'K dynamique'!H17 * ((SQRT('Résultats des tournois'!H$2 + 1)/'Résultats des tournois'!H17) - (1 / (1 + 10^((H$103 - lastVal)/400)))))
)
))"),1530.2966150497327)</f>
        <v>1530.296615</v>
      </c>
      <c r="J17" s="32">
        <f>IFERROR(__xludf.DUMMYFUNCTION("IF('Résultats des tournois'!I$2=0,"""",LET(
lastVal, INDEX(FILTER($B17:I17, ISNUMBER($B17:I17)), COUNTA(FILTER($B17:I17, ISNUMBER($B17:I17)))),
IFERROR(
IF('Résultats des tournois'!I17="""", INDEX(FILTER($C17:I17, ISNUMBER($C17:I17)), COUNTA(FILTER($C17:I"&amp;"17, ISNUMBER($C17:I17)))),
lastVal + 'K dynamique'!I17 * ((SQRT('Résultats des tournois'!I$2 + 1)/'Résultats des tournois'!I17) - (1 / (1 + 10^((I$103 - lastVal)/400)))))
)
))"),1532.4598260373289)</f>
        <v>1532.459826</v>
      </c>
      <c r="K17" s="32">
        <f>IFERROR(__xludf.DUMMYFUNCTION("IF('Résultats des tournois'!J$2=0,"""",LET(
lastVal, INDEX(FILTER($B17:J17, ISNUMBER($B17:J17)), COUNTA(FILTER($B17:J17, ISNUMBER($B17:J17)))),
IFERROR(
IF('Résultats des tournois'!J17="""", INDEX(FILTER($C17:J17, ISNUMBER($C17:J17)), COUNTA(FILTER($C17:J"&amp;"17, ISNUMBER($C17:J17)))),
lastVal + 'K dynamique'!J17 * ((SQRT('Résultats des tournois'!J$2 + 1)/'Résultats des tournois'!J17) - (1 / (1 + 10^((J$103 - lastVal)/400)))))
)
))"),1528.318610886615)</f>
        <v>1528.318611</v>
      </c>
      <c r="L17" s="32">
        <f>IFERROR(__xludf.DUMMYFUNCTION("IF('Résultats des tournois'!K$2=0,"""",LET(
lastVal, INDEX(FILTER($B17:K17, ISNUMBER($B17:K17)), COUNTA(FILTER($B17:K17, ISNUMBER($B17:K17)))),
IFERROR(
IF('Résultats des tournois'!K17="""", INDEX(FILTER($C17:K17, ISNUMBER($C17:K17)), COUNTA(FILTER($C17:K"&amp;"17, ISNUMBER($C17:K17)))),
lastVal + 'K dynamique'!K17 * ((SQRT('Résultats des tournois'!K$2 + 1)/'Résultats des tournois'!K17) - (1 / (1 + 10^((K$103 - lastVal)/400)))))
)
))"),1525.1252367719362)</f>
        <v>1525.125237</v>
      </c>
      <c r="M17" s="32">
        <f>IFERROR(__xludf.DUMMYFUNCTION("IF('Résultats des tournois'!L$2=0,"""",LET(
lastVal, INDEX(FILTER($B17:L17, ISNUMBER($B17:L17)), COUNTA(FILTER($B17:L17, ISNUMBER($B17:L17)))),
IFERROR(
IF('Résultats des tournois'!L17="""", INDEX(FILTER($C17:L17, ISNUMBER($C17:L17)), COUNTA(FILTER($C17:L"&amp;"17, ISNUMBER($C17:L17)))),
lastVal + 'K dynamique'!L17 * ((SQRT('Résultats des tournois'!L$2 + 1)/'Résultats des tournois'!L17) - (1 / (1 + 10^((L$103 - lastVal)/400)))))
)
))"),1528.632008997476)</f>
        <v>1528.632009</v>
      </c>
      <c r="N17" s="32" t="str">
        <f>IFERROR(__xludf.DUMMYFUNCTION("IF('Résultats des tournois'!M$2=0,"""",LET(
lastVal, INDEX(FILTER($B17:M17, ISNUMBER($B17:M17)), COUNTA(FILTER($B17:M17, ISNUMBER($B17:M17)))),
IFERROR(
IF('Résultats des tournois'!M17="""", INDEX(FILTER($C17:M17, ISNUMBER($C17:M17)), COUNTA(FILTER($C17:M"&amp;"17, ISNUMBER($C17:M17)))),
lastVal + 'K dynamique'!M17 * ((SQRT('Résultats des tournois'!M$2 + 1)/'Résultats des tournois'!M17) - (1 / (1 + 10^((M$103 - lastVal)/400)))))
)
))"),"")</f>
        <v/>
      </c>
      <c r="O17" s="32" t="str">
        <f>IFERROR(__xludf.DUMMYFUNCTION("IF('Résultats des tournois'!N$2=0,"""",LET(
lastVal, INDEX(FILTER($B17:N17, ISNUMBER($B17:N17)), COUNTA(FILTER($B17:N17, ISNUMBER($B17:N17)))),
IFERROR(
IF('Résultats des tournois'!N17="""", INDEX(FILTER($C17:N17, ISNUMBER($C17:N17)), COUNTA(FILTER($C17:N"&amp;"17, ISNUMBER($C17:N17)))),
lastVal + 'K dynamique'!N17 * ((SQRT('Résultats des tournois'!N$2 + 1)/'Résultats des tournois'!N17) - (1 / (1 + 10^((N$103 - lastVal)/400)))))
)
))"),"")</f>
        <v/>
      </c>
      <c r="P17" s="32" t="str">
        <f>IFERROR(__xludf.DUMMYFUNCTION("IF('Résultats des tournois'!O$2=0,"""",LET(
lastVal, INDEX(FILTER($B17:O17, ISNUMBER($B17:O17)), COUNTA(FILTER($B17:O17, ISNUMBER($B17:O17)))),
IFERROR(
IF('Résultats des tournois'!O17="""", INDEX(FILTER($C17:O17, ISNUMBER($C17:O17)), COUNTA(FILTER($C17:O"&amp;"17, ISNUMBER($C17:O17)))),
lastVal + 'K dynamique'!O17 * ((SQRT('Résultats des tournois'!O$2 + 1)/'Résultats des tournois'!O17) - (1 / (1 + 10^((O$103 - lastVal)/400)))))
)
))"),"")</f>
        <v/>
      </c>
      <c r="Q17" s="32" t="str">
        <f>IFERROR(__xludf.DUMMYFUNCTION("IF('Résultats des tournois'!P$2=0,"""",LET(
lastVal, INDEX(FILTER($B17:P17, ISNUMBER($B17:P17)), COUNTA(FILTER($B17:P17, ISNUMBER($B17:P17)))),
IFERROR(
IF('Résultats des tournois'!P17="""", INDEX(FILTER($C17:P17, ISNUMBER($C17:P17)), COUNTA(FILTER($C17:P"&amp;"17, ISNUMBER($C17:P17)))),
lastVal + 'K dynamique'!P17 * ((SQRT('Résultats des tournois'!P$2 + 1)/'Résultats des tournois'!P17) - (1 / (1 + 10^((P$103 - lastVal)/400)))))
)
))"),"")</f>
        <v/>
      </c>
      <c r="R17" s="32" t="str">
        <f>IFERROR(__xludf.DUMMYFUNCTION("IF('Résultats des tournois'!Q$2=0,"""",LET(
lastVal, INDEX(FILTER($B17:Q17, ISNUMBER($B17:Q17)), COUNTA(FILTER($B17:Q17, ISNUMBER($B17:Q17)))),
IFERROR(
IF('Résultats des tournois'!Q17="""", INDEX(FILTER($C17:Q17, ISNUMBER($C17:Q17)), COUNTA(FILTER($C17:Q"&amp;"17, ISNUMBER($C17:Q17)))),
lastVal + 'K dynamique'!Q17 * ((SQRT('Résultats des tournois'!Q$2 + 1)/'Résultats des tournois'!Q17) - (1 / (1 + 10^((Q$103 - lastVal)/400)))))
)
))"),"")</f>
        <v/>
      </c>
      <c r="S17" s="32" t="str">
        <f>IFERROR(__xludf.DUMMYFUNCTION("IF('Résultats des tournois'!R$2=0,"""",LET(
lastVal, INDEX(FILTER($B17:R17, ISNUMBER($B17:R17)), COUNTA(FILTER($B17:R17, ISNUMBER($B17:R17)))),
IFERROR(
IF('Résultats des tournois'!R17="""", INDEX(FILTER($C17:R17, ISNUMBER($C17:R17)), COUNTA(FILTER($C17:R"&amp;"17, ISNUMBER($C17:R17)))),
lastVal + 'K dynamique'!R17 * ((SQRT('Résultats des tournois'!R$2 + 1)/'Résultats des tournois'!R17) - (1 / (1 + 10^((R$103 - lastVal)/400)))))
)
))"),"")</f>
        <v/>
      </c>
      <c r="T17" s="32" t="str">
        <f>IFERROR(__xludf.DUMMYFUNCTION("IF('Résultats des tournois'!S$2=0,"""",LET(
lastVal, INDEX(FILTER($B17:S17, ISNUMBER($B17:S17)), COUNTA(FILTER($B17:S17, ISNUMBER($B17:S17)))),
IFERROR(
IF('Résultats des tournois'!S17="""", INDEX(FILTER($C17:S17, ISNUMBER($C17:S17)), COUNTA(FILTER($C17:S"&amp;"17, ISNUMBER($C17:S17)))),
lastVal + 'K dynamique'!S17 * ((SQRT('Résultats des tournois'!S$2 + 1)/'Résultats des tournois'!S17) - (1 / (1 + 10^((S$103 - lastVal)/400)))))
)
))"),"")</f>
        <v/>
      </c>
      <c r="U17" s="32" t="str">
        <f>IFERROR(__xludf.DUMMYFUNCTION("IF('Résultats des tournois'!T$2=0,"""",LET(
lastVal, INDEX(FILTER($B17:T17, ISNUMBER($B17:T17)), COUNTA(FILTER($B17:T17, ISNUMBER($B17:T17)))),
IFERROR(
IF('Résultats des tournois'!T17="""", INDEX(FILTER($C17:T17, ISNUMBER($C17:T17)), COUNTA(FILTER($C17:T"&amp;"17, ISNUMBER($C17:T17)))),
lastVal + 'K dynamique'!T17 * ((SQRT('Résultats des tournois'!T$2 + 1)/'Résultats des tournois'!T17) - (1 / (1 + 10^((T$103 - lastVal)/400)))))
)
))"),"")</f>
        <v/>
      </c>
      <c r="V17" s="32" t="str">
        <f>IFERROR(__xludf.DUMMYFUNCTION("IF('Résultats des tournois'!U$2=0,"""",LET(
lastVal, INDEX(FILTER($B17:U17, ISNUMBER($B17:U17)), COUNTA(FILTER($B17:U17, ISNUMBER($B17:U17)))),
IFERROR(
IF('Résultats des tournois'!U17="""", INDEX(FILTER($C17:U17, ISNUMBER($C17:U17)), COUNTA(FILTER($C17:U"&amp;"17, ISNUMBER($C17:U17)))),
lastVal + 'K dynamique'!U17 * ((SQRT('Résultats des tournois'!U$2 + 1)/'Résultats des tournois'!U17) - (1 / (1 + 10^((U$103 - lastVal)/400)))))
)
))"),"")</f>
        <v/>
      </c>
      <c r="W17" s="32" t="str">
        <f>IFERROR(__xludf.DUMMYFUNCTION("IF('Résultats des tournois'!V$2=0,"""",LET(
lastVal, INDEX(FILTER($B17:V17, ISNUMBER($B17:V17)), COUNTA(FILTER($B17:V17, ISNUMBER($B17:V17)))),
IFERROR(
IF('Résultats des tournois'!V17="""", INDEX(FILTER($C17:V17, ISNUMBER($C17:V17)), COUNTA(FILTER($C17:V"&amp;"17, ISNUMBER($C17:V17)))),
lastVal + 'K dynamique'!V17 * ((SQRT('Résultats des tournois'!V$2 + 1)/'Résultats des tournois'!V17) - (1 / (1 + 10^((V$103 - lastVal)/400)))))
)
))"),"")</f>
        <v/>
      </c>
      <c r="X17" s="32" t="str">
        <f>IFERROR(__xludf.DUMMYFUNCTION("IF('Résultats des tournois'!W$2=0,"""",LET(
lastVal, INDEX(FILTER($B17:W17, ISNUMBER($B17:W17)), COUNTA(FILTER($B17:W17, ISNUMBER($B17:W17)))),
IFERROR(
IF('Résultats des tournois'!W17="""", INDEX(FILTER($C17:W17, ISNUMBER($C17:W17)), COUNTA(FILTER($C17:W"&amp;"17, ISNUMBER($C17:W17)))),
lastVal + 'K dynamique'!W17 * ((SQRT('Résultats des tournois'!W$2 + 1)/'Résultats des tournois'!W17) - (1 / (1 + 10^((W$103 - lastVal)/400)))))
)
))"),"")</f>
        <v/>
      </c>
      <c r="Y17" s="32" t="str">
        <f>IFERROR(__xludf.DUMMYFUNCTION("IF('Résultats des tournois'!X$2=0,"""",LET(
lastVal, INDEX(FILTER($B17:X17, ISNUMBER($B17:X17)), COUNTA(FILTER($B17:X17, ISNUMBER($B17:X17)))),
IFERROR(
IF('Résultats des tournois'!X17="""", INDEX(FILTER($C17:X17, ISNUMBER($C17:X17)), COUNTA(FILTER($C17:X"&amp;"17, ISNUMBER($C17:X17)))),
lastVal + 'K dynamique'!X17 * ((SQRT('Résultats des tournois'!X$2 + 1)/'Résultats des tournois'!X17) - (1 / (1 + 10^((X$103 - lastVal)/400)))))
)
))"),"")</f>
        <v/>
      </c>
      <c r="Z17" s="32" t="str">
        <f>IFERROR(__xludf.DUMMYFUNCTION("IF('Résultats des tournois'!Y$2=0,"""",LET(
lastVal, INDEX(FILTER($B17:Y17, ISNUMBER($B17:Y17)), COUNTA(FILTER($B17:Y17, ISNUMBER($B17:Y17)))),
IFERROR(
IF('Résultats des tournois'!Y17="""", INDEX(FILTER($C17:Y17, ISNUMBER($C17:Y17)), COUNTA(FILTER($C17:Y"&amp;"17, ISNUMBER($C17:Y17)))),
lastVal + 'K dynamique'!Y17 * ((SQRT('Résultats des tournois'!Y$2 + 1)/'Résultats des tournois'!Y17) - (1 / (1 + 10^((Y$103 - lastVal)/400)))))
)
))"),"")</f>
        <v/>
      </c>
      <c r="AA17" s="32" t="str">
        <f>IFERROR(__xludf.DUMMYFUNCTION("IF('Résultats des tournois'!Z$2=0,"""",LET(
lastVal, INDEX(FILTER($B17:Z17, ISNUMBER($B17:Z17)), COUNTA(FILTER($B17:Z17, ISNUMBER($B17:Z17)))),
IFERROR(
IF('Résultats des tournois'!Z17="""", INDEX(FILTER($C17:Z17, ISNUMBER($C17:Z17)), COUNTA(FILTER($C17:Z"&amp;"17, ISNUMBER($C17:Z17)))),
lastVal + 'K dynamique'!Z17 * ((SQRT('Résultats des tournois'!Z$2 + 1)/'Résultats des tournois'!Z17) - (1 / (1 + 10^((Z$103 - lastVal)/400)))))
)
))"),"")</f>
        <v/>
      </c>
      <c r="AB17" s="32" t="str">
        <f>IFERROR(__xludf.DUMMYFUNCTION("IF('Résultats des tournois'!AA$2=0,"""",LET(
lastVal, INDEX(FILTER($B17:AA17, ISNUMBER($B17:AA17)), COUNTA(FILTER($B17:AA17, ISNUMBER($B17:AA17)))),
IFERROR(
IF('Résultats des tournois'!AA17="""", INDEX(FILTER($C17:AA17, ISNUMBER($C17:AA17)), COUNTA(FILTE"&amp;"R($C17:AA17, ISNUMBER($C17:AA17)))),
lastVal + 'K dynamique'!AA17 * ((SQRT('Résultats des tournois'!AA$2 + 1)/'Résultats des tournois'!AA17) - (1 / (1 + 10^((AA$103 - lastVal)/400)))))
)
))"),"")</f>
        <v/>
      </c>
      <c r="AC17" s="32" t="str">
        <f>IFERROR(__xludf.DUMMYFUNCTION("IF('Résultats des tournois'!AB$2=0,"""",LET(
lastVal, INDEX(FILTER($B17:AB17, ISNUMBER($B17:AB17)), COUNTA(FILTER($B17:AB17, ISNUMBER($B17:AB17)))),
IFERROR(
IF('Résultats des tournois'!AB17="""", INDEX(FILTER($C17:AB17, ISNUMBER($C17:AB17)), COUNTA(FILTE"&amp;"R($C17:AB17, ISNUMBER($C17:AB17)))),
lastVal + 'K dynamique'!AB17 * ((SQRT('Résultats des tournois'!AB$2 + 1)/'Résultats des tournois'!AB17) - (1 / (1 + 10^((AB$103 - lastVal)/400)))))
)
))"),"")</f>
        <v/>
      </c>
      <c r="AD17" s="32" t="str">
        <f>IFERROR(__xludf.DUMMYFUNCTION("IF('Résultats des tournois'!AC$2=0,"""",LET(
lastVal, INDEX(FILTER($B17:AC17, ISNUMBER($B17:AC17)), COUNTA(FILTER($B17:AC17, ISNUMBER($B17:AC17)))),
IFERROR(
IF('Résultats des tournois'!AC17="""", INDEX(FILTER($C17:AC17, ISNUMBER($C17:AC17)), COUNTA(FILTE"&amp;"R($C17:AC17, ISNUMBER($C17:AC17)))),
lastVal + 'K dynamique'!AC17 * ((SQRT('Résultats des tournois'!AC$2 + 1)/'Résultats des tournois'!AC17) - (1 / (1 + 10^((AC$103 - lastVal)/400)))))
)
))"),"")</f>
        <v/>
      </c>
      <c r="AE17" s="32" t="str">
        <f>IFERROR(__xludf.DUMMYFUNCTION("IF('Résultats des tournois'!AD$2=0,"""",LET(
lastVal, INDEX(FILTER($B17:AD17, ISNUMBER($B17:AD17)), COUNTA(FILTER($B17:AD17, ISNUMBER($B17:AD17)))),
IFERROR(
IF('Résultats des tournois'!AD17="""", INDEX(FILTER($C17:AD17, ISNUMBER($C17:AD17)), COUNTA(FILTE"&amp;"R($C17:AD17, ISNUMBER($C17:AD17)))),
lastVal + 'K dynamique'!AD17 * ((SQRT('Résultats des tournois'!AD$2 + 1)/'Résultats des tournois'!AD17) - (1 / (1 + 10^((AD$103 - lastVal)/400)))))
)
))"),"")</f>
        <v/>
      </c>
      <c r="AF17" s="32" t="str">
        <f>IFERROR(__xludf.DUMMYFUNCTION("IF('Résultats des tournois'!AE$2=0,"""",LET(
lastVal, INDEX(FILTER($B17:AE17, ISNUMBER($B17:AE17)), COUNTA(FILTER($B17:AE17, ISNUMBER($B17:AE17)))),
IFERROR(
IF('Résultats des tournois'!AE17="""", INDEX(FILTER($C17:AE17, ISNUMBER($C17:AE17)), COUNTA(FILTE"&amp;"R($C17:AE17, ISNUMBER($C17:AE17)))),
lastVal + 'K dynamique'!AE17 * ((SQRT('Résultats des tournois'!AE$2 + 1)/'Résultats des tournois'!AE17) - (1 / (1 + 10^((AE$103 - lastVal)/400)))))
)
))"),"")</f>
        <v/>
      </c>
      <c r="AG17" s="32" t="str">
        <f>IFERROR(__xludf.DUMMYFUNCTION("IF('Résultats des tournois'!AF$2=0,"""",LET(
lastVal, INDEX(FILTER($B17:AF17, ISNUMBER($B17:AF17)), COUNTA(FILTER($B17:AF17, ISNUMBER($B17:AF17)))),
IFERROR(
IF('Résultats des tournois'!AF17="""", INDEX(FILTER($C17:AF17, ISNUMBER($C17:AF17)), COUNTA(FILTE"&amp;"R($C17:AF17, ISNUMBER($C17:AF17)))),
lastVal + 'K dynamique'!AF17 * ((SQRT('Résultats des tournois'!AF$2 + 1)/'Résultats des tournois'!AF17) - (1 / (1 + 10^((AF$103 - lastVal)/400)))))
)
))"),"")</f>
        <v/>
      </c>
      <c r="AH17" s="32" t="str">
        <f>IFERROR(__xludf.DUMMYFUNCTION("IF('Résultats des tournois'!AG$2=0,"""",LET(
lastVal, INDEX(FILTER($B17:AG17, ISNUMBER($B17:AG17)), COUNTA(FILTER($B17:AG17, ISNUMBER($B17:AG17)))),
IFERROR(
IF('Résultats des tournois'!AG17="""", INDEX(FILTER($C17:AG17, ISNUMBER($C17:AG17)), COUNTA(FILTE"&amp;"R($C17:AG17, ISNUMBER($C17:AG17)))),
lastVal + 'K dynamique'!AG17 * ((SQRT('Résultats des tournois'!AG$2 + 1)/'Résultats des tournois'!AG17) - (1 / (1 + 10^((AG$103 - lastVal)/400)))))
)
))"),"")</f>
        <v/>
      </c>
      <c r="AI17" s="32" t="str">
        <f>IFERROR(__xludf.DUMMYFUNCTION("IF('Résultats des tournois'!AH$2=0,"""",LET(
lastVal, INDEX(FILTER($B17:AH17, ISNUMBER($B17:AH17)), COUNTA(FILTER($B17:AH17, ISNUMBER($B17:AH17)))),
IFERROR(
IF('Résultats des tournois'!AH17="""", INDEX(FILTER($C17:AH17, ISNUMBER($C17:AH17)), COUNTA(FILTE"&amp;"R($C17:AH17, ISNUMBER($C17:AH17)))),
lastVal + 'K dynamique'!AH17 * ((SQRT('Résultats des tournois'!AH$2 + 1)/'Résultats des tournois'!AH17) - (1 / (1 + 10^((AH$103 - lastVal)/400)))))
)
))"),"")</f>
        <v/>
      </c>
      <c r="AJ17" s="32" t="str">
        <f>IFERROR(__xludf.DUMMYFUNCTION("IF('Résultats des tournois'!AI$2=0,"""",LET(
lastVal, INDEX(FILTER($B17:AI17, ISNUMBER($B17:AI17)), COUNTA(FILTER($B17:AI17, ISNUMBER($B17:AI17)))),
IFERROR(
IF('Résultats des tournois'!AI17="""", INDEX(FILTER($C17:AI17, ISNUMBER($C17:AI17)), COUNTA(FILTE"&amp;"R($C17:AI17, ISNUMBER($C17:AI17)))),
lastVal + 'K dynamique'!AI17 * ((SQRT('Résultats des tournois'!AI$2 + 1)/'Résultats des tournois'!AI17) - (1 / (1 + 10^((AI$103 - lastVal)/400)))))
)
))"),"")</f>
        <v/>
      </c>
      <c r="AK17" s="32" t="str">
        <f>IFERROR(__xludf.DUMMYFUNCTION("IF('Résultats des tournois'!AJ$2=0,"""",LET(
lastVal, INDEX(FILTER($B17:AJ17, ISNUMBER($B17:AJ17)), COUNTA(FILTER($B17:AJ17, ISNUMBER($B17:AJ17)))),
IFERROR(
IF('Résultats des tournois'!AJ17="""", INDEX(FILTER($C17:AJ17, ISNUMBER($C17:AJ17)), COUNTA(FILTE"&amp;"R($C17:AJ17, ISNUMBER($C17:AJ17)))),
lastVal + 'K dynamique'!AJ17 * ((SQRT('Résultats des tournois'!AJ$2 + 1)/'Résultats des tournois'!AJ17) - (1 / (1 + 10^((AJ$103 - lastVal)/400)))))
)
))"),"")</f>
        <v/>
      </c>
      <c r="AL17" s="32" t="str">
        <f>IFERROR(__xludf.DUMMYFUNCTION("IF('Résultats des tournois'!AK$2=0,"""",LET(
lastVal, INDEX(FILTER($B17:AK17, ISNUMBER($B17:AK17)), COUNTA(FILTER($B17:AK17, ISNUMBER($B17:AK17)))),
IFERROR(
IF('Résultats des tournois'!AK17="""", INDEX(FILTER($C17:AK17, ISNUMBER($C17:AK17)), COUNTA(FILTE"&amp;"R($C17:AK17, ISNUMBER($C17:AK17)))),
lastVal + 'K dynamique'!AK17 * ((SQRT('Résultats des tournois'!AK$2 + 1)/'Résultats des tournois'!AK17) - (1 / (1 + 10^((AK$103 - lastVal)/400)))))
)
))"),"")</f>
        <v/>
      </c>
      <c r="AM17" s="32" t="str">
        <f>IFERROR(__xludf.DUMMYFUNCTION("IF('Résultats des tournois'!AL$2=0,"""",LET(
lastVal, INDEX(FILTER($B17:AL17, ISNUMBER($B17:AL17)), COUNTA(FILTER($B17:AL17, ISNUMBER($B17:AL17)))),
IFERROR(
IF('Résultats des tournois'!AL17="""", INDEX(FILTER($C17:AL17, ISNUMBER($C17:AL17)), COUNTA(FILTE"&amp;"R($C17:AL17, ISNUMBER($C17:AL17)))),
lastVal + 'K dynamique'!AL17 * ((SQRT('Résultats des tournois'!AL$2 + 1)/'Résultats des tournois'!AL17) - (1 / (1 + 10^((AL$103 - lastVal)/400)))))
)
))"),"")</f>
        <v/>
      </c>
      <c r="AN17" s="32" t="str">
        <f>IFERROR(__xludf.DUMMYFUNCTION("IF('Résultats des tournois'!AM$2=0,"""",LET(
lastVal, INDEX(FILTER($B17:AM17, ISNUMBER($B17:AM17)), COUNTA(FILTER($B17:AM17, ISNUMBER($B17:AM17)))),
IFERROR(
IF('Résultats des tournois'!AM17="""", INDEX(FILTER($C17:AM17, ISNUMBER($C17:AM17)), COUNTA(FILTE"&amp;"R($C17:AM17, ISNUMBER($C17:AM17)))),
lastVal + 'K dynamique'!AM17 * ((SQRT('Résultats des tournois'!AM$2 + 1)/'Résultats des tournois'!AM17) - (1 / (1 + 10^((AM$103 - lastVal)/400)))))
)
))"),"")</f>
        <v/>
      </c>
      <c r="AO17" s="32" t="str">
        <f>IFERROR(__xludf.DUMMYFUNCTION("IF('Résultats des tournois'!AN$2=0,"""",LET(
lastVal, INDEX(FILTER($B17:AN17, ISNUMBER($B17:AN17)), COUNTA(FILTER($B17:AN17, ISNUMBER($B17:AN17)))),
IFERROR(
IF('Résultats des tournois'!AN17="""", INDEX(FILTER($C17:AN17, ISNUMBER($C17:AN17)), COUNTA(FILTE"&amp;"R($C17:AN17, ISNUMBER($C17:AN17)))),
lastVal + 'K dynamique'!AN17 * ((SQRT('Résultats des tournois'!AN$2 + 1)/'Résultats des tournois'!AN17) - (1 / (1 + 10^((AN$103 - lastVal)/400)))))
)
))"),"")</f>
        <v/>
      </c>
      <c r="AP17" s="32" t="str">
        <f>IFERROR(__xludf.DUMMYFUNCTION("IF('Résultats des tournois'!AO$2=0,"""",LET(
lastVal, INDEX(FILTER($B17:AO17, ISNUMBER($B17:AO17)), COUNTA(FILTER($B17:AO17, ISNUMBER($B17:AO17)))),
IFERROR(
IF('Résultats des tournois'!AO17="""", INDEX(FILTER($C17:AO17, ISNUMBER($C17:AO17)), COUNTA(FILTE"&amp;"R($C17:AO17, ISNUMBER($C17:AO17)))),
lastVal + 'K dynamique'!AO17 * ((SQRT('Résultats des tournois'!AO$2 + 1)/'Résultats des tournois'!AO17) - (1 / (1 + 10^((AO$103 - lastVal)/400)))))
)
))"),"")</f>
        <v/>
      </c>
      <c r="AQ17" s="32" t="str">
        <f>IFERROR(__xludf.DUMMYFUNCTION("IF('Résultats des tournois'!AP$2=0,"""",LET(
lastVal, INDEX(FILTER($B17:AP17, ISNUMBER($B17:AP17)), COUNTA(FILTER($B17:AP17, ISNUMBER($B17:AP17)))),
IFERROR(
IF('Résultats des tournois'!AP17="""", INDEX(FILTER($C17:AP17, ISNUMBER($C17:AP17)), COUNTA(FILTE"&amp;"R($C17:AP17, ISNUMBER($C17:AP17)))),
lastVal + 'K dynamique'!AP17 * ((SQRT('Résultats des tournois'!AP$2 + 1)/'Résultats des tournois'!AP17) - (1 / (1 + 10^((AP$103 - lastVal)/400)))))
)
))"),"")</f>
        <v/>
      </c>
      <c r="AR17" s="32" t="str">
        <f>IFERROR(__xludf.DUMMYFUNCTION("IF('Résultats des tournois'!AQ$2=0,"""",LET(
lastVal, INDEX(FILTER($B17:AQ17, ISNUMBER($B17:AQ17)), COUNTA(FILTER($B17:AQ17, ISNUMBER($B17:AQ17)))),
IFERROR(
IF('Résultats des tournois'!AQ17="""", INDEX(FILTER($C17:AQ17, ISNUMBER($C17:AQ17)), COUNTA(FILTE"&amp;"R($C17:AQ17, ISNUMBER($C17:AQ17)))),
lastVal + 'K dynamique'!AQ17 * ((SQRT('Résultats des tournois'!AQ$2 + 1)/'Résultats des tournois'!AQ17) - (1 / (1 + 10^((AQ$103 - lastVal)/400)))))
)
))"),"")</f>
        <v/>
      </c>
      <c r="AS17" s="32" t="str">
        <f>IFERROR(__xludf.DUMMYFUNCTION("IF('Résultats des tournois'!AR$2=0,"""",LET(
lastVal, INDEX(FILTER($B17:AR17, ISNUMBER($B17:AR17)), COUNTA(FILTER($B17:AR17, ISNUMBER($B17:AR17)))),
IFERROR(
IF('Résultats des tournois'!AR17="""", INDEX(FILTER($C17:AR17, ISNUMBER($C17:AR17)), COUNTA(FILTE"&amp;"R($C17:AR17, ISNUMBER($C17:AR17)))),
lastVal + 'K dynamique'!AR17 * ((SQRT('Résultats des tournois'!AR$2 + 1)/'Résultats des tournois'!AR17) - (1 / (1 + 10^((AR$103 - lastVal)/400)))))
)
))"),"")</f>
        <v/>
      </c>
      <c r="AT17" s="32" t="str">
        <f>IFERROR(__xludf.DUMMYFUNCTION("IF('Résultats des tournois'!AS$2=0,"""",LET(
lastVal, INDEX(FILTER($B17:AS17, ISNUMBER($B17:AS17)), COUNTA(FILTER($B17:AS17, ISNUMBER($B17:AS17)))),
IFERROR(
IF('Résultats des tournois'!AS17="""", INDEX(FILTER($C17:AS17, ISNUMBER($C17:AS17)), COUNTA(FILTE"&amp;"R($C17:AS17, ISNUMBER($C17:AS17)))),
lastVal + 'K dynamique'!AS17 * ((SQRT('Résultats des tournois'!AS$2 + 1)/'Résultats des tournois'!AS17) - (1 / (1 + 10^((AS$103 - lastVal)/400)))))
)
))"),"")</f>
        <v/>
      </c>
      <c r="AU17" s="32" t="str">
        <f>IFERROR(__xludf.DUMMYFUNCTION("IF('Résultats des tournois'!AT$2=0,"""",LET(
lastVal, INDEX(FILTER($B17:AT17, ISNUMBER($B17:AT17)), COUNTA(FILTER($B17:AT17, ISNUMBER($B17:AT17)))),
IFERROR(
IF('Résultats des tournois'!AT17="""", INDEX(FILTER($C17:AT17, ISNUMBER($C17:AT17)), COUNTA(FILTE"&amp;"R($C17:AT17, ISNUMBER($C17:AT17)))),
lastVal + 'K dynamique'!AT17 * ((SQRT('Résultats des tournois'!AT$2 + 1)/'Résultats des tournois'!AT17) - (1 / (1 + 10^((AT$103 - lastVal)/400)))))
)
))"),"")</f>
        <v/>
      </c>
      <c r="AV17" s="32" t="str">
        <f>IFERROR(__xludf.DUMMYFUNCTION("IF('Résultats des tournois'!AU$2=0,"""",LET(
lastVal, INDEX(FILTER($B17:AU17, ISNUMBER($B17:AU17)), COUNTA(FILTER($B17:AU17, ISNUMBER($B17:AU17)))),
IFERROR(
IF('Résultats des tournois'!AU17="""", INDEX(FILTER($C17:AU17, ISNUMBER($C17:AU17)), COUNTA(FILTE"&amp;"R($C17:AU17, ISNUMBER($C17:AU17)))),
lastVal + 'K dynamique'!AU17 * ((SQRT('Résultats des tournois'!AU$2 + 1)/'Résultats des tournois'!AU17) - (1 / (1 + 10^((AU$103 - lastVal)/400)))))
)
))"),"")</f>
        <v/>
      </c>
      <c r="AW17" s="32" t="str">
        <f>IFERROR(__xludf.DUMMYFUNCTION("IF('Résultats des tournois'!AV$2=0,"""",LET(
lastVal, INDEX(FILTER($B17:AV17, ISNUMBER($B17:AV17)), COUNTA(FILTER($B17:AV17, ISNUMBER($B17:AV17)))),
IFERROR(
IF('Résultats des tournois'!AV17="""", INDEX(FILTER($C17:AV17, ISNUMBER($C17:AV17)), COUNTA(FILTE"&amp;"R($C17:AV17, ISNUMBER($C17:AV17)))),
lastVal + 'K dynamique'!AV17 * ((SQRT('Résultats des tournois'!AV$2 + 1)/'Résultats des tournois'!AV17) - (1 / (1 + 10^((AV$103 - lastVal)/400)))))
)
))"),"")</f>
        <v/>
      </c>
      <c r="AX17" s="32" t="str">
        <f>IFERROR(__xludf.DUMMYFUNCTION("IF('Résultats des tournois'!AW$2=0,"""",LET(
lastVal, INDEX(FILTER($B17:AW17, ISNUMBER($B17:AW17)), COUNTA(FILTER($B17:AW17, ISNUMBER($B17:AW17)))),
IFERROR(
IF('Résultats des tournois'!AW17="""", INDEX(FILTER($C17:AW17, ISNUMBER($C17:AW17)), COUNTA(FILTE"&amp;"R($C17:AW17, ISNUMBER($C17:AW17)))),
lastVal + 'K dynamique'!AW17 * ((SQRT('Résultats des tournois'!AW$2 + 1)/'Résultats des tournois'!AW17) - (1 / (1 + 10^((AW$103 - lastVal)/400)))))
)
))"),"")</f>
        <v/>
      </c>
      <c r="AY17" s="32" t="str">
        <f>IFERROR(__xludf.DUMMYFUNCTION("IF('Résultats des tournois'!AX$2=0,"""",LET(
lastVal, INDEX(FILTER($B17:AX17, ISNUMBER($B17:AX17)), COUNTA(FILTER($B17:AX17, ISNUMBER($B17:AX17)))),
IFERROR(
IF('Résultats des tournois'!AX17="""", INDEX(FILTER($C17:AX17, ISNUMBER($C17:AX17)), COUNTA(FILTE"&amp;"R($C17:AX17, ISNUMBER($C17:AX17)))),
lastVal + 'K dynamique'!AX17 * ((SQRT('Résultats des tournois'!AX$2 + 1)/'Résultats des tournois'!AX17) - (1 / (1 + 10^((AX$103 - lastVal)/400)))))
)
))"),"")</f>
        <v/>
      </c>
      <c r="AZ17" s="4">
        <f t="array" ref="AZ17">IF(MAX(($C17:AY17&lt;&gt;"")*COLUMN($C17:AY17))=0,"",INDEX($C17:AY17,1,MAX(($C17:AY17&lt;&gt;"")*COLUMN($C17:AY17))-COLUMN($C17)+1))</f>
        <v>1528.632009</v>
      </c>
      <c r="BA17" s="33">
        <f t="shared" si="1"/>
        <v>14</v>
      </c>
    </row>
    <row r="18" ht="14.25" customHeight="1">
      <c r="A18" s="32" t="str">
        <f>IF('Résultats des tournois'!A18="","",'Résultats des tournois'!A18)</f>
        <v>Ronkout</v>
      </c>
      <c r="B18" s="32">
        <v>1500.0</v>
      </c>
      <c r="C18" s="32">
        <f>IF('Résultats des tournois'!B18="","",B18+'K dynamique'!B18*((SQRT('Résultats des tournois'!B$2+1)/'Résultats des tournois'!B18)-(1/(1+10^((B18-B18)/400)))))</f>
        <v>1495.973304</v>
      </c>
      <c r="D18" s="32">
        <f>IFERROR(__xludf.DUMMYFUNCTION("IF('Résultats des tournois'!C$2=0,"""",LET(
lastVal, INDEX(FILTER($B18:C18, ISNUMBER($B18:C18)), COUNTA(FILTER($B18:C18, ISNUMBER($B18:C18)))),
IFERROR(
IF('Résultats des tournois'!C18="""", INDEX(FILTER($C18:C18, ISNUMBER($C18:C18)), COUNTA(FILTER($C18:C"&amp;"18, ISNUMBER($C18:C18)))),
lastVal + 'K dynamique'!C18 * ((SQRT('Résultats des tournois'!C$2 + 1)/'Résultats des tournois'!C18) - (1 / (1 + 10^((C$103 - lastVal)/400)))))
)
))"),1508.4829098557286)</f>
        <v>1508.48291</v>
      </c>
      <c r="E18" s="32">
        <f>IFERROR(__xludf.DUMMYFUNCTION("IF('Résultats des tournois'!D$2=0,"""",LET(
lastVal, INDEX(FILTER($B18:D18, ISNUMBER($B18:D18)), COUNTA(FILTER($B18:D18, ISNUMBER($B18:D18)))),
IFERROR(
IF('Résultats des tournois'!D18="""", INDEX(FILTER($C18:D18, ISNUMBER($C18:D18)), COUNTA(FILTER($C18:D"&amp;"18, ISNUMBER($C18:D18)))),
lastVal + 'K dynamique'!D18 * ((SQRT('Résultats des tournois'!D$2 + 1)/'Résultats des tournois'!D18) - (1 / (1 + 10^((D$103 - lastVal)/400)))))
)
))"),1508.4829098557286)</f>
        <v>1508.48291</v>
      </c>
      <c r="F18" s="32">
        <f>IFERROR(__xludf.DUMMYFUNCTION("IF('Résultats des tournois'!E$2=0,"""",LET(
lastVal, INDEX(FILTER($B18:E18, ISNUMBER($B18:E18)), COUNTA(FILTER($B18:E18, ISNUMBER($B18:E18)))),
IFERROR(
IF('Résultats des tournois'!E18="""", INDEX(FILTER($C18:E18, ISNUMBER($C18:E18)), COUNTA(FILTER($C18:E"&amp;"18, ISNUMBER($C18:E18)))),
lastVal + 'K dynamique'!E18 * ((SQRT('Résultats des tournois'!E$2 + 1)/'Résultats des tournois'!E18) - (1 / (1 + 10^((E$103 - lastVal)/400)))))
)
))"),1505.879561541567)</f>
        <v>1505.879562</v>
      </c>
      <c r="G18" s="32">
        <f>IFERROR(__xludf.DUMMYFUNCTION("IF('Résultats des tournois'!F$2=0,"""",LET(
lastVal, INDEX(FILTER($B18:F18, ISNUMBER($B18:F18)), COUNTA(FILTER($B18:F18, ISNUMBER($B18:F18)))),
IFERROR(
IF('Résultats des tournois'!F18="""", INDEX(FILTER($C18:F18, ISNUMBER($C18:F18)), COUNTA(FILTER($C18:F"&amp;"18, ISNUMBER($C18:F18)))),
lastVal + 'K dynamique'!F18 * ((SQRT('Résultats des tournois'!F$2 + 1)/'Résultats des tournois'!F18) - (1 / (1 + 10^((F$103 - lastVal)/400)))))
)
))"),1508.001042345433)</f>
        <v>1508.001042</v>
      </c>
      <c r="H18" s="32">
        <f>IFERROR(__xludf.DUMMYFUNCTION("IF('Résultats des tournois'!G$2=0,"""",LET(
lastVal, INDEX(FILTER($B18:G18, ISNUMBER($B18:G18)), COUNTA(FILTER($B18:G18, ISNUMBER($B18:G18)))),
IFERROR(
IF('Résultats des tournois'!G18="""", INDEX(FILTER($C18:G18, ISNUMBER($C18:G18)), COUNTA(FILTER($C18:G"&amp;"18, ISNUMBER($C18:G18)))),
lastVal + 'K dynamique'!G18 * ((SQRT('Résultats des tournois'!G$2 + 1)/'Résultats des tournois'!G18) - (1 / (1 + 10^((G$103 - lastVal)/400)))))
)
))"),1503.482500151108)</f>
        <v>1503.4825</v>
      </c>
      <c r="I18" s="32">
        <f>IFERROR(__xludf.DUMMYFUNCTION("IF('Résultats des tournois'!H$2=0,"""",LET(
lastVal, INDEX(FILTER($B18:H18, ISNUMBER($B18:H18)), COUNTA(FILTER($B18:H18, ISNUMBER($B18:H18)))),
IFERROR(
IF('Résultats des tournois'!H18="""", INDEX(FILTER($C18:H18, ISNUMBER($C18:H18)), COUNTA(FILTER($C18:H"&amp;"18, ISNUMBER($C18:H18)))),
lastVal + 'K dynamique'!H18 * ((SQRT('Résultats des tournois'!H$2 + 1)/'Résultats des tournois'!H18) - (1 / (1 + 10^((H$103 - lastVal)/400)))))
)
))"),1499.208268079918)</f>
        <v>1499.208268</v>
      </c>
      <c r="J18" s="32">
        <f>IFERROR(__xludf.DUMMYFUNCTION("IF('Résultats des tournois'!I$2=0,"""",LET(
lastVal, INDEX(FILTER($B18:I18, ISNUMBER($B18:I18)), COUNTA(FILTER($B18:I18, ISNUMBER($B18:I18)))),
IFERROR(
IF('Résultats des tournois'!I18="""", INDEX(FILTER($C18:I18, ISNUMBER($C18:I18)), COUNTA(FILTER($C18:I"&amp;"18, ISNUMBER($C18:I18)))),
lastVal + 'K dynamique'!I18 * ((SQRT('Résultats des tournois'!I$2 + 1)/'Résultats des tournois'!I18) - (1 / (1 + 10^((I$103 - lastVal)/400)))))
)
))"),1568.7618374152332)</f>
        <v>1568.761837</v>
      </c>
      <c r="K18" s="32">
        <f>IFERROR(__xludf.DUMMYFUNCTION("IF('Résultats des tournois'!J$2=0,"""",LET(
lastVal, INDEX(FILTER($B18:J18, ISNUMBER($B18:J18)), COUNTA(FILTER($B18:J18, ISNUMBER($B18:J18)))),
IFERROR(
IF('Résultats des tournois'!J18="""", INDEX(FILTER($C18:J18, ISNUMBER($C18:J18)), COUNTA(FILTER($C18:J"&amp;"18, ISNUMBER($C18:J18)))),
lastVal + 'K dynamique'!J18 * ((SQRT('Résultats des tournois'!J$2 + 1)/'Résultats des tournois'!J18) - (1 / (1 + 10^((J$103 - lastVal)/400)))))
)
))"),1575.7120244603939)</f>
        <v>1575.712024</v>
      </c>
      <c r="L18" s="32">
        <f>IFERROR(__xludf.DUMMYFUNCTION("IF('Résultats des tournois'!K$2=0,"""",LET(
lastVal, INDEX(FILTER($B18:K18, ISNUMBER($B18:K18)), COUNTA(FILTER($B18:K18, ISNUMBER($B18:K18)))),
IFERROR(
IF('Résultats des tournois'!K18="""", INDEX(FILTER($C18:K18, ISNUMBER($C18:K18)), COUNTA(FILTER($C18:K"&amp;"18, ISNUMBER($C18:K18)))),
lastVal + 'K dynamique'!K18 * ((SQRT('Résultats des tournois'!K$2 + 1)/'Résultats des tournois'!K18) - (1 / (1 + 10^((K$103 - lastVal)/400)))))
)
))"),1659.5038581557828)</f>
        <v>1659.503858</v>
      </c>
      <c r="M18" s="32">
        <f>IFERROR(__xludf.DUMMYFUNCTION("IF('Résultats des tournois'!L$2=0,"""",LET(
lastVal, INDEX(FILTER($B18:L18, ISNUMBER($B18:L18)), COUNTA(FILTER($B18:L18, ISNUMBER($B18:L18)))),
IFERROR(
IF('Résultats des tournois'!L18="""", INDEX(FILTER($C18:L18, ISNUMBER($C18:L18)), COUNTA(FILTER($C18:L"&amp;"18, ISNUMBER($C18:L18)))),
lastVal + 'K dynamique'!L18 * ((SQRT('Résultats des tournois'!L$2 + 1)/'Résultats des tournois'!L18) - (1 / (1 + 10^((L$103 - lastVal)/400)))))
)
))"),1659.5038581557828)</f>
        <v>1659.503858</v>
      </c>
      <c r="N18" s="32" t="str">
        <f>IFERROR(__xludf.DUMMYFUNCTION("IF('Résultats des tournois'!M$2=0,"""",LET(
lastVal, INDEX(FILTER($B18:M18, ISNUMBER($B18:M18)), COUNTA(FILTER($B18:M18, ISNUMBER($B18:M18)))),
IFERROR(
IF('Résultats des tournois'!M18="""", INDEX(FILTER($C18:M18, ISNUMBER($C18:M18)), COUNTA(FILTER($C18:M"&amp;"18, ISNUMBER($C18:M18)))),
lastVal + 'K dynamique'!M18 * ((SQRT('Résultats des tournois'!M$2 + 1)/'Résultats des tournois'!M18) - (1 / (1 + 10^((M$103 - lastVal)/400)))))
)
))"),"")</f>
        <v/>
      </c>
      <c r="O18" s="32" t="str">
        <f>IFERROR(__xludf.DUMMYFUNCTION("IF('Résultats des tournois'!N$2=0,"""",LET(
lastVal, INDEX(FILTER($B18:N18, ISNUMBER($B18:N18)), COUNTA(FILTER($B18:N18, ISNUMBER($B18:N18)))),
IFERROR(
IF('Résultats des tournois'!N18="""", INDEX(FILTER($C18:N18, ISNUMBER($C18:N18)), COUNTA(FILTER($C18:N"&amp;"18, ISNUMBER($C18:N18)))),
lastVal + 'K dynamique'!N18 * ((SQRT('Résultats des tournois'!N$2 + 1)/'Résultats des tournois'!N18) - (1 / (1 + 10^((N$103 - lastVal)/400)))))
)
))"),"")</f>
        <v/>
      </c>
      <c r="P18" s="32" t="str">
        <f>IFERROR(__xludf.DUMMYFUNCTION("IF('Résultats des tournois'!O$2=0,"""",LET(
lastVal, INDEX(FILTER($B18:O18, ISNUMBER($B18:O18)), COUNTA(FILTER($B18:O18, ISNUMBER($B18:O18)))),
IFERROR(
IF('Résultats des tournois'!O18="""", INDEX(FILTER($C18:O18, ISNUMBER($C18:O18)), COUNTA(FILTER($C18:O"&amp;"18, ISNUMBER($C18:O18)))),
lastVal + 'K dynamique'!O18 * ((SQRT('Résultats des tournois'!O$2 + 1)/'Résultats des tournois'!O18) - (1 / (1 + 10^((O$103 - lastVal)/400)))))
)
))"),"")</f>
        <v/>
      </c>
      <c r="Q18" s="32" t="str">
        <f>IFERROR(__xludf.DUMMYFUNCTION("IF('Résultats des tournois'!P$2=0,"""",LET(
lastVal, INDEX(FILTER($B18:P18, ISNUMBER($B18:P18)), COUNTA(FILTER($B18:P18, ISNUMBER($B18:P18)))),
IFERROR(
IF('Résultats des tournois'!P18="""", INDEX(FILTER($C18:P18, ISNUMBER($C18:P18)), COUNTA(FILTER($C18:P"&amp;"18, ISNUMBER($C18:P18)))),
lastVal + 'K dynamique'!P18 * ((SQRT('Résultats des tournois'!P$2 + 1)/'Résultats des tournois'!P18) - (1 / (1 + 10^((P$103 - lastVal)/400)))))
)
))"),"")</f>
        <v/>
      </c>
      <c r="R18" s="32" t="str">
        <f>IFERROR(__xludf.DUMMYFUNCTION("IF('Résultats des tournois'!Q$2=0,"""",LET(
lastVal, INDEX(FILTER($B18:Q18, ISNUMBER($B18:Q18)), COUNTA(FILTER($B18:Q18, ISNUMBER($B18:Q18)))),
IFERROR(
IF('Résultats des tournois'!Q18="""", INDEX(FILTER($C18:Q18, ISNUMBER($C18:Q18)), COUNTA(FILTER($C18:Q"&amp;"18, ISNUMBER($C18:Q18)))),
lastVal + 'K dynamique'!Q18 * ((SQRT('Résultats des tournois'!Q$2 + 1)/'Résultats des tournois'!Q18) - (1 / (1 + 10^((Q$103 - lastVal)/400)))))
)
))"),"")</f>
        <v/>
      </c>
      <c r="S18" s="32" t="str">
        <f>IFERROR(__xludf.DUMMYFUNCTION("IF('Résultats des tournois'!R$2=0,"""",LET(
lastVal, INDEX(FILTER($B18:R18, ISNUMBER($B18:R18)), COUNTA(FILTER($B18:R18, ISNUMBER($B18:R18)))),
IFERROR(
IF('Résultats des tournois'!R18="""", INDEX(FILTER($C18:R18, ISNUMBER($C18:R18)), COUNTA(FILTER($C18:R"&amp;"18, ISNUMBER($C18:R18)))),
lastVal + 'K dynamique'!R18 * ((SQRT('Résultats des tournois'!R$2 + 1)/'Résultats des tournois'!R18) - (1 / (1 + 10^((R$103 - lastVal)/400)))))
)
))"),"")</f>
        <v/>
      </c>
      <c r="T18" s="32" t="str">
        <f>IFERROR(__xludf.DUMMYFUNCTION("IF('Résultats des tournois'!S$2=0,"""",LET(
lastVal, INDEX(FILTER($B18:S18, ISNUMBER($B18:S18)), COUNTA(FILTER($B18:S18, ISNUMBER($B18:S18)))),
IFERROR(
IF('Résultats des tournois'!S18="""", INDEX(FILTER($C18:S18, ISNUMBER($C18:S18)), COUNTA(FILTER($C18:S"&amp;"18, ISNUMBER($C18:S18)))),
lastVal + 'K dynamique'!S18 * ((SQRT('Résultats des tournois'!S$2 + 1)/'Résultats des tournois'!S18) - (1 / (1 + 10^((S$103 - lastVal)/400)))))
)
))"),"")</f>
        <v/>
      </c>
      <c r="U18" s="32" t="str">
        <f>IFERROR(__xludf.DUMMYFUNCTION("IF('Résultats des tournois'!T$2=0,"""",LET(
lastVal, INDEX(FILTER($B18:T18, ISNUMBER($B18:T18)), COUNTA(FILTER($B18:T18, ISNUMBER($B18:T18)))),
IFERROR(
IF('Résultats des tournois'!T18="""", INDEX(FILTER($C18:T18, ISNUMBER($C18:T18)), COUNTA(FILTER($C18:T"&amp;"18, ISNUMBER($C18:T18)))),
lastVal + 'K dynamique'!T18 * ((SQRT('Résultats des tournois'!T$2 + 1)/'Résultats des tournois'!T18) - (1 / (1 + 10^((T$103 - lastVal)/400)))))
)
))"),"")</f>
        <v/>
      </c>
      <c r="V18" s="32" t="str">
        <f>IFERROR(__xludf.DUMMYFUNCTION("IF('Résultats des tournois'!U$2=0,"""",LET(
lastVal, INDEX(FILTER($B18:U18, ISNUMBER($B18:U18)), COUNTA(FILTER($B18:U18, ISNUMBER($B18:U18)))),
IFERROR(
IF('Résultats des tournois'!U18="""", INDEX(FILTER($C18:U18, ISNUMBER($C18:U18)), COUNTA(FILTER($C18:U"&amp;"18, ISNUMBER($C18:U18)))),
lastVal + 'K dynamique'!U18 * ((SQRT('Résultats des tournois'!U$2 + 1)/'Résultats des tournois'!U18) - (1 / (1 + 10^((U$103 - lastVal)/400)))))
)
))"),"")</f>
        <v/>
      </c>
      <c r="W18" s="32" t="str">
        <f>IFERROR(__xludf.DUMMYFUNCTION("IF('Résultats des tournois'!V$2=0,"""",LET(
lastVal, INDEX(FILTER($B18:V18, ISNUMBER($B18:V18)), COUNTA(FILTER($B18:V18, ISNUMBER($B18:V18)))),
IFERROR(
IF('Résultats des tournois'!V18="""", INDEX(FILTER($C18:V18, ISNUMBER($C18:V18)), COUNTA(FILTER($C18:V"&amp;"18, ISNUMBER($C18:V18)))),
lastVal + 'K dynamique'!V18 * ((SQRT('Résultats des tournois'!V$2 + 1)/'Résultats des tournois'!V18) - (1 / (1 + 10^((V$103 - lastVal)/400)))))
)
))"),"")</f>
        <v/>
      </c>
      <c r="X18" s="32" t="str">
        <f>IFERROR(__xludf.DUMMYFUNCTION("IF('Résultats des tournois'!W$2=0,"""",LET(
lastVal, INDEX(FILTER($B18:W18, ISNUMBER($B18:W18)), COUNTA(FILTER($B18:W18, ISNUMBER($B18:W18)))),
IFERROR(
IF('Résultats des tournois'!W18="""", INDEX(FILTER($C18:W18, ISNUMBER($C18:W18)), COUNTA(FILTER($C18:W"&amp;"18, ISNUMBER($C18:W18)))),
lastVal + 'K dynamique'!W18 * ((SQRT('Résultats des tournois'!W$2 + 1)/'Résultats des tournois'!W18) - (1 / (1 + 10^((W$103 - lastVal)/400)))))
)
))"),"")</f>
        <v/>
      </c>
      <c r="Y18" s="32" t="str">
        <f>IFERROR(__xludf.DUMMYFUNCTION("IF('Résultats des tournois'!X$2=0,"""",LET(
lastVal, INDEX(FILTER($B18:X18, ISNUMBER($B18:X18)), COUNTA(FILTER($B18:X18, ISNUMBER($B18:X18)))),
IFERROR(
IF('Résultats des tournois'!X18="""", INDEX(FILTER($C18:X18, ISNUMBER($C18:X18)), COUNTA(FILTER($C18:X"&amp;"18, ISNUMBER($C18:X18)))),
lastVal + 'K dynamique'!X18 * ((SQRT('Résultats des tournois'!X$2 + 1)/'Résultats des tournois'!X18) - (1 / (1 + 10^((X$103 - lastVal)/400)))))
)
))"),"")</f>
        <v/>
      </c>
      <c r="Z18" s="32" t="str">
        <f>IFERROR(__xludf.DUMMYFUNCTION("IF('Résultats des tournois'!Y$2=0,"""",LET(
lastVal, INDEX(FILTER($B18:Y18, ISNUMBER($B18:Y18)), COUNTA(FILTER($B18:Y18, ISNUMBER($B18:Y18)))),
IFERROR(
IF('Résultats des tournois'!Y18="""", INDEX(FILTER($C18:Y18, ISNUMBER($C18:Y18)), COUNTA(FILTER($C18:Y"&amp;"18, ISNUMBER($C18:Y18)))),
lastVal + 'K dynamique'!Y18 * ((SQRT('Résultats des tournois'!Y$2 + 1)/'Résultats des tournois'!Y18) - (1 / (1 + 10^((Y$103 - lastVal)/400)))))
)
))"),"")</f>
        <v/>
      </c>
      <c r="AA18" s="32" t="str">
        <f>IFERROR(__xludf.DUMMYFUNCTION("IF('Résultats des tournois'!Z$2=0,"""",LET(
lastVal, INDEX(FILTER($B18:Z18, ISNUMBER($B18:Z18)), COUNTA(FILTER($B18:Z18, ISNUMBER($B18:Z18)))),
IFERROR(
IF('Résultats des tournois'!Z18="""", INDEX(FILTER($C18:Z18, ISNUMBER($C18:Z18)), COUNTA(FILTER($C18:Z"&amp;"18, ISNUMBER($C18:Z18)))),
lastVal + 'K dynamique'!Z18 * ((SQRT('Résultats des tournois'!Z$2 + 1)/'Résultats des tournois'!Z18) - (1 / (1 + 10^((Z$103 - lastVal)/400)))))
)
))"),"")</f>
        <v/>
      </c>
      <c r="AB18" s="32" t="str">
        <f>IFERROR(__xludf.DUMMYFUNCTION("IF('Résultats des tournois'!AA$2=0,"""",LET(
lastVal, INDEX(FILTER($B18:AA18, ISNUMBER($B18:AA18)), COUNTA(FILTER($B18:AA18, ISNUMBER($B18:AA18)))),
IFERROR(
IF('Résultats des tournois'!AA18="""", INDEX(FILTER($C18:AA18, ISNUMBER($C18:AA18)), COUNTA(FILTE"&amp;"R($C18:AA18, ISNUMBER($C18:AA18)))),
lastVal + 'K dynamique'!AA18 * ((SQRT('Résultats des tournois'!AA$2 + 1)/'Résultats des tournois'!AA18) - (1 / (1 + 10^((AA$103 - lastVal)/400)))))
)
))"),"")</f>
        <v/>
      </c>
      <c r="AC18" s="32" t="str">
        <f>IFERROR(__xludf.DUMMYFUNCTION("IF('Résultats des tournois'!AB$2=0,"""",LET(
lastVal, INDEX(FILTER($B18:AB18, ISNUMBER($B18:AB18)), COUNTA(FILTER($B18:AB18, ISNUMBER($B18:AB18)))),
IFERROR(
IF('Résultats des tournois'!AB18="""", INDEX(FILTER($C18:AB18, ISNUMBER($C18:AB18)), COUNTA(FILTE"&amp;"R($C18:AB18, ISNUMBER($C18:AB18)))),
lastVal + 'K dynamique'!AB18 * ((SQRT('Résultats des tournois'!AB$2 + 1)/'Résultats des tournois'!AB18) - (1 / (1 + 10^((AB$103 - lastVal)/400)))))
)
))"),"")</f>
        <v/>
      </c>
      <c r="AD18" s="32" t="str">
        <f>IFERROR(__xludf.DUMMYFUNCTION("IF('Résultats des tournois'!AC$2=0,"""",LET(
lastVal, INDEX(FILTER($B18:AC18, ISNUMBER($B18:AC18)), COUNTA(FILTER($B18:AC18, ISNUMBER($B18:AC18)))),
IFERROR(
IF('Résultats des tournois'!AC18="""", INDEX(FILTER($C18:AC18, ISNUMBER($C18:AC18)), COUNTA(FILTE"&amp;"R($C18:AC18, ISNUMBER($C18:AC18)))),
lastVal + 'K dynamique'!AC18 * ((SQRT('Résultats des tournois'!AC$2 + 1)/'Résultats des tournois'!AC18) - (1 / (1 + 10^((AC$103 - lastVal)/400)))))
)
))"),"")</f>
        <v/>
      </c>
      <c r="AE18" s="32" t="str">
        <f>IFERROR(__xludf.DUMMYFUNCTION("IF('Résultats des tournois'!AD$2=0,"""",LET(
lastVal, INDEX(FILTER($B18:AD18, ISNUMBER($B18:AD18)), COUNTA(FILTER($B18:AD18, ISNUMBER($B18:AD18)))),
IFERROR(
IF('Résultats des tournois'!AD18="""", INDEX(FILTER($C18:AD18, ISNUMBER($C18:AD18)), COUNTA(FILTE"&amp;"R($C18:AD18, ISNUMBER($C18:AD18)))),
lastVal + 'K dynamique'!AD18 * ((SQRT('Résultats des tournois'!AD$2 + 1)/'Résultats des tournois'!AD18) - (1 / (1 + 10^((AD$103 - lastVal)/400)))))
)
))"),"")</f>
        <v/>
      </c>
      <c r="AF18" s="32" t="str">
        <f>IFERROR(__xludf.DUMMYFUNCTION("IF('Résultats des tournois'!AE$2=0,"""",LET(
lastVal, INDEX(FILTER($B18:AE18, ISNUMBER($B18:AE18)), COUNTA(FILTER($B18:AE18, ISNUMBER($B18:AE18)))),
IFERROR(
IF('Résultats des tournois'!AE18="""", INDEX(FILTER($C18:AE18, ISNUMBER($C18:AE18)), COUNTA(FILTE"&amp;"R($C18:AE18, ISNUMBER($C18:AE18)))),
lastVal + 'K dynamique'!AE18 * ((SQRT('Résultats des tournois'!AE$2 + 1)/'Résultats des tournois'!AE18) - (1 / (1 + 10^((AE$103 - lastVal)/400)))))
)
))"),"")</f>
        <v/>
      </c>
      <c r="AG18" s="32" t="str">
        <f>IFERROR(__xludf.DUMMYFUNCTION("IF('Résultats des tournois'!AF$2=0,"""",LET(
lastVal, INDEX(FILTER($B18:AF18, ISNUMBER($B18:AF18)), COUNTA(FILTER($B18:AF18, ISNUMBER($B18:AF18)))),
IFERROR(
IF('Résultats des tournois'!AF18="""", INDEX(FILTER($C18:AF18, ISNUMBER($C18:AF18)), COUNTA(FILTE"&amp;"R($C18:AF18, ISNUMBER($C18:AF18)))),
lastVal + 'K dynamique'!AF18 * ((SQRT('Résultats des tournois'!AF$2 + 1)/'Résultats des tournois'!AF18) - (1 / (1 + 10^((AF$103 - lastVal)/400)))))
)
))"),"")</f>
        <v/>
      </c>
      <c r="AH18" s="32" t="str">
        <f>IFERROR(__xludf.DUMMYFUNCTION("IF('Résultats des tournois'!AG$2=0,"""",LET(
lastVal, INDEX(FILTER($B18:AG18, ISNUMBER($B18:AG18)), COUNTA(FILTER($B18:AG18, ISNUMBER($B18:AG18)))),
IFERROR(
IF('Résultats des tournois'!AG18="""", INDEX(FILTER($C18:AG18, ISNUMBER($C18:AG18)), COUNTA(FILTE"&amp;"R($C18:AG18, ISNUMBER($C18:AG18)))),
lastVal + 'K dynamique'!AG18 * ((SQRT('Résultats des tournois'!AG$2 + 1)/'Résultats des tournois'!AG18) - (1 / (1 + 10^((AG$103 - lastVal)/400)))))
)
))"),"")</f>
        <v/>
      </c>
      <c r="AI18" s="32" t="str">
        <f>IFERROR(__xludf.DUMMYFUNCTION("IF('Résultats des tournois'!AH$2=0,"""",LET(
lastVal, INDEX(FILTER($B18:AH18, ISNUMBER($B18:AH18)), COUNTA(FILTER($B18:AH18, ISNUMBER($B18:AH18)))),
IFERROR(
IF('Résultats des tournois'!AH18="""", INDEX(FILTER($C18:AH18, ISNUMBER($C18:AH18)), COUNTA(FILTE"&amp;"R($C18:AH18, ISNUMBER($C18:AH18)))),
lastVal + 'K dynamique'!AH18 * ((SQRT('Résultats des tournois'!AH$2 + 1)/'Résultats des tournois'!AH18) - (1 / (1 + 10^((AH$103 - lastVal)/400)))))
)
))"),"")</f>
        <v/>
      </c>
      <c r="AJ18" s="32" t="str">
        <f>IFERROR(__xludf.DUMMYFUNCTION("IF('Résultats des tournois'!AI$2=0,"""",LET(
lastVal, INDEX(FILTER($B18:AI18, ISNUMBER($B18:AI18)), COUNTA(FILTER($B18:AI18, ISNUMBER($B18:AI18)))),
IFERROR(
IF('Résultats des tournois'!AI18="""", INDEX(FILTER($C18:AI18, ISNUMBER($C18:AI18)), COUNTA(FILTE"&amp;"R($C18:AI18, ISNUMBER($C18:AI18)))),
lastVal + 'K dynamique'!AI18 * ((SQRT('Résultats des tournois'!AI$2 + 1)/'Résultats des tournois'!AI18) - (1 / (1 + 10^((AI$103 - lastVal)/400)))))
)
))"),"")</f>
        <v/>
      </c>
      <c r="AK18" s="32" t="str">
        <f>IFERROR(__xludf.DUMMYFUNCTION("IF('Résultats des tournois'!AJ$2=0,"""",LET(
lastVal, INDEX(FILTER($B18:AJ18, ISNUMBER($B18:AJ18)), COUNTA(FILTER($B18:AJ18, ISNUMBER($B18:AJ18)))),
IFERROR(
IF('Résultats des tournois'!AJ18="""", INDEX(FILTER($C18:AJ18, ISNUMBER($C18:AJ18)), COUNTA(FILTE"&amp;"R($C18:AJ18, ISNUMBER($C18:AJ18)))),
lastVal + 'K dynamique'!AJ18 * ((SQRT('Résultats des tournois'!AJ$2 + 1)/'Résultats des tournois'!AJ18) - (1 / (1 + 10^((AJ$103 - lastVal)/400)))))
)
))"),"")</f>
        <v/>
      </c>
      <c r="AL18" s="32" t="str">
        <f>IFERROR(__xludf.DUMMYFUNCTION("IF('Résultats des tournois'!AK$2=0,"""",LET(
lastVal, INDEX(FILTER($B18:AK18, ISNUMBER($B18:AK18)), COUNTA(FILTER($B18:AK18, ISNUMBER($B18:AK18)))),
IFERROR(
IF('Résultats des tournois'!AK18="""", INDEX(FILTER($C18:AK18, ISNUMBER($C18:AK18)), COUNTA(FILTE"&amp;"R($C18:AK18, ISNUMBER($C18:AK18)))),
lastVal + 'K dynamique'!AK18 * ((SQRT('Résultats des tournois'!AK$2 + 1)/'Résultats des tournois'!AK18) - (1 / (1 + 10^((AK$103 - lastVal)/400)))))
)
))"),"")</f>
        <v/>
      </c>
      <c r="AM18" s="32" t="str">
        <f>IFERROR(__xludf.DUMMYFUNCTION("IF('Résultats des tournois'!AL$2=0,"""",LET(
lastVal, INDEX(FILTER($B18:AL18, ISNUMBER($B18:AL18)), COUNTA(FILTER($B18:AL18, ISNUMBER($B18:AL18)))),
IFERROR(
IF('Résultats des tournois'!AL18="""", INDEX(FILTER($C18:AL18, ISNUMBER($C18:AL18)), COUNTA(FILTE"&amp;"R($C18:AL18, ISNUMBER($C18:AL18)))),
lastVal + 'K dynamique'!AL18 * ((SQRT('Résultats des tournois'!AL$2 + 1)/'Résultats des tournois'!AL18) - (1 / (1 + 10^((AL$103 - lastVal)/400)))))
)
))"),"")</f>
        <v/>
      </c>
      <c r="AN18" s="32" t="str">
        <f>IFERROR(__xludf.DUMMYFUNCTION("IF('Résultats des tournois'!AM$2=0,"""",LET(
lastVal, INDEX(FILTER($B18:AM18, ISNUMBER($B18:AM18)), COUNTA(FILTER($B18:AM18, ISNUMBER($B18:AM18)))),
IFERROR(
IF('Résultats des tournois'!AM18="""", INDEX(FILTER($C18:AM18, ISNUMBER($C18:AM18)), COUNTA(FILTE"&amp;"R($C18:AM18, ISNUMBER($C18:AM18)))),
lastVal + 'K dynamique'!AM18 * ((SQRT('Résultats des tournois'!AM$2 + 1)/'Résultats des tournois'!AM18) - (1 / (1 + 10^((AM$103 - lastVal)/400)))))
)
))"),"")</f>
        <v/>
      </c>
      <c r="AO18" s="32" t="str">
        <f>IFERROR(__xludf.DUMMYFUNCTION("IF('Résultats des tournois'!AN$2=0,"""",LET(
lastVal, INDEX(FILTER($B18:AN18, ISNUMBER($B18:AN18)), COUNTA(FILTER($B18:AN18, ISNUMBER($B18:AN18)))),
IFERROR(
IF('Résultats des tournois'!AN18="""", INDEX(FILTER($C18:AN18, ISNUMBER($C18:AN18)), COUNTA(FILTE"&amp;"R($C18:AN18, ISNUMBER($C18:AN18)))),
lastVal + 'K dynamique'!AN18 * ((SQRT('Résultats des tournois'!AN$2 + 1)/'Résultats des tournois'!AN18) - (1 / (1 + 10^((AN$103 - lastVal)/400)))))
)
))"),"")</f>
        <v/>
      </c>
      <c r="AP18" s="32" t="str">
        <f>IFERROR(__xludf.DUMMYFUNCTION("IF('Résultats des tournois'!AO$2=0,"""",LET(
lastVal, INDEX(FILTER($B18:AO18, ISNUMBER($B18:AO18)), COUNTA(FILTER($B18:AO18, ISNUMBER($B18:AO18)))),
IFERROR(
IF('Résultats des tournois'!AO18="""", INDEX(FILTER($C18:AO18, ISNUMBER($C18:AO18)), COUNTA(FILTE"&amp;"R($C18:AO18, ISNUMBER($C18:AO18)))),
lastVal + 'K dynamique'!AO18 * ((SQRT('Résultats des tournois'!AO$2 + 1)/'Résultats des tournois'!AO18) - (1 / (1 + 10^((AO$103 - lastVal)/400)))))
)
))"),"")</f>
        <v/>
      </c>
      <c r="AQ18" s="32" t="str">
        <f>IFERROR(__xludf.DUMMYFUNCTION("IF('Résultats des tournois'!AP$2=0,"""",LET(
lastVal, INDEX(FILTER($B18:AP18, ISNUMBER($B18:AP18)), COUNTA(FILTER($B18:AP18, ISNUMBER($B18:AP18)))),
IFERROR(
IF('Résultats des tournois'!AP18="""", INDEX(FILTER($C18:AP18, ISNUMBER($C18:AP18)), COUNTA(FILTE"&amp;"R($C18:AP18, ISNUMBER($C18:AP18)))),
lastVal + 'K dynamique'!AP18 * ((SQRT('Résultats des tournois'!AP$2 + 1)/'Résultats des tournois'!AP18) - (1 / (1 + 10^((AP$103 - lastVal)/400)))))
)
))"),"")</f>
        <v/>
      </c>
      <c r="AR18" s="32" t="str">
        <f>IFERROR(__xludf.DUMMYFUNCTION("IF('Résultats des tournois'!AQ$2=0,"""",LET(
lastVal, INDEX(FILTER($B18:AQ18, ISNUMBER($B18:AQ18)), COUNTA(FILTER($B18:AQ18, ISNUMBER($B18:AQ18)))),
IFERROR(
IF('Résultats des tournois'!AQ18="""", INDEX(FILTER($C18:AQ18, ISNUMBER($C18:AQ18)), COUNTA(FILTE"&amp;"R($C18:AQ18, ISNUMBER($C18:AQ18)))),
lastVal + 'K dynamique'!AQ18 * ((SQRT('Résultats des tournois'!AQ$2 + 1)/'Résultats des tournois'!AQ18) - (1 / (1 + 10^((AQ$103 - lastVal)/400)))))
)
))"),"")</f>
        <v/>
      </c>
      <c r="AS18" s="32" t="str">
        <f>IFERROR(__xludf.DUMMYFUNCTION("IF('Résultats des tournois'!AR$2=0,"""",LET(
lastVal, INDEX(FILTER($B18:AR18, ISNUMBER($B18:AR18)), COUNTA(FILTER($B18:AR18, ISNUMBER($B18:AR18)))),
IFERROR(
IF('Résultats des tournois'!AR18="""", INDEX(FILTER($C18:AR18, ISNUMBER($C18:AR18)), COUNTA(FILTE"&amp;"R($C18:AR18, ISNUMBER($C18:AR18)))),
lastVal + 'K dynamique'!AR18 * ((SQRT('Résultats des tournois'!AR$2 + 1)/'Résultats des tournois'!AR18) - (1 / (1 + 10^((AR$103 - lastVal)/400)))))
)
))"),"")</f>
        <v/>
      </c>
      <c r="AT18" s="32" t="str">
        <f>IFERROR(__xludf.DUMMYFUNCTION("IF('Résultats des tournois'!AS$2=0,"""",LET(
lastVal, INDEX(FILTER($B18:AS18, ISNUMBER($B18:AS18)), COUNTA(FILTER($B18:AS18, ISNUMBER($B18:AS18)))),
IFERROR(
IF('Résultats des tournois'!AS18="""", INDEX(FILTER($C18:AS18, ISNUMBER($C18:AS18)), COUNTA(FILTE"&amp;"R($C18:AS18, ISNUMBER($C18:AS18)))),
lastVal + 'K dynamique'!AS18 * ((SQRT('Résultats des tournois'!AS$2 + 1)/'Résultats des tournois'!AS18) - (1 / (1 + 10^((AS$103 - lastVal)/400)))))
)
))"),"")</f>
        <v/>
      </c>
      <c r="AU18" s="32" t="str">
        <f>IFERROR(__xludf.DUMMYFUNCTION("IF('Résultats des tournois'!AT$2=0,"""",LET(
lastVal, INDEX(FILTER($B18:AT18, ISNUMBER($B18:AT18)), COUNTA(FILTER($B18:AT18, ISNUMBER($B18:AT18)))),
IFERROR(
IF('Résultats des tournois'!AT18="""", INDEX(FILTER($C18:AT18, ISNUMBER($C18:AT18)), COUNTA(FILTE"&amp;"R($C18:AT18, ISNUMBER($C18:AT18)))),
lastVal + 'K dynamique'!AT18 * ((SQRT('Résultats des tournois'!AT$2 + 1)/'Résultats des tournois'!AT18) - (1 / (1 + 10^((AT$103 - lastVal)/400)))))
)
))"),"")</f>
        <v/>
      </c>
      <c r="AV18" s="32" t="str">
        <f>IFERROR(__xludf.DUMMYFUNCTION("IF('Résultats des tournois'!AU$2=0,"""",LET(
lastVal, INDEX(FILTER($B18:AU18, ISNUMBER($B18:AU18)), COUNTA(FILTER($B18:AU18, ISNUMBER($B18:AU18)))),
IFERROR(
IF('Résultats des tournois'!AU18="""", INDEX(FILTER($C18:AU18, ISNUMBER($C18:AU18)), COUNTA(FILTE"&amp;"R($C18:AU18, ISNUMBER($C18:AU18)))),
lastVal + 'K dynamique'!AU18 * ((SQRT('Résultats des tournois'!AU$2 + 1)/'Résultats des tournois'!AU18) - (1 / (1 + 10^((AU$103 - lastVal)/400)))))
)
))"),"")</f>
        <v/>
      </c>
      <c r="AW18" s="32" t="str">
        <f>IFERROR(__xludf.DUMMYFUNCTION("IF('Résultats des tournois'!AV$2=0,"""",LET(
lastVal, INDEX(FILTER($B18:AV18, ISNUMBER($B18:AV18)), COUNTA(FILTER($B18:AV18, ISNUMBER($B18:AV18)))),
IFERROR(
IF('Résultats des tournois'!AV18="""", INDEX(FILTER($C18:AV18, ISNUMBER($C18:AV18)), COUNTA(FILTE"&amp;"R($C18:AV18, ISNUMBER($C18:AV18)))),
lastVal + 'K dynamique'!AV18 * ((SQRT('Résultats des tournois'!AV$2 + 1)/'Résultats des tournois'!AV18) - (1 / (1 + 10^((AV$103 - lastVal)/400)))))
)
))"),"")</f>
        <v/>
      </c>
      <c r="AX18" s="32" t="str">
        <f>IFERROR(__xludf.DUMMYFUNCTION("IF('Résultats des tournois'!AW$2=0,"""",LET(
lastVal, INDEX(FILTER($B18:AW18, ISNUMBER($B18:AW18)), COUNTA(FILTER($B18:AW18, ISNUMBER($B18:AW18)))),
IFERROR(
IF('Résultats des tournois'!AW18="""", INDEX(FILTER($C18:AW18, ISNUMBER($C18:AW18)), COUNTA(FILTE"&amp;"R($C18:AW18, ISNUMBER($C18:AW18)))),
lastVal + 'K dynamique'!AW18 * ((SQRT('Résultats des tournois'!AW$2 + 1)/'Résultats des tournois'!AW18) - (1 / (1 + 10^((AW$103 - lastVal)/400)))))
)
))"),"")</f>
        <v/>
      </c>
      <c r="AY18" s="32" t="str">
        <f>IFERROR(__xludf.DUMMYFUNCTION("IF('Résultats des tournois'!AX$2=0,"""",LET(
lastVal, INDEX(FILTER($B18:AX18, ISNUMBER($B18:AX18)), COUNTA(FILTER($B18:AX18, ISNUMBER($B18:AX18)))),
IFERROR(
IF('Résultats des tournois'!AX18="""", INDEX(FILTER($C18:AX18, ISNUMBER($C18:AX18)), COUNTA(FILTE"&amp;"R($C18:AX18, ISNUMBER($C18:AX18)))),
lastVal + 'K dynamique'!AX18 * ((SQRT('Résultats des tournois'!AX$2 + 1)/'Résultats des tournois'!AX18) - (1 / (1 + 10^((AX$103 - lastVal)/400)))))
)
))"),"")</f>
        <v/>
      </c>
      <c r="AZ18" s="4">
        <f t="array" ref="AZ18">IF(MAX(($C18:AY18&lt;&gt;"")*COLUMN($C18:AY18))=0,"",INDEX($C18:AY18,1,MAX(($C18:AY18&lt;&gt;"")*COLUMN($C18:AY18))-COLUMN($C18)+1))</f>
        <v>1659.503858</v>
      </c>
      <c r="BA18" s="33">
        <f t="shared" si="1"/>
        <v>4</v>
      </c>
    </row>
    <row r="19" ht="14.25" customHeight="1">
      <c r="A19" s="32" t="str">
        <f>IF('Résultats des tournois'!A19="","",'Résultats des tournois'!A19)</f>
        <v>Schirou</v>
      </c>
      <c r="B19" s="32">
        <v>1500.0</v>
      </c>
      <c r="C19" s="32">
        <f>IF('Résultats des tournois'!B19="","",B19+'K dynamique'!B19*((SQRT('Résultats des tournois'!B$2+1)/'Résultats des tournois'!B19)-(1/(1+10^((B19-B19)/400)))))</f>
        <v>1513.933259</v>
      </c>
      <c r="D19" s="32">
        <f>IFERROR(__xludf.DUMMYFUNCTION("IF('Résultats des tournois'!C$2=0,"""",LET(
lastVal, INDEX(FILTER($B19:C19, ISNUMBER($B19:C19)), COUNTA(FILTER($B19:C19, ISNUMBER($B19:C19)))),
IFERROR(
IF('Résultats des tournois'!C19="""", INDEX(FILTER($C19:C19, ISNUMBER($C19:C19)), COUNTA(FILTER($C19:C"&amp;"19, ISNUMBER($C19:C19)))),
lastVal + 'K dynamique'!C19 * ((SQRT('Résultats des tournois'!C$2 + 1)/'Résultats des tournois'!C19) - (1 / (1 + 10^((C$103 - lastVal)/400)))))
)
))"),1513.7395186725555)</f>
        <v>1513.739519</v>
      </c>
      <c r="E19" s="32">
        <f>IFERROR(__xludf.DUMMYFUNCTION("IF('Résultats des tournois'!D$2=0,"""",LET(
lastVal, INDEX(FILTER($B19:D19, ISNUMBER($B19:D19)), COUNTA(FILTER($B19:D19, ISNUMBER($B19:D19)))),
IFERROR(
IF('Résultats des tournois'!D19="""", INDEX(FILTER($C19:D19, ISNUMBER($C19:D19)), COUNTA(FILTER($C19:D"&amp;"19, ISNUMBER($C19:D19)))),
lastVal + 'K dynamique'!D19 * ((SQRT('Résultats des tournois'!D$2 + 1)/'Résultats des tournois'!D19) - (1 / (1 + 10^((D$103 - lastVal)/400)))))
)
))"),1515.9032196338615)</f>
        <v>1515.90322</v>
      </c>
      <c r="F19" s="32">
        <f>IFERROR(__xludf.DUMMYFUNCTION("IF('Résultats des tournois'!E$2=0,"""",LET(
lastVal, INDEX(FILTER($B19:E19, ISNUMBER($B19:E19)), COUNTA(FILTER($B19:E19, ISNUMBER($B19:E19)))),
IFERROR(
IF('Résultats des tournois'!E19="""", INDEX(FILTER($C19:E19, ISNUMBER($C19:E19)), COUNTA(FILTER($C19:E"&amp;"19, ISNUMBER($C19:E19)))),
lastVal + 'K dynamique'!E19 * ((SQRT('Résultats des tournois'!E$2 + 1)/'Résultats des tournois'!E19) - (1 / (1 + 10^((E$103 - lastVal)/400)))))
)
))"),1556.06809087154)</f>
        <v>1556.068091</v>
      </c>
      <c r="G19" s="32">
        <f>IFERROR(__xludf.DUMMYFUNCTION("IF('Résultats des tournois'!F$2=0,"""",LET(
lastVal, INDEX(FILTER($B19:F19, ISNUMBER($B19:F19)), COUNTA(FILTER($B19:F19, ISNUMBER($B19:F19)))),
IFERROR(
IF('Résultats des tournois'!F19="""", INDEX(FILTER($C19:F19, ISNUMBER($C19:F19)), COUNTA(FILTER($C19:F"&amp;"19, ISNUMBER($C19:F19)))),
lastVal + 'K dynamique'!F19 * ((SQRT('Résultats des tournois'!F$2 + 1)/'Résultats des tournois'!F19) - (1 / (1 + 10^((F$103 - lastVal)/400)))))
)
))"),1577.861152153004)</f>
        <v>1577.861152</v>
      </c>
      <c r="H19" s="32">
        <f>IFERROR(__xludf.DUMMYFUNCTION("IF('Résultats des tournois'!G$2=0,"""",LET(
lastVal, INDEX(FILTER($B19:G19, ISNUMBER($B19:G19)), COUNTA(FILTER($B19:G19, ISNUMBER($B19:G19)))),
IFERROR(
IF('Résultats des tournois'!G19="""", INDEX(FILTER($C19:G19, ISNUMBER($C19:G19)), COUNTA(FILTER($C19:G"&amp;"19, ISNUMBER($C19:G19)))),
lastVal + 'K dynamique'!G19 * ((SQRT('Résultats des tournois'!G$2 + 1)/'Résultats des tournois'!G19) - (1 / (1 + 10^((G$103 - lastVal)/400)))))
)
))"),1577.861152153004)</f>
        <v>1577.861152</v>
      </c>
      <c r="I19" s="32">
        <f>IFERROR(__xludf.DUMMYFUNCTION("IF('Résultats des tournois'!H$2=0,"""",LET(
lastVal, INDEX(FILTER($B19:H19, ISNUMBER($B19:H19)), COUNTA(FILTER($B19:H19, ISNUMBER($B19:H19)))),
IFERROR(
IF('Résultats des tournois'!H19="""", INDEX(FILTER($C19:H19, ISNUMBER($C19:H19)), COUNTA(FILTER($C19:H"&amp;"19, ISNUMBER($C19:H19)))),
lastVal + 'K dynamique'!H19 * ((SQRT('Résultats des tournois'!H$2 + 1)/'Résultats des tournois'!H19) - (1 / (1 + 10^((H$103 - lastVal)/400)))))
)
))"),1575.8392640466777)</f>
        <v>1575.839264</v>
      </c>
      <c r="J19" s="32">
        <f>IFERROR(__xludf.DUMMYFUNCTION("IF('Résultats des tournois'!I$2=0,"""",LET(
lastVal, INDEX(FILTER($B19:I19, ISNUMBER($B19:I19)), COUNTA(FILTER($B19:I19, ISNUMBER($B19:I19)))),
IFERROR(
IF('Résultats des tournois'!I19="""", INDEX(FILTER($C19:I19, ISNUMBER($C19:I19)), COUNTA(FILTER($C19:I"&amp;"19, ISNUMBER($C19:I19)))),
lastVal + 'K dynamique'!I19 * ((SQRT('Résultats des tournois'!I$2 + 1)/'Résultats des tournois'!I19) - (1 / (1 + 10^((I$103 - lastVal)/400)))))
)
))"),1583.0651216854856)</f>
        <v>1583.065122</v>
      </c>
      <c r="K19" s="32">
        <f>IFERROR(__xludf.DUMMYFUNCTION("IF('Résultats des tournois'!J$2=0,"""",LET(
lastVal, INDEX(FILTER($B19:J19, ISNUMBER($B19:J19)), COUNTA(FILTER($B19:J19, ISNUMBER($B19:J19)))),
IFERROR(
IF('Résultats des tournois'!J19="""", INDEX(FILTER($C19:J19, ISNUMBER($C19:J19)), COUNTA(FILTER($C19:J"&amp;"19, ISNUMBER($C19:J19)))),
lastVal + 'K dynamique'!J19 * ((SQRT('Résultats des tournois'!J$2 + 1)/'Résultats des tournois'!J19) - (1 / (1 + 10^((J$103 - lastVal)/400)))))
)
))"),1618.3222060348467)</f>
        <v>1618.322206</v>
      </c>
      <c r="L19" s="32">
        <f>IFERROR(__xludf.DUMMYFUNCTION("IF('Résultats des tournois'!K$2=0,"""",LET(
lastVal, INDEX(FILTER($B19:K19, ISNUMBER($B19:K19)), COUNTA(FILTER($B19:K19, ISNUMBER($B19:K19)))),
IFERROR(
IF('Résultats des tournois'!K19="""", INDEX(FILTER($C19:K19, ISNUMBER($C19:K19)), COUNTA(FILTER($C19:K"&amp;"19, ISNUMBER($C19:K19)))),
lastVal + 'K dynamique'!K19 * ((SQRT('Résultats des tournois'!K$2 + 1)/'Résultats des tournois'!K19) - (1 / (1 + 10^((K$103 - lastVal)/400)))))
)
))"),1613.3804765508098)</f>
        <v>1613.380477</v>
      </c>
      <c r="M19" s="32">
        <f>IFERROR(__xludf.DUMMYFUNCTION("IF('Résultats des tournois'!L$2=0,"""",LET(
lastVal, INDEX(FILTER($B19:L19, ISNUMBER($B19:L19)), COUNTA(FILTER($B19:L19, ISNUMBER($B19:L19)))),
IFERROR(
IF('Résultats des tournois'!L19="""", INDEX(FILTER($C19:L19, ISNUMBER($C19:L19)), COUNTA(FILTER($C19:L"&amp;"19, ISNUMBER($C19:L19)))),
lastVal + 'K dynamique'!L19 * ((SQRT('Résultats des tournois'!L$2 + 1)/'Résultats des tournois'!L19) - (1 / (1 + 10^((L$103 - lastVal)/400)))))
)
))"),1610.3915924127089)</f>
        <v>1610.391592</v>
      </c>
      <c r="N19" s="32" t="str">
        <f>IFERROR(__xludf.DUMMYFUNCTION("IF('Résultats des tournois'!M$2=0,"""",LET(
lastVal, INDEX(FILTER($B19:M19, ISNUMBER($B19:M19)), COUNTA(FILTER($B19:M19, ISNUMBER($B19:M19)))),
IFERROR(
IF('Résultats des tournois'!M19="""", INDEX(FILTER($C19:M19, ISNUMBER($C19:M19)), COUNTA(FILTER($C19:M"&amp;"19, ISNUMBER($C19:M19)))),
lastVal + 'K dynamique'!M19 * ((SQRT('Résultats des tournois'!M$2 + 1)/'Résultats des tournois'!M19) - (1 / (1 + 10^((M$103 - lastVal)/400)))))
)
))"),"")</f>
        <v/>
      </c>
      <c r="O19" s="32" t="str">
        <f>IFERROR(__xludf.DUMMYFUNCTION("IF('Résultats des tournois'!N$2=0,"""",LET(
lastVal, INDEX(FILTER($B19:N19, ISNUMBER($B19:N19)), COUNTA(FILTER($B19:N19, ISNUMBER($B19:N19)))),
IFERROR(
IF('Résultats des tournois'!N19="""", INDEX(FILTER($C19:N19, ISNUMBER($C19:N19)), COUNTA(FILTER($C19:N"&amp;"19, ISNUMBER($C19:N19)))),
lastVal + 'K dynamique'!N19 * ((SQRT('Résultats des tournois'!N$2 + 1)/'Résultats des tournois'!N19) - (1 / (1 + 10^((N$103 - lastVal)/400)))))
)
))"),"")</f>
        <v/>
      </c>
      <c r="P19" s="32" t="str">
        <f>IFERROR(__xludf.DUMMYFUNCTION("IF('Résultats des tournois'!O$2=0,"""",LET(
lastVal, INDEX(FILTER($B19:O19, ISNUMBER($B19:O19)), COUNTA(FILTER($B19:O19, ISNUMBER($B19:O19)))),
IFERROR(
IF('Résultats des tournois'!O19="""", INDEX(FILTER($C19:O19, ISNUMBER($C19:O19)), COUNTA(FILTER($C19:O"&amp;"19, ISNUMBER($C19:O19)))),
lastVal + 'K dynamique'!O19 * ((SQRT('Résultats des tournois'!O$2 + 1)/'Résultats des tournois'!O19) - (1 / (1 + 10^((O$103 - lastVal)/400)))))
)
))"),"")</f>
        <v/>
      </c>
      <c r="Q19" s="32" t="str">
        <f>IFERROR(__xludf.DUMMYFUNCTION("IF('Résultats des tournois'!P$2=0,"""",LET(
lastVal, INDEX(FILTER($B19:P19, ISNUMBER($B19:P19)), COUNTA(FILTER($B19:P19, ISNUMBER($B19:P19)))),
IFERROR(
IF('Résultats des tournois'!P19="""", INDEX(FILTER($C19:P19, ISNUMBER($C19:P19)), COUNTA(FILTER($C19:P"&amp;"19, ISNUMBER($C19:P19)))),
lastVal + 'K dynamique'!P19 * ((SQRT('Résultats des tournois'!P$2 + 1)/'Résultats des tournois'!P19) - (1 / (1 + 10^((P$103 - lastVal)/400)))))
)
))"),"")</f>
        <v/>
      </c>
      <c r="R19" s="32" t="str">
        <f>IFERROR(__xludf.DUMMYFUNCTION("IF('Résultats des tournois'!Q$2=0,"""",LET(
lastVal, INDEX(FILTER($B19:Q19, ISNUMBER($B19:Q19)), COUNTA(FILTER($B19:Q19, ISNUMBER($B19:Q19)))),
IFERROR(
IF('Résultats des tournois'!Q19="""", INDEX(FILTER($C19:Q19, ISNUMBER($C19:Q19)), COUNTA(FILTER($C19:Q"&amp;"19, ISNUMBER($C19:Q19)))),
lastVal + 'K dynamique'!Q19 * ((SQRT('Résultats des tournois'!Q$2 + 1)/'Résultats des tournois'!Q19) - (1 / (1 + 10^((Q$103 - lastVal)/400)))))
)
))"),"")</f>
        <v/>
      </c>
      <c r="S19" s="32" t="str">
        <f>IFERROR(__xludf.DUMMYFUNCTION("IF('Résultats des tournois'!R$2=0,"""",LET(
lastVal, INDEX(FILTER($B19:R19, ISNUMBER($B19:R19)), COUNTA(FILTER($B19:R19, ISNUMBER($B19:R19)))),
IFERROR(
IF('Résultats des tournois'!R19="""", INDEX(FILTER($C19:R19, ISNUMBER($C19:R19)), COUNTA(FILTER($C19:R"&amp;"19, ISNUMBER($C19:R19)))),
lastVal + 'K dynamique'!R19 * ((SQRT('Résultats des tournois'!R$2 + 1)/'Résultats des tournois'!R19) - (1 / (1 + 10^((R$103 - lastVal)/400)))))
)
))"),"")</f>
        <v/>
      </c>
      <c r="T19" s="32" t="str">
        <f>IFERROR(__xludf.DUMMYFUNCTION("IF('Résultats des tournois'!S$2=0,"""",LET(
lastVal, INDEX(FILTER($B19:S19, ISNUMBER($B19:S19)), COUNTA(FILTER($B19:S19, ISNUMBER($B19:S19)))),
IFERROR(
IF('Résultats des tournois'!S19="""", INDEX(FILTER($C19:S19, ISNUMBER($C19:S19)), COUNTA(FILTER($C19:S"&amp;"19, ISNUMBER($C19:S19)))),
lastVal + 'K dynamique'!S19 * ((SQRT('Résultats des tournois'!S$2 + 1)/'Résultats des tournois'!S19) - (1 / (1 + 10^((S$103 - lastVal)/400)))))
)
))"),"")</f>
        <v/>
      </c>
      <c r="U19" s="32" t="str">
        <f>IFERROR(__xludf.DUMMYFUNCTION("IF('Résultats des tournois'!T$2=0,"""",LET(
lastVal, INDEX(FILTER($B19:T19, ISNUMBER($B19:T19)), COUNTA(FILTER($B19:T19, ISNUMBER($B19:T19)))),
IFERROR(
IF('Résultats des tournois'!T19="""", INDEX(FILTER($C19:T19, ISNUMBER($C19:T19)), COUNTA(FILTER($C19:T"&amp;"19, ISNUMBER($C19:T19)))),
lastVal + 'K dynamique'!T19 * ((SQRT('Résultats des tournois'!T$2 + 1)/'Résultats des tournois'!T19) - (1 / (1 + 10^((T$103 - lastVal)/400)))))
)
))"),"")</f>
        <v/>
      </c>
      <c r="V19" s="32" t="str">
        <f>IFERROR(__xludf.DUMMYFUNCTION("IF('Résultats des tournois'!U$2=0,"""",LET(
lastVal, INDEX(FILTER($B19:U19, ISNUMBER($B19:U19)), COUNTA(FILTER($B19:U19, ISNUMBER($B19:U19)))),
IFERROR(
IF('Résultats des tournois'!U19="""", INDEX(FILTER($C19:U19, ISNUMBER($C19:U19)), COUNTA(FILTER($C19:U"&amp;"19, ISNUMBER($C19:U19)))),
lastVal + 'K dynamique'!U19 * ((SQRT('Résultats des tournois'!U$2 + 1)/'Résultats des tournois'!U19) - (1 / (1 + 10^((U$103 - lastVal)/400)))))
)
))"),"")</f>
        <v/>
      </c>
      <c r="W19" s="32" t="str">
        <f>IFERROR(__xludf.DUMMYFUNCTION("IF('Résultats des tournois'!V$2=0,"""",LET(
lastVal, INDEX(FILTER($B19:V19, ISNUMBER($B19:V19)), COUNTA(FILTER($B19:V19, ISNUMBER($B19:V19)))),
IFERROR(
IF('Résultats des tournois'!V19="""", INDEX(FILTER($C19:V19, ISNUMBER($C19:V19)), COUNTA(FILTER($C19:V"&amp;"19, ISNUMBER($C19:V19)))),
lastVal + 'K dynamique'!V19 * ((SQRT('Résultats des tournois'!V$2 + 1)/'Résultats des tournois'!V19) - (1 / (1 + 10^((V$103 - lastVal)/400)))))
)
))"),"")</f>
        <v/>
      </c>
      <c r="X19" s="32" t="str">
        <f>IFERROR(__xludf.DUMMYFUNCTION("IF('Résultats des tournois'!W$2=0,"""",LET(
lastVal, INDEX(FILTER($B19:W19, ISNUMBER($B19:W19)), COUNTA(FILTER($B19:W19, ISNUMBER($B19:W19)))),
IFERROR(
IF('Résultats des tournois'!W19="""", INDEX(FILTER($C19:W19, ISNUMBER($C19:W19)), COUNTA(FILTER($C19:W"&amp;"19, ISNUMBER($C19:W19)))),
lastVal + 'K dynamique'!W19 * ((SQRT('Résultats des tournois'!W$2 + 1)/'Résultats des tournois'!W19) - (1 / (1 + 10^((W$103 - lastVal)/400)))))
)
))"),"")</f>
        <v/>
      </c>
      <c r="Y19" s="32" t="str">
        <f>IFERROR(__xludf.DUMMYFUNCTION("IF('Résultats des tournois'!X$2=0,"""",LET(
lastVal, INDEX(FILTER($B19:X19, ISNUMBER($B19:X19)), COUNTA(FILTER($B19:X19, ISNUMBER($B19:X19)))),
IFERROR(
IF('Résultats des tournois'!X19="""", INDEX(FILTER($C19:X19, ISNUMBER($C19:X19)), COUNTA(FILTER($C19:X"&amp;"19, ISNUMBER($C19:X19)))),
lastVal + 'K dynamique'!X19 * ((SQRT('Résultats des tournois'!X$2 + 1)/'Résultats des tournois'!X19) - (1 / (1 + 10^((X$103 - lastVal)/400)))))
)
))"),"")</f>
        <v/>
      </c>
      <c r="Z19" s="32" t="str">
        <f>IFERROR(__xludf.DUMMYFUNCTION("IF('Résultats des tournois'!Y$2=0,"""",LET(
lastVal, INDEX(FILTER($B19:Y19, ISNUMBER($B19:Y19)), COUNTA(FILTER($B19:Y19, ISNUMBER($B19:Y19)))),
IFERROR(
IF('Résultats des tournois'!Y19="""", INDEX(FILTER($C19:Y19, ISNUMBER($C19:Y19)), COUNTA(FILTER($C19:Y"&amp;"19, ISNUMBER($C19:Y19)))),
lastVal + 'K dynamique'!Y19 * ((SQRT('Résultats des tournois'!Y$2 + 1)/'Résultats des tournois'!Y19) - (1 / (1 + 10^((Y$103 - lastVal)/400)))))
)
))"),"")</f>
        <v/>
      </c>
      <c r="AA19" s="32" t="str">
        <f>IFERROR(__xludf.DUMMYFUNCTION("IF('Résultats des tournois'!Z$2=0,"""",LET(
lastVal, INDEX(FILTER($B19:Z19, ISNUMBER($B19:Z19)), COUNTA(FILTER($B19:Z19, ISNUMBER($B19:Z19)))),
IFERROR(
IF('Résultats des tournois'!Z19="""", INDEX(FILTER($C19:Z19, ISNUMBER($C19:Z19)), COUNTA(FILTER($C19:Z"&amp;"19, ISNUMBER($C19:Z19)))),
lastVal + 'K dynamique'!Z19 * ((SQRT('Résultats des tournois'!Z$2 + 1)/'Résultats des tournois'!Z19) - (1 / (1 + 10^((Z$103 - lastVal)/400)))))
)
))"),"")</f>
        <v/>
      </c>
      <c r="AB19" s="32" t="str">
        <f>IFERROR(__xludf.DUMMYFUNCTION("IF('Résultats des tournois'!AA$2=0,"""",LET(
lastVal, INDEX(FILTER($B19:AA19, ISNUMBER($B19:AA19)), COUNTA(FILTER($B19:AA19, ISNUMBER($B19:AA19)))),
IFERROR(
IF('Résultats des tournois'!AA19="""", INDEX(FILTER($C19:AA19, ISNUMBER($C19:AA19)), COUNTA(FILTE"&amp;"R($C19:AA19, ISNUMBER($C19:AA19)))),
lastVal + 'K dynamique'!AA19 * ((SQRT('Résultats des tournois'!AA$2 + 1)/'Résultats des tournois'!AA19) - (1 / (1 + 10^((AA$103 - lastVal)/400)))))
)
))"),"")</f>
        <v/>
      </c>
      <c r="AC19" s="32" t="str">
        <f>IFERROR(__xludf.DUMMYFUNCTION("IF('Résultats des tournois'!AB$2=0,"""",LET(
lastVal, INDEX(FILTER($B19:AB19, ISNUMBER($B19:AB19)), COUNTA(FILTER($B19:AB19, ISNUMBER($B19:AB19)))),
IFERROR(
IF('Résultats des tournois'!AB19="""", INDEX(FILTER($C19:AB19, ISNUMBER($C19:AB19)), COUNTA(FILTE"&amp;"R($C19:AB19, ISNUMBER($C19:AB19)))),
lastVal + 'K dynamique'!AB19 * ((SQRT('Résultats des tournois'!AB$2 + 1)/'Résultats des tournois'!AB19) - (1 / (1 + 10^((AB$103 - lastVal)/400)))))
)
))"),"")</f>
        <v/>
      </c>
      <c r="AD19" s="32" t="str">
        <f>IFERROR(__xludf.DUMMYFUNCTION("IF('Résultats des tournois'!AC$2=0,"""",LET(
lastVal, INDEX(FILTER($B19:AC19, ISNUMBER($B19:AC19)), COUNTA(FILTER($B19:AC19, ISNUMBER($B19:AC19)))),
IFERROR(
IF('Résultats des tournois'!AC19="""", INDEX(FILTER($C19:AC19, ISNUMBER($C19:AC19)), COUNTA(FILTE"&amp;"R($C19:AC19, ISNUMBER($C19:AC19)))),
lastVal + 'K dynamique'!AC19 * ((SQRT('Résultats des tournois'!AC$2 + 1)/'Résultats des tournois'!AC19) - (1 / (1 + 10^((AC$103 - lastVal)/400)))))
)
))"),"")</f>
        <v/>
      </c>
      <c r="AE19" s="32" t="str">
        <f>IFERROR(__xludf.DUMMYFUNCTION("IF('Résultats des tournois'!AD$2=0,"""",LET(
lastVal, INDEX(FILTER($B19:AD19, ISNUMBER($B19:AD19)), COUNTA(FILTER($B19:AD19, ISNUMBER($B19:AD19)))),
IFERROR(
IF('Résultats des tournois'!AD19="""", INDEX(FILTER($C19:AD19, ISNUMBER($C19:AD19)), COUNTA(FILTE"&amp;"R($C19:AD19, ISNUMBER($C19:AD19)))),
lastVal + 'K dynamique'!AD19 * ((SQRT('Résultats des tournois'!AD$2 + 1)/'Résultats des tournois'!AD19) - (1 / (1 + 10^((AD$103 - lastVal)/400)))))
)
))"),"")</f>
        <v/>
      </c>
      <c r="AF19" s="32" t="str">
        <f>IFERROR(__xludf.DUMMYFUNCTION("IF('Résultats des tournois'!AE$2=0,"""",LET(
lastVal, INDEX(FILTER($B19:AE19, ISNUMBER($B19:AE19)), COUNTA(FILTER($B19:AE19, ISNUMBER($B19:AE19)))),
IFERROR(
IF('Résultats des tournois'!AE19="""", INDEX(FILTER($C19:AE19, ISNUMBER($C19:AE19)), COUNTA(FILTE"&amp;"R($C19:AE19, ISNUMBER($C19:AE19)))),
lastVal + 'K dynamique'!AE19 * ((SQRT('Résultats des tournois'!AE$2 + 1)/'Résultats des tournois'!AE19) - (1 / (1 + 10^((AE$103 - lastVal)/400)))))
)
))"),"")</f>
        <v/>
      </c>
      <c r="AG19" s="32" t="str">
        <f>IFERROR(__xludf.DUMMYFUNCTION("IF('Résultats des tournois'!AF$2=0,"""",LET(
lastVal, INDEX(FILTER($B19:AF19, ISNUMBER($B19:AF19)), COUNTA(FILTER($B19:AF19, ISNUMBER($B19:AF19)))),
IFERROR(
IF('Résultats des tournois'!AF19="""", INDEX(FILTER($C19:AF19, ISNUMBER($C19:AF19)), COUNTA(FILTE"&amp;"R($C19:AF19, ISNUMBER($C19:AF19)))),
lastVal + 'K dynamique'!AF19 * ((SQRT('Résultats des tournois'!AF$2 + 1)/'Résultats des tournois'!AF19) - (1 / (1 + 10^((AF$103 - lastVal)/400)))))
)
))"),"")</f>
        <v/>
      </c>
      <c r="AH19" s="32" t="str">
        <f>IFERROR(__xludf.DUMMYFUNCTION("IF('Résultats des tournois'!AG$2=0,"""",LET(
lastVal, INDEX(FILTER($B19:AG19, ISNUMBER($B19:AG19)), COUNTA(FILTER($B19:AG19, ISNUMBER($B19:AG19)))),
IFERROR(
IF('Résultats des tournois'!AG19="""", INDEX(FILTER($C19:AG19, ISNUMBER($C19:AG19)), COUNTA(FILTE"&amp;"R($C19:AG19, ISNUMBER($C19:AG19)))),
lastVal + 'K dynamique'!AG19 * ((SQRT('Résultats des tournois'!AG$2 + 1)/'Résultats des tournois'!AG19) - (1 / (1 + 10^((AG$103 - lastVal)/400)))))
)
))"),"")</f>
        <v/>
      </c>
      <c r="AI19" s="32" t="str">
        <f>IFERROR(__xludf.DUMMYFUNCTION("IF('Résultats des tournois'!AH$2=0,"""",LET(
lastVal, INDEX(FILTER($B19:AH19, ISNUMBER($B19:AH19)), COUNTA(FILTER($B19:AH19, ISNUMBER($B19:AH19)))),
IFERROR(
IF('Résultats des tournois'!AH19="""", INDEX(FILTER($C19:AH19, ISNUMBER($C19:AH19)), COUNTA(FILTE"&amp;"R($C19:AH19, ISNUMBER($C19:AH19)))),
lastVal + 'K dynamique'!AH19 * ((SQRT('Résultats des tournois'!AH$2 + 1)/'Résultats des tournois'!AH19) - (1 / (1 + 10^((AH$103 - lastVal)/400)))))
)
))"),"")</f>
        <v/>
      </c>
      <c r="AJ19" s="32" t="str">
        <f>IFERROR(__xludf.DUMMYFUNCTION("IF('Résultats des tournois'!AI$2=0,"""",LET(
lastVal, INDEX(FILTER($B19:AI19, ISNUMBER($B19:AI19)), COUNTA(FILTER($B19:AI19, ISNUMBER($B19:AI19)))),
IFERROR(
IF('Résultats des tournois'!AI19="""", INDEX(FILTER($C19:AI19, ISNUMBER($C19:AI19)), COUNTA(FILTE"&amp;"R($C19:AI19, ISNUMBER($C19:AI19)))),
lastVal + 'K dynamique'!AI19 * ((SQRT('Résultats des tournois'!AI$2 + 1)/'Résultats des tournois'!AI19) - (1 / (1 + 10^((AI$103 - lastVal)/400)))))
)
))"),"")</f>
        <v/>
      </c>
      <c r="AK19" s="32" t="str">
        <f>IFERROR(__xludf.DUMMYFUNCTION("IF('Résultats des tournois'!AJ$2=0,"""",LET(
lastVal, INDEX(FILTER($B19:AJ19, ISNUMBER($B19:AJ19)), COUNTA(FILTER($B19:AJ19, ISNUMBER($B19:AJ19)))),
IFERROR(
IF('Résultats des tournois'!AJ19="""", INDEX(FILTER($C19:AJ19, ISNUMBER($C19:AJ19)), COUNTA(FILTE"&amp;"R($C19:AJ19, ISNUMBER($C19:AJ19)))),
lastVal + 'K dynamique'!AJ19 * ((SQRT('Résultats des tournois'!AJ$2 + 1)/'Résultats des tournois'!AJ19) - (1 / (1 + 10^((AJ$103 - lastVal)/400)))))
)
))"),"")</f>
        <v/>
      </c>
      <c r="AL19" s="32" t="str">
        <f>IFERROR(__xludf.DUMMYFUNCTION("IF('Résultats des tournois'!AK$2=0,"""",LET(
lastVal, INDEX(FILTER($B19:AK19, ISNUMBER($B19:AK19)), COUNTA(FILTER($B19:AK19, ISNUMBER($B19:AK19)))),
IFERROR(
IF('Résultats des tournois'!AK19="""", INDEX(FILTER($C19:AK19, ISNUMBER($C19:AK19)), COUNTA(FILTE"&amp;"R($C19:AK19, ISNUMBER($C19:AK19)))),
lastVal + 'K dynamique'!AK19 * ((SQRT('Résultats des tournois'!AK$2 + 1)/'Résultats des tournois'!AK19) - (1 / (1 + 10^((AK$103 - lastVal)/400)))))
)
))"),"")</f>
        <v/>
      </c>
      <c r="AM19" s="32" t="str">
        <f>IFERROR(__xludf.DUMMYFUNCTION("IF('Résultats des tournois'!AL$2=0,"""",LET(
lastVal, INDEX(FILTER($B19:AL19, ISNUMBER($B19:AL19)), COUNTA(FILTER($B19:AL19, ISNUMBER($B19:AL19)))),
IFERROR(
IF('Résultats des tournois'!AL19="""", INDEX(FILTER($C19:AL19, ISNUMBER($C19:AL19)), COUNTA(FILTE"&amp;"R($C19:AL19, ISNUMBER($C19:AL19)))),
lastVal + 'K dynamique'!AL19 * ((SQRT('Résultats des tournois'!AL$2 + 1)/'Résultats des tournois'!AL19) - (1 / (1 + 10^((AL$103 - lastVal)/400)))))
)
))"),"")</f>
        <v/>
      </c>
      <c r="AN19" s="32" t="str">
        <f>IFERROR(__xludf.DUMMYFUNCTION("IF('Résultats des tournois'!AM$2=0,"""",LET(
lastVal, INDEX(FILTER($B19:AM19, ISNUMBER($B19:AM19)), COUNTA(FILTER($B19:AM19, ISNUMBER($B19:AM19)))),
IFERROR(
IF('Résultats des tournois'!AM19="""", INDEX(FILTER($C19:AM19, ISNUMBER($C19:AM19)), COUNTA(FILTE"&amp;"R($C19:AM19, ISNUMBER($C19:AM19)))),
lastVal + 'K dynamique'!AM19 * ((SQRT('Résultats des tournois'!AM$2 + 1)/'Résultats des tournois'!AM19) - (1 / (1 + 10^((AM$103 - lastVal)/400)))))
)
))"),"")</f>
        <v/>
      </c>
      <c r="AO19" s="32" t="str">
        <f>IFERROR(__xludf.DUMMYFUNCTION("IF('Résultats des tournois'!AN$2=0,"""",LET(
lastVal, INDEX(FILTER($B19:AN19, ISNUMBER($B19:AN19)), COUNTA(FILTER($B19:AN19, ISNUMBER($B19:AN19)))),
IFERROR(
IF('Résultats des tournois'!AN19="""", INDEX(FILTER($C19:AN19, ISNUMBER($C19:AN19)), COUNTA(FILTE"&amp;"R($C19:AN19, ISNUMBER($C19:AN19)))),
lastVal + 'K dynamique'!AN19 * ((SQRT('Résultats des tournois'!AN$2 + 1)/'Résultats des tournois'!AN19) - (1 / (1 + 10^((AN$103 - lastVal)/400)))))
)
))"),"")</f>
        <v/>
      </c>
      <c r="AP19" s="32" t="str">
        <f>IFERROR(__xludf.DUMMYFUNCTION("IF('Résultats des tournois'!AO$2=0,"""",LET(
lastVal, INDEX(FILTER($B19:AO19, ISNUMBER($B19:AO19)), COUNTA(FILTER($B19:AO19, ISNUMBER($B19:AO19)))),
IFERROR(
IF('Résultats des tournois'!AO19="""", INDEX(FILTER($C19:AO19, ISNUMBER($C19:AO19)), COUNTA(FILTE"&amp;"R($C19:AO19, ISNUMBER($C19:AO19)))),
lastVal + 'K dynamique'!AO19 * ((SQRT('Résultats des tournois'!AO$2 + 1)/'Résultats des tournois'!AO19) - (1 / (1 + 10^((AO$103 - lastVal)/400)))))
)
))"),"")</f>
        <v/>
      </c>
      <c r="AQ19" s="32" t="str">
        <f>IFERROR(__xludf.DUMMYFUNCTION("IF('Résultats des tournois'!AP$2=0,"""",LET(
lastVal, INDEX(FILTER($B19:AP19, ISNUMBER($B19:AP19)), COUNTA(FILTER($B19:AP19, ISNUMBER($B19:AP19)))),
IFERROR(
IF('Résultats des tournois'!AP19="""", INDEX(FILTER($C19:AP19, ISNUMBER($C19:AP19)), COUNTA(FILTE"&amp;"R($C19:AP19, ISNUMBER($C19:AP19)))),
lastVal + 'K dynamique'!AP19 * ((SQRT('Résultats des tournois'!AP$2 + 1)/'Résultats des tournois'!AP19) - (1 / (1 + 10^((AP$103 - lastVal)/400)))))
)
))"),"")</f>
        <v/>
      </c>
      <c r="AR19" s="32" t="str">
        <f>IFERROR(__xludf.DUMMYFUNCTION("IF('Résultats des tournois'!AQ$2=0,"""",LET(
lastVal, INDEX(FILTER($B19:AQ19, ISNUMBER($B19:AQ19)), COUNTA(FILTER($B19:AQ19, ISNUMBER($B19:AQ19)))),
IFERROR(
IF('Résultats des tournois'!AQ19="""", INDEX(FILTER($C19:AQ19, ISNUMBER($C19:AQ19)), COUNTA(FILTE"&amp;"R($C19:AQ19, ISNUMBER($C19:AQ19)))),
lastVal + 'K dynamique'!AQ19 * ((SQRT('Résultats des tournois'!AQ$2 + 1)/'Résultats des tournois'!AQ19) - (1 / (1 + 10^((AQ$103 - lastVal)/400)))))
)
))"),"")</f>
        <v/>
      </c>
      <c r="AS19" s="32" t="str">
        <f>IFERROR(__xludf.DUMMYFUNCTION("IF('Résultats des tournois'!AR$2=0,"""",LET(
lastVal, INDEX(FILTER($B19:AR19, ISNUMBER($B19:AR19)), COUNTA(FILTER($B19:AR19, ISNUMBER($B19:AR19)))),
IFERROR(
IF('Résultats des tournois'!AR19="""", INDEX(FILTER($C19:AR19, ISNUMBER($C19:AR19)), COUNTA(FILTE"&amp;"R($C19:AR19, ISNUMBER($C19:AR19)))),
lastVal + 'K dynamique'!AR19 * ((SQRT('Résultats des tournois'!AR$2 + 1)/'Résultats des tournois'!AR19) - (1 / (1 + 10^((AR$103 - lastVal)/400)))))
)
))"),"")</f>
        <v/>
      </c>
      <c r="AT19" s="32" t="str">
        <f>IFERROR(__xludf.DUMMYFUNCTION("IF('Résultats des tournois'!AS$2=0,"""",LET(
lastVal, INDEX(FILTER($B19:AS19, ISNUMBER($B19:AS19)), COUNTA(FILTER($B19:AS19, ISNUMBER($B19:AS19)))),
IFERROR(
IF('Résultats des tournois'!AS19="""", INDEX(FILTER($C19:AS19, ISNUMBER($C19:AS19)), COUNTA(FILTE"&amp;"R($C19:AS19, ISNUMBER($C19:AS19)))),
lastVal + 'K dynamique'!AS19 * ((SQRT('Résultats des tournois'!AS$2 + 1)/'Résultats des tournois'!AS19) - (1 / (1 + 10^((AS$103 - lastVal)/400)))))
)
))"),"")</f>
        <v/>
      </c>
      <c r="AU19" s="32" t="str">
        <f>IFERROR(__xludf.DUMMYFUNCTION("IF('Résultats des tournois'!AT$2=0,"""",LET(
lastVal, INDEX(FILTER($B19:AT19, ISNUMBER($B19:AT19)), COUNTA(FILTER($B19:AT19, ISNUMBER($B19:AT19)))),
IFERROR(
IF('Résultats des tournois'!AT19="""", INDEX(FILTER($C19:AT19, ISNUMBER($C19:AT19)), COUNTA(FILTE"&amp;"R($C19:AT19, ISNUMBER($C19:AT19)))),
lastVal + 'K dynamique'!AT19 * ((SQRT('Résultats des tournois'!AT$2 + 1)/'Résultats des tournois'!AT19) - (1 / (1 + 10^((AT$103 - lastVal)/400)))))
)
))"),"")</f>
        <v/>
      </c>
      <c r="AV19" s="32" t="str">
        <f>IFERROR(__xludf.DUMMYFUNCTION("IF('Résultats des tournois'!AU$2=0,"""",LET(
lastVal, INDEX(FILTER($B19:AU19, ISNUMBER($B19:AU19)), COUNTA(FILTER($B19:AU19, ISNUMBER($B19:AU19)))),
IFERROR(
IF('Résultats des tournois'!AU19="""", INDEX(FILTER($C19:AU19, ISNUMBER($C19:AU19)), COUNTA(FILTE"&amp;"R($C19:AU19, ISNUMBER($C19:AU19)))),
lastVal + 'K dynamique'!AU19 * ((SQRT('Résultats des tournois'!AU$2 + 1)/'Résultats des tournois'!AU19) - (1 / (1 + 10^((AU$103 - lastVal)/400)))))
)
))"),"")</f>
        <v/>
      </c>
      <c r="AW19" s="32" t="str">
        <f>IFERROR(__xludf.DUMMYFUNCTION("IF('Résultats des tournois'!AV$2=0,"""",LET(
lastVal, INDEX(FILTER($B19:AV19, ISNUMBER($B19:AV19)), COUNTA(FILTER($B19:AV19, ISNUMBER($B19:AV19)))),
IFERROR(
IF('Résultats des tournois'!AV19="""", INDEX(FILTER($C19:AV19, ISNUMBER($C19:AV19)), COUNTA(FILTE"&amp;"R($C19:AV19, ISNUMBER($C19:AV19)))),
lastVal + 'K dynamique'!AV19 * ((SQRT('Résultats des tournois'!AV$2 + 1)/'Résultats des tournois'!AV19) - (1 / (1 + 10^((AV$103 - lastVal)/400)))))
)
))"),"")</f>
        <v/>
      </c>
      <c r="AX19" s="32" t="str">
        <f>IFERROR(__xludf.DUMMYFUNCTION("IF('Résultats des tournois'!AW$2=0,"""",LET(
lastVal, INDEX(FILTER($B19:AW19, ISNUMBER($B19:AW19)), COUNTA(FILTER($B19:AW19, ISNUMBER($B19:AW19)))),
IFERROR(
IF('Résultats des tournois'!AW19="""", INDEX(FILTER($C19:AW19, ISNUMBER($C19:AW19)), COUNTA(FILTE"&amp;"R($C19:AW19, ISNUMBER($C19:AW19)))),
lastVal + 'K dynamique'!AW19 * ((SQRT('Résultats des tournois'!AW$2 + 1)/'Résultats des tournois'!AW19) - (1 / (1 + 10^((AW$103 - lastVal)/400)))))
)
))"),"")</f>
        <v/>
      </c>
      <c r="AY19" s="32" t="str">
        <f>IFERROR(__xludf.DUMMYFUNCTION("IF('Résultats des tournois'!AX$2=0,"""",LET(
lastVal, INDEX(FILTER($B19:AX19, ISNUMBER($B19:AX19)), COUNTA(FILTER($B19:AX19, ISNUMBER($B19:AX19)))),
IFERROR(
IF('Résultats des tournois'!AX19="""", INDEX(FILTER($C19:AX19, ISNUMBER($C19:AX19)), COUNTA(FILTE"&amp;"R($C19:AX19, ISNUMBER($C19:AX19)))),
lastVal + 'K dynamique'!AX19 * ((SQRT('Résultats des tournois'!AX$2 + 1)/'Résultats des tournois'!AX19) - (1 / (1 + 10^((AX$103 - lastVal)/400)))))
)
))"),"")</f>
        <v/>
      </c>
      <c r="AZ19" s="4">
        <f t="array" ref="AZ19">IF(MAX(($C19:AY19&lt;&gt;"")*COLUMN($C19:AY19))=0,"",INDEX($C19:AY19,1,MAX(($C19:AY19&lt;&gt;"")*COLUMN($C19:AY19))-COLUMN($C19)+1))</f>
        <v>1610.391592</v>
      </c>
      <c r="BA19" s="33">
        <f t="shared" si="1"/>
        <v>8</v>
      </c>
    </row>
    <row r="20" ht="14.25" customHeight="1">
      <c r="A20" s="32" t="str">
        <f>IF('Résultats des tournois'!A20="","",'Résultats des tournois'!A20)</f>
        <v>Falzarr</v>
      </c>
      <c r="B20" s="32">
        <v>1500.0</v>
      </c>
      <c r="C20" s="32" t="str">
        <f>IF('Résultats des tournois'!B20="","",B20+'K dynamique'!B20*((SQRT('Résultats des tournois'!B$2+1)/'Résultats des tournois'!B20)-(1/(1+10^((B20-B20)/400)))))</f>
        <v/>
      </c>
      <c r="D20" s="32" t="str">
        <f>IFERROR(__xludf.DUMMYFUNCTION("IF('Résultats des tournois'!C$2=0,"""",LET(
lastVal, INDEX(FILTER($B20:C20, ISNUMBER($B20:C20)), COUNTA(FILTER($B20:C20, ISNUMBER($B20:C20)))),
IFERROR(
IF('Résultats des tournois'!C20="""", INDEX(FILTER($C20:C20, ISNUMBER($C20:C20)), COUNTA(FILTER($C20:C"&amp;"20, ISNUMBER($C20:C20)))),
lastVal + 'K dynamique'!C20 * ((SQRT('Résultats des tournois'!C$2 + 1)/'Résultats des tournois'!C20) - (1 / (1 + 10^((C$103 - lastVal)/400)))))
)
))"),"")</f>
        <v/>
      </c>
      <c r="E20" s="32" t="str">
        <f>IFERROR(__xludf.DUMMYFUNCTION("IF('Résultats des tournois'!D$2=0,"""",LET(
lastVal, INDEX(FILTER($B20:D20, ISNUMBER($B20:D20)), COUNTA(FILTER($B20:D20, ISNUMBER($B20:D20)))),
IFERROR(
IF('Résultats des tournois'!D20="""", INDEX(FILTER($C20:D20, ISNUMBER($C20:D20)), COUNTA(FILTER($C20:D"&amp;"20, ISNUMBER($C20:D20)))),
lastVal + 'K dynamique'!D20 * ((SQRT('Résultats des tournois'!D$2 + 1)/'Résultats des tournois'!D20) - (1 / (1 + 10^((D$103 - lastVal)/400)))))
)
))"),"")</f>
        <v/>
      </c>
      <c r="F20" s="32" t="str">
        <f>IFERROR(__xludf.DUMMYFUNCTION("IF('Résultats des tournois'!E$2=0,"""",LET(
lastVal, INDEX(FILTER($B20:E20, ISNUMBER($B20:E20)), COUNTA(FILTER($B20:E20, ISNUMBER($B20:E20)))),
IFERROR(
IF('Résultats des tournois'!E20="""", INDEX(FILTER($C20:E20, ISNUMBER($C20:E20)), COUNTA(FILTER($C20:E"&amp;"20, ISNUMBER($C20:E20)))),
lastVal + 'K dynamique'!E20 * ((SQRT('Résultats des tournois'!E$2 + 1)/'Résultats des tournois'!E20) - (1 / (1 + 10^((E$103 - lastVal)/400)))))
)
))"),"")</f>
        <v/>
      </c>
      <c r="G20" s="32">
        <f>IFERROR(__xludf.DUMMYFUNCTION("IF('Résultats des tournois'!F$2=0,"""",LET(
lastVal, INDEX(FILTER($B20:F20, ISNUMBER($B20:F20)), COUNTA(FILTER($B20:F20, ISNUMBER($B20:F20)))),
IFERROR(
IF('Résultats des tournois'!F20="""", INDEX(FILTER($C20:F20, ISNUMBER($C20:F20)), COUNTA(FILTER($C20:F"&amp;"20, ISNUMBER($C20:F20)))),
lastVal + 'K dynamique'!F20 * ((SQRT('Résultats des tournois'!F$2 + 1)/'Résultats des tournois'!F20) - (1 / (1 + 10^((F$103 - lastVal)/400)))))
)
))"),1496.395270712618)</f>
        <v>1496.395271</v>
      </c>
      <c r="H20" s="32">
        <f>IFERROR(__xludf.DUMMYFUNCTION("IF('Résultats des tournois'!G$2=0,"""",LET(
lastVal, INDEX(FILTER($B20:G20, ISNUMBER($B20:G20)), COUNTA(FILTER($B20:G20, ISNUMBER($B20:G20)))),
IFERROR(
IF('Résultats des tournois'!G20="""", INDEX(FILTER($C20:G20, ISNUMBER($C20:G20)), COUNTA(FILTER($C20:G"&amp;"20, ISNUMBER($C20:G20)))),
lastVal + 'K dynamique'!G20 * ((SQRT('Résultats des tournois'!G$2 + 1)/'Résultats des tournois'!G20) - (1 / (1 + 10^((G$103 - lastVal)/400)))))
)
))"),1496.395270712618)</f>
        <v>1496.395271</v>
      </c>
      <c r="I20" s="32">
        <f>IFERROR(__xludf.DUMMYFUNCTION("IF('Résultats des tournois'!H$2=0,"""",LET(
lastVal, INDEX(FILTER($B20:H20, ISNUMBER($B20:H20)), COUNTA(FILTER($B20:H20, ISNUMBER($B20:H20)))),
IFERROR(
IF('Résultats des tournois'!H20="""", INDEX(FILTER($C20:H20, ISNUMBER($C20:H20)), COUNTA(FILTER($C20:H"&amp;"20, ISNUMBER($C20:H20)))),
lastVal + 'K dynamique'!H20 * ((SQRT('Résultats des tournois'!H$2 + 1)/'Résultats des tournois'!H20) - (1 / (1 + 10^((H$103 - lastVal)/400)))))
)
))"),1496.395270712618)</f>
        <v>1496.395271</v>
      </c>
      <c r="J20" s="32">
        <f>IFERROR(__xludf.DUMMYFUNCTION("IF('Résultats des tournois'!I$2=0,"""",LET(
lastVal, INDEX(FILTER($B20:I20, ISNUMBER($B20:I20)), COUNTA(FILTER($B20:I20, ISNUMBER($B20:I20)))),
IFERROR(
IF('Résultats des tournois'!I20="""", INDEX(FILTER($C20:I20, ISNUMBER($C20:I20)), COUNTA(FILTER($C20:I"&amp;"20, ISNUMBER($C20:I20)))),
lastVal + 'K dynamique'!I20 * ((SQRT('Résultats des tournois'!I$2 + 1)/'Résultats des tournois'!I20) - (1 / (1 + 10^((I$103 - lastVal)/400)))))
)
))"),1496.395270712618)</f>
        <v>1496.395271</v>
      </c>
      <c r="K20" s="32">
        <f>IFERROR(__xludf.DUMMYFUNCTION("IF('Résultats des tournois'!J$2=0,"""",LET(
lastVal, INDEX(FILTER($B20:J20, ISNUMBER($B20:J20)), COUNTA(FILTER($B20:J20, ISNUMBER($B20:J20)))),
IFERROR(
IF('Résultats des tournois'!J20="""", INDEX(FILTER($C20:J20, ISNUMBER($C20:J20)), COUNTA(FILTER($C20:J"&amp;"20, ISNUMBER($C20:J20)))),
lastVal + 'K dynamique'!J20 * ((SQRT('Résultats des tournois'!J$2 + 1)/'Résultats des tournois'!J20) - (1 / (1 + 10^((J$103 - lastVal)/400)))))
)
))"),1496.395270712618)</f>
        <v>1496.395271</v>
      </c>
      <c r="L20" s="32">
        <f>IFERROR(__xludf.DUMMYFUNCTION("IF('Résultats des tournois'!K$2=0,"""",LET(
lastVal, INDEX(FILTER($B20:K20, ISNUMBER($B20:K20)), COUNTA(FILTER($B20:K20, ISNUMBER($B20:K20)))),
IFERROR(
IF('Résultats des tournois'!K20="""", INDEX(FILTER($C20:K20, ISNUMBER($C20:K20)), COUNTA(FILTER($C20:K"&amp;"20, ISNUMBER($C20:K20)))),
lastVal + 'K dynamique'!K20 * ((SQRT('Résultats des tournois'!K$2 + 1)/'Résultats des tournois'!K20) - (1 / (1 + 10^((K$103 - lastVal)/400)))))
)
))"),1496.395270712618)</f>
        <v>1496.395271</v>
      </c>
      <c r="M20" s="32">
        <f>IFERROR(__xludf.DUMMYFUNCTION("IF('Résultats des tournois'!L$2=0,"""",LET(
lastVal, INDEX(FILTER($B20:L20, ISNUMBER($B20:L20)), COUNTA(FILTER($B20:L20, ISNUMBER($B20:L20)))),
IFERROR(
IF('Résultats des tournois'!L20="""", INDEX(FILTER($C20:L20, ISNUMBER($C20:L20)), COUNTA(FILTER($C20:L"&amp;"20, ISNUMBER($C20:L20)))),
lastVal + 'K dynamique'!L20 * ((SQRT('Résultats des tournois'!L$2 + 1)/'Résultats des tournois'!L20) - (1 / (1 + 10^((L$103 - lastVal)/400)))))
)
))"),1496.395270712618)</f>
        <v>1496.395271</v>
      </c>
      <c r="N20" s="32" t="str">
        <f>IFERROR(__xludf.DUMMYFUNCTION("IF('Résultats des tournois'!M$2=0,"""",LET(
lastVal, INDEX(FILTER($B20:M20, ISNUMBER($B20:M20)), COUNTA(FILTER($B20:M20, ISNUMBER($B20:M20)))),
IFERROR(
IF('Résultats des tournois'!M20="""", INDEX(FILTER($C20:M20, ISNUMBER($C20:M20)), COUNTA(FILTER($C20:M"&amp;"20, ISNUMBER($C20:M20)))),
lastVal + 'K dynamique'!M20 * ((SQRT('Résultats des tournois'!M$2 + 1)/'Résultats des tournois'!M20) - (1 / (1 + 10^((M$103 - lastVal)/400)))))
)
))"),"")</f>
        <v/>
      </c>
      <c r="O20" s="32" t="str">
        <f>IFERROR(__xludf.DUMMYFUNCTION("IF('Résultats des tournois'!N$2=0,"""",LET(
lastVal, INDEX(FILTER($B20:N20, ISNUMBER($B20:N20)), COUNTA(FILTER($B20:N20, ISNUMBER($B20:N20)))),
IFERROR(
IF('Résultats des tournois'!N20="""", INDEX(FILTER($C20:N20, ISNUMBER($C20:N20)), COUNTA(FILTER($C20:N"&amp;"20, ISNUMBER($C20:N20)))),
lastVal + 'K dynamique'!N20 * ((SQRT('Résultats des tournois'!N$2 + 1)/'Résultats des tournois'!N20) - (1 / (1 + 10^((N$103 - lastVal)/400)))))
)
))"),"")</f>
        <v/>
      </c>
      <c r="P20" s="32" t="str">
        <f>IFERROR(__xludf.DUMMYFUNCTION("IF('Résultats des tournois'!O$2=0,"""",LET(
lastVal, INDEX(FILTER($B20:O20, ISNUMBER($B20:O20)), COUNTA(FILTER($B20:O20, ISNUMBER($B20:O20)))),
IFERROR(
IF('Résultats des tournois'!O20="""", INDEX(FILTER($C20:O20, ISNUMBER($C20:O20)), COUNTA(FILTER($C20:O"&amp;"20, ISNUMBER($C20:O20)))),
lastVal + 'K dynamique'!O20 * ((SQRT('Résultats des tournois'!O$2 + 1)/'Résultats des tournois'!O20) - (1 / (1 + 10^((O$103 - lastVal)/400)))))
)
))"),"")</f>
        <v/>
      </c>
      <c r="Q20" s="32" t="str">
        <f>IFERROR(__xludf.DUMMYFUNCTION("IF('Résultats des tournois'!P$2=0,"""",LET(
lastVal, INDEX(FILTER($B20:P20, ISNUMBER($B20:P20)), COUNTA(FILTER($B20:P20, ISNUMBER($B20:P20)))),
IFERROR(
IF('Résultats des tournois'!P20="""", INDEX(FILTER($C20:P20, ISNUMBER($C20:P20)), COUNTA(FILTER($C20:P"&amp;"20, ISNUMBER($C20:P20)))),
lastVal + 'K dynamique'!P20 * ((SQRT('Résultats des tournois'!P$2 + 1)/'Résultats des tournois'!P20) - (1 / (1 + 10^((P$103 - lastVal)/400)))))
)
))"),"")</f>
        <v/>
      </c>
      <c r="R20" s="32" t="str">
        <f>IFERROR(__xludf.DUMMYFUNCTION("IF('Résultats des tournois'!Q$2=0,"""",LET(
lastVal, INDEX(FILTER($B20:Q20, ISNUMBER($B20:Q20)), COUNTA(FILTER($B20:Q20, ISNUMBER($B20:Q20)))),
IFERROR(
IF('Résultats des tournois'!Q20="""", INDEX(FILTER($C20:Q20, ISNUMBER($C20:Q20)), COUNTA(FILTER($C20:Q"&amp;"20, ISNUMBER($C20:Q20)))),
lastVal + 'K dynamique'!Q20 * ((SQRT('Résultats des tournois'!Q$2 + 1)/'Résultats des tournois'!Q20) - (1 / (1 + 10^((Q$103 - lastVal)/400)))))
)
))"),"")</f>
        <v/>
      </c>
      <c r="S20" s="32" t="str">
        <f>IFERROR(__xludf.DUMMYFUNCTION("IF('Résultats des tournois'!R$2=0,"""",LET(
lastVal, INDEX(FILTER($B20:R20, ISNUMBER($B20:R20)), COUNTA(FILTER($B20:R20, ISNUMBER($B20:R20)))),
IFERROR(
IF('Résultats des tournois'!R20="""", INDEX(FILTER($C20:R20, ISNUMBER($C20:R20)), COUNTA(FILTER($C20:R"&amp;"20, ISNUMBER($C20:R20)))),
lastVal + 'K dynamique'!R20 * ((SQRT('Résultats des tournois'!R$2 + 1)/'Résultats des tournois'!R20) - (1 / (1 + 10^((R$103 - lastVal)/400)))))
)
))"),"")</f>
        <v/>
      </c>
      <c r="T20" s="32" t="str">
        <f>IFERROR(__xludf.DUMMYFUNCTION("IF('Résultats des tournois'!S$2=0,"""",LET(
lastVal, INDEX(FILTER($B20:S20, ISNUMBER($B20:S20)), COUNTA(FILTER($B20:S20, ISNUMBER($B20:S20)))),
IFERROR(
IF('Résultats des tournois'!S20="""", INDEX(FILTER($C20:S20, ISNUMBER($C20:S20)), COUNTA(FILTER($C20:S"&amp;"20, ISNUMBER($C20:S20)))),
lastVal + 'K dynamique'!S20 * ((SQRT('Résultats des tournois'!S$2 + 1)/'Résultats des tournois'!S20) - (1 / (1 + 10^((S$103 - lastVal)/400)))))
)
))"),"")</f>
        <v/>
      </c>
      <c r="U20" s="32" t="str">
        <f>IFERROR(__xludf.DUMMYFUNCTION("IF('Résultats des tournois'!T$2=0,"""",LET(
lastVal, INDEX(FILTER($B20:T20, ISNUMBER($B20:T20)), COUNTA(FILTER($B20:T20, ISNUMBER($B20:T20)))),
IFERROR(
IF('Résultats des tournois'!T20="""", INDEX(FILTER($C20:T20, ISNUMBER($C20:T20)), COUNTA(FILTER($C20:T"&amp;"20, ISNUMBER($C20:T20)))),
lastVal + 'K dynamique'!T20 * ((SQRT('Résultats des tournois'!T$2 + 1)/'Résultats des tournois'!T20) - (1 / (1 + 10^((T$103 - lastVal)/400)))))
)
))"),"")</f>
        <v/>
      </c>
      <c r="V20" s="32" t="str">
        <f>IFERROR(__xludf.DUMMYFUNCTION("IF('Résultats des tournois'!U$2=0,"""",LET(
lastVal, INDEX(FILTER($B20:U20, ISNUMBER($B20:U20)), COUNTA(FILTER($B20:U20, ISNUMBER($B20:U20)))),
IFERROR(
IF('Résultats des tournois'!U20="""", INDEX(FILTER($C20:U20, ISNUMBER($C20:U20)), COUNTA(FILTER($C20:U"&amp;"20, ISNUMBER($C20:U20)))),
lastVal + 'K dynamique'!U20 * ((SQRT('Résultats des tournois'!U$2 + 1)/'Résultats des tournois'!U20) - (1 / (1 + 10^((U$103 - lastVal)/400)))))
)
))"),"")</f>
        <v/>
      </c>
      <c r="W20" s="32" t="str">
        <f>IFERROR(__xludf.DUMMYFUNCTION("IF('Résultats des tournois'!V$2=0,"""",LET(
lastVal, INDEX(FILTER($B20:V20, ISNUMBER($B20:V20)), COUNTA(FILTER($B20:V20, ISNUMBER($B20:V20)))),
IFERROR(
IF('Résultats des tournois'!V20="""", INDEX(FILTER($C20:V20, ISNUMBER($C20:V20)), COUNTA(FILTER($C20:V"&amp;"20, ISNUMBER($C20:V20)))),
lastVal + 'K dynamique'!V20 * ((SQRT('Résultats des tournois'!V$2 + 1)/'Résultats des tournois'!V20) - (1 / (1 + 10^((V$103 - lastVal)/400)))))
)
))"),"")</f>
        <v/>
      </c>
      <c r="X20" s="32" t="str">
        <f>IFERROR(__xludf.DUMMYFUNCTION("IF('Résultats des tournois'!W$2=0,"""",LET(
lastVal, INDEX(FILTER($B20:W20, ISNUMBER($B20:W20)), COUNTA(FILTER($B20:W20, ISNUMBER($B20:W20)))),
IFERROR(
IF('Résultats des tournois'!W20="""", INDEX(FILTER($C20:W20, ISNUMBER($C20:W20)), COUNTA(FILTER($C20:W"&amp;"20, ISNUMBER($C20:W20)))),
lastVal + 'K dynamique'!W20 * ((SQRT('Résultats des tournois'!W$2 + 1)/'Résultats des tournois'!W20) - (1 / (1 + 10^((W$103 - lastVal)/400)))))
)
))"),"")</f>
        <v/>
      </c>
      <c r="Y20" s="32" t="str">
        <f>IFERROR(__xludf.DUMMYFUNCTION("IF('Résultats des tournois'!X$2=0,"""",LET(
lastVal, INDEX(FILTER($B20:X20, ISNUMBER($B20:X20)), COUNTA(FILTER($B20:X20, ISNUMBER($B20:X20)))),
IFERROR(
IF('Résultats des tournois'!X20="""", INDEX(FILTER($C20:X20, ISNUMBER($C20:X20)), COUNTA(FILTER($C20:X"&amp;"20, ISNUMBER($C20:X20)))),
lastVal + 'K dynamique'!X20 * ((SQRT('Résultats des tournois'!X$2 + 1)/'Résultats des tournois'!X20) - (1 / (1 + 10^((X$103 - lastVal)/400)))))
)
))"),"")</f>
        <v/>
      </c>
      <c r="Z20" s="32" t="str">
        <f>IFERROR(__xludf.DUMMYFUNCTION("IF('Résultats des tournois'!Y$2=0,"""",LET(
lastVal, INDEX(FILTER($B20:Y20, ISNUMBER($B20:Y20)), COUNTA(FILTER($B20:Y20, ISNUMBER($B20:Y20)))),
IFERROR(
IF('Résultats des tournois'!Y20="""", INDEX(FILTER($C20:Y20, ISNUMBER($C20:Y20)), COUNTA(FILTER($C20:Y"&amp;"20, ISNUMBER($C20:Y20)))),
lastVal + 'K dynamique'!Y20 * ((SQRT('Résultats des tournois'!Y$2 + 1)/'Résultats des tournois'!Y20) - (1 / (1 + 10^((Y$103 - lastVal)/400)))))
)
))"),"")</f>
        <v/>
      </c>
      <c r="AA20" s="32" t="str">
        <f>IFERROR(__xludf.DUMMYFUNCTION("IF('Résultats des tournois'!Z$2=0,"""",LET(
lastVal, INDEX(FILTER($B20:Z20, ISNUMBER($B20:Z20)), COUNTA(FILTER($B20:Z20, ISNUMBER($B20:Z20)))),
IFERROR(
IF('Résultats des tournois'!Z20="""", INDEX(FILTER($C20:Z20, ISNUMBER($C20:Z20)), COUNTA(FILTER($C20:Z"&amp;"20, ISNUMBER($C20:Z20)))),
lastVal + 'K dynamique'!Z20 * ((SQRT('Résultats des tournois'!Z$2 + 1)/'Résultats des tournois'!Z20) - (1 / (1 + 10^((Z$103 - lastVal)/400)))))
)
))"),"")</f>
        <v/>
      </c>
      <c r="AB20" s="32" t="str">
        <f>IFERROR(__xludf.DUMMYFUNCTION("IF('Résultats des tournois'!AA$2=0,"""",LET(
lastVal, INDEX(FILTER($B20:AA20, ISNUMBER($B20:AA20)), COUNTA(FILTER($B20:AA20, ISNUMBER($B20:AA20)))),
IFERROR(
IF('Résultats des tournois'!AA20="""", INDEX(FILTER($C20:AA20, ISNUMBER($C20:AA20)), COUNTA(FILTE"&amp;"R($C20:AA20, ISNUMBER($C20:AA20)))),
lastVal + 'K dynamique'!AA20 * ((SQRT('Résultats des tournois'!AA$2 + 1)/'Résultats des tournois'!AA20) - (1 / (1 + 10^((AA$103 - lastVal)/400)))))
)
))"),"")</f>
        <v/>
      </c>
      <c r="AC20" s="32" t="str">
        <f>IFERROR(__xludf.DUMMYFUNCTION("IF('Résultats des tournois'!AB$2=0,"""",LET(
lastVal, INDEX(FILTER($B20:AB20, ISNUMBER($B20:AB20)), COUNTA(FILTER($B20:AB20, ISNUMBER($B20:AB20)))),
IFERROR(
IF('Résultats des tournois'!AB20="""", INDEX(FILTER($C20:AB20, ISNUMBER($C20:AB20)), COUNTA(FILTE"&amp;"R($C20:AB20, ISNUMBER($C20:AB20)))),
lastVal + 'K dynamique'!AB20 * ((SQRT('Résultats des tournois'!AB$2 + 1)/'Résultats des tournois'!AB20) - (1 / (1 + 10^((AB$103 - lastVal)/400)))))
)
))"),"")</f>
        <v/>
      </c>
      <c r="AD20" s="32" t="str">
        <f>IFERROR(__xludf.DUMMYFUNCTION("IF('Résultats des tournois'!AC$2=0,"""",LET(
lastVal, INDEX(FILTER($B20:AC20, ISNUMBER($B20:AC20)), COUNTA(FILTER($B20:AC20, ISNUMBER($B20:AC20)))),
IFERROR(
IF('Résultats des tournois'!AC20="""", INDEX(FILTER($C20:AC20, ISNUMBER($C20:AC20)), COUNTA(FILTE"&amp;"R($C20:AC20, ISNUMBER($C20:AC20)))),
lastVal + 'K dynamique'!AC20 * ((SQRT('Résultats des tournois'!AC$2 + 1)/'Résultats des tournois'!AC20) - (1 / (1 + 10^((AC$103 - lastVal)/400)))))
)
))"),"")</f>
        <v/>
      </c>
      <c r="AE20" s="32" t="str">
        <f>IFERROR(__xludf.DUMMYFUNCTION("IF('Résultats des tournois'!AD$2=0,"""",LET(
lastVal, INDEX(FILTER($B20:AD20, ISNUMBER($B20:AD20)), COUNTA(FILTER($B20:AD20, ISNUMBER($B20:AD20)))),
IFERROR(
IF('Résultats des tournois'!AD20="""", INDEX(FILTER($C20:AD20, ISNUMBER($C20:AD20)), COUNTA(FILTE"&amp;"R($C20:AD20, ISNUMBER($C20:AD20)))),
lastVal + 'K dynamique'!AD20 * ((SQRT('Résultats des tournois'!AD$2 + 1)/'Résultats des tournois'!AD20) - (1 / (1 + 10^((AD$103 - lastVal)/400)))))
)
))"),"")</f>
        <v/>
      </c>
      <c r="AF20" s="32" t="str">
        <f>IFERROR(__xludf.DUMMYFUNCTION("IF('Résultats des tournois'!AE$2=0,"""",LET(
lastVal, INDEX(FILTER($B20:AE20, ISNUMBER($B20:AE20)), COUNTA(FILTER($B20:AE20, ISNUMBER($B20:AE20)))),
IFERROR(
IF('Résultats des tournois'!AE20="""", INDEX(FILTER($C20:AE20, ISNUMBER($C20:AE20)), COUNTA(FILTE"&amp;"R($C20:AE20, ISNUMBER($C20:AE20)))),
lastVal + 'K dynamique'!AE20 * ((SQRT('Résultats des tournois'!AE$2 + 1)/'Résultats des tournois'!AE20) - (1 / (1 + 10^((AE$103 - lastVal)/400)))))
)
))"),"")</f>
        <v/>
      </c>
      <c r="AG20" s="32" t="str">
        <f>IFERROR(__xludf.DUMMYFUNCTION("IF('Résultats des tournois'!AF$2=0,"""",LET(
lastVal, INDEX(FILTER($B20:AF20, ISNUMBER($B20:AF20)), COUNTA(FILTER($B20:AF20, ISNUMBER($B20:AF20)))),
IFERROR(
IF('Résultats des tournois'!AF20="""", INDEX(FILTER($C20:AF20, ISNUMBER($C20:AF20)), COUNTA(FILTE"&amp;"R($C20:AF20, ISNUMBER($C20:AF20)))),
lastVal + 'K dynamique'!AF20 * ((SQRT('Résultats des tournois'!AF$2 + 1)/'Résultats des tournois'!AF20) - (1 / (1 + 10^((AF$103 - lastVal)/400)))))
)
))"),"")</f>
        <v/>
      </c>
      <c r="AH20" s="32" t="str">
        <f>IFERROR(__xludf.DUMMYFUNCTION("IF('Résultats des tournois'!AG$2=0,"""",LET(
lastVal, INDEX(FILTER($B20:AG20, ISNUMBER($B20:AG20)), COUNTA(FILTER($B20:AG20, ISNUMBER($B20:AG20)))),
IFERROR(
IF('Résultats des tournois'!AG20="""", INDEX(FILTER($C20:AG20, ISNUMBER($C20:AG20)), COUNTA(FILTE"&amp;"R($C20:AG20, ISNUMBER($C20:AG20)))),
lastVal + 'K dynamique'!AG20 * ((SQRT('Résultats des tournois'!AG$2 + 1)/'Résultats des tournois'!AG20) - (1 / (1 + 10^((AG$103 - lastVal)/400)))))
)
))"),"")</f>
        <v/>
      </c>
      <c r="AI20" s="32" t="str">
        <f>IFERROR(__xludf.DUMMYFUNCTION("IF('Résultats des tournois'!AH$2=0,"""",LET(
lastVal, INDEX(FILTER($B20:AH20, ISNUMBER($B20:AH20)), COUNTA(FILTER($B20:AH20, ISNUMBER($B20:AH20)))),
IFERROR(
IF('Résultats des tournois'!AH20="""", INDEX(FILTER($C20:AH20, ISNUMBER($C20:AH20)), COUNTA(FILTE"&amp;"R($C20:AH20, ISNUMBER($C20:AH20)))),
lastVal + 'K dynamique'!AH20 * ((SQRT('Résultats des tournois'!AH$2 + 1)/'Résultats des tournois'!AH20) - (1 / (1 + 10^((AH$103 - lastVal)/400)))))
)
))"),"")</f>
        <v/>
      </c>
      <c r="AJ20" s="32" t="str">
        <f>IFERROR(__xludf.DUMMYFUNCTION("IF('Résultats des tournois'!AI$2=0,"""",LET(
lastVal, INDEX(FILTER($B20:AI20, ISNUMBER($B20:AI20)), COUNTA(FILTER($B20:AI20, ISNUMBER($B20:AI20)))),
IFERROR(
IF('Résultats des tournois'!AI20="""", INDEX(FILTER($C20:AI20, ISNUMBER($C20:AI20)), COUNTA(FILTE"&amp;"R($C20:AI20, ISNUMBER($C20:AI20)))),
lastVal + 'K dynamique'!AI20 * ((SQRT('Résultats des tournois'!AI$2 + 1)/'Résultats des tournois'!AI20) - (1 / (1 + 10^((AI$103 - lastVal)/400)))))
)
))"),"")</f>
        <v/>
      </c>
      <c r="AK20" s="32" t="str">
        <f>IFERROR(__xludf.DUMMYFUNCTION("IF('Résultats des tournois'!AJ$2=0,"""",LET(
lastVal, INDEX(FILTER($B20:AJ20, ISNUMBER($B20:AJ20)), COUNTA(FILTER($B20:AJ20, ISNUMBER($B20:AJ20)))),
IFERROR(
IF('Résultats des tournois'!AJ20="""", INDEX(FILTER($C20:AJ20, ISNUMBER($C20:AJ20)), COUNTA(FILTE"&amp;"R($C20:AJ20, ISNUMBER($C20:AJ20)))),
lastVal + 'K dynamique'!AJ20 * ((SQRT('Résultats des tournois'!AJ$2 + 1)/'Résultats des tournois'!AJ20) - (1 / (1 + 10^((AJ$103 - lastVal)/400)))))
)
))"),"")</f>
        <v/>
      </c>
      <c r="AL20" s="32" t="str">
        <f>IFERROR(__xludf.DUMMYFUNCTION("IF('Résultats des tournois'!AK$2=0,"""",LET(
lastVal, INDEX(FILTER($B20:AK20, ISNUMBER($B20:AK20)), COUNTA(FILTER($B20:AK20, ISNUMBER($B20:AK20)))),
IFERROR(
IF('Résultats des tournois'!AK20="""", INDEX(FILTER($C20:AK20, ISNUMBER($C20:AK20)), COUNTA(FILTE"&amp;"R($C20:AK20, ISNUMBER($C20:AK20)))),
lastVal + 'K dynamique'!AK20 * ((SQRT('Résultats des tournois'!AK$2 + 1)/'Résultats des tournois'!AK20) - (1 / (1 + 10^((AK$103 - lastVal)/400)))))
)
))"),"")</f>
        <v/>
      </c>
      <c r="AM20" s="32" t="str">
        <f>IFERROR(__xludf.DUMMYFUNCTION("IF('Résultats des tournois'!AL$2=0,"""",LET(
lastVal, INDEX(FILTER($B20:AL20, ISNUMBER($B20:AL20)), COUNTA(FILTER($B20:AL20, ISNUMBER($B20:AL20)))),
IFERROR(
IF('Résultats des tournois'!AL20="""", INDEX(FILTER($C20:AL20, ISNUMBER($C20:AL20)), COUNTA(FILTE"&amp;"R($C20:AL20, ISNUMBER($C20:AL20)))),
lastVal + 'K dynamique'!AL20 * ((SQRT('Résultats des tournois'!AL$2 + 1)/'Résultats des tournois'!AL20) - (1 / (1 + 10^((AL$103 - lastVal)/400)))))
)
))"),"")</f>
        <v/>
      </c>
      <c r="AN20" s="32" t="str">
        <f>IFERROR(__xludf.DUMMYFUNCTION("IF('Résultats des tournois'!AM$2=0,"""",LET(
lastVal, INDEX(FILTER($B20:AM20, ISNUMBER($B20:AM20)), COUNTA(FILTER($B20:AM20, ISNUMBER($B20:AM20)))),
IFERROR(
IF('Résultats des tournois'!AM20="""", INDEX(FILTER($C20:AM20, ISNUMBER($C20:AM20)), COUNTA(FILTE"&amp;"R($C20:AM20, ISNUMBER($C20:AM20)))),
lastVal + 'K dynamique'!AM20 * ((SQRT('Résultats des tournois'!AM$2 + 1)/'Résultats des tournois'!AM20) - (1 / (1 + 10^((AM$103 - lastVal)/400)))))
)
))"),"")</f>
        <v/>
      </c>
      <c r="AO20" s="32" t="str">
        <f>IFERROR(__xludf.DUMMYFUNCTION("IF('Résultats des tournois'!AN$2=0,"""",LET(
lastVal, INDEX(FILTER($B20:AN20, ISNUMBER($B20:AN20)), COUNTA(FILTER($B20:AN20, ISNUMBER($B20:AN20)))),
IFERROR(
IF('Résultats des tournois'!AN20="""", INDEX(FILTER($C20:AN20, ISNUMBER($C20:AN20)), COUNTA(FILTE"&amp;"R($C20:AN20, ISNUMBER($C20:AN20)))),
lastVal + 'K dynamique'!AN20 * ((SQRT('Résultats des tournois'!AN$2 + 1)/'Résultats des tournois'!AN20) - (1 / (1 + 10^((AN$103 - lastVal)/400)))))
)
))"),"")</f>
        <v/>
      </c>
      <c r="AP20" s="32" t="str">
        <f>IFERROR(__xludf.DUMMYFUNCTION("IF('Résultats des tournois'!AO$2=0,"""",LET(
lastVal, INDEX(FILTER($B20:AO20, ISNUMBER($B20:AO20)), COUNTA(FILTER($B20:AO20, ISNUMBER($B20:AO20)))),
IFERROR(
IF('Résultats des tournois'!AO20="""", INDEX(FILTER($C20:AO20, ISNUMBER($C20:AO20)), COUNTA(FILTE"&amp;"R($C20:AO20, ISNUMBER($C20:AO20)))),
lastVal + 'K dynamique'!AO20 * ((SQRT('Résultats des tournois'!AO$2 + 1)/'Résultats des tournois'!AO20) - (1 / (1 + 10^((AO$103 - lastVal)/400)))))
)
))"),"")</f>
        <v/>
      </c>
      <c r="AQ20" s="32" t="str">
        <f>IFERROR(__xludf.DUMMYFUNCTION("IF('Résultats des tournois'!AP$2=0,"""",LET(
lastVal, INDEX(FILTER($B20:AP20, ISNUMBER($B20:AP20)), COUNTA(FILTER($B20:AP20, ISNUMBER($B20:AP20)))),
IFERROR(
IF('Résultats des tournois'!AP20="""", INDEX(FILTER($C20:AP20, ISNUMBER($C20:AP20)), COUNTA(FILTE"&amp;"R($C20:AP20, ISNUMBER($C20:AP20)))),
lastVal + 'K dynamique'!AP20 * ((SQRT('Résultats des tournois'!AP$2 + 1)/'Résultats des tournois'!AP20) - (1 / (1 + 10^((AP$103 - lastVal)/400)))))
)
))"),"")</f>
        <v/>
      </c>
      <c r="AR20" s="32" t="str">
        <f>IFERROR(__xludf.DUMMYFUNCTION("IF('Résultats des tournois'!AQ$2=0,"""",LET(
lastVal, INDEX(FILTER($B20:AQ20, ISNUMBER($B20:AQ20)), COUNTA(FILTER($B20:AQ20, ISNUMBER($B20:AQ20)))),
IFERROR(
IF('Résultats des tournois'!AQ20="""", INDEX(FILTER($C20:AQ20, ISNUMBER($C20:AQ20)), COUNTA(FILTE"&amp;"R($C20:AQ20, ISNUMBER($C20:AQ20)))),
lastVal + 'K dynamique'!AQ20 * ((SQRT('Résultats des tournois'!AQ$2 + 1)/'Résultats des tournois'!AQ20) - (1 / (1 + 10^((AQ$103 - lastVal)/400)))))
)
))"),"")</f>
        <v/>
      </c>
      <c r="AS20" s="32" t="str">
        <f>IFERROR(__xludf.DUMMYFUNCTION("IF('Résultats des tournois'!AR$2=0,"""",LET(
lastVal, INDEX(FILTER($B20:AR20, ISNUMBER($B20:AR20)), COUNTA(FILTER($B20:AR20, ISNUMBER($B20:AR20)))),
IFERROR(
IF('Résultats des tournois'!AR20="""", INDEX(FILTER($C20:AR20, ISNUMBER($C20:AR20)), COUNTA(FILTE"&amp;"R($C20:AR20, ISNUMBER($C20:AR20)))),
lastVal + 'K dynamique'!AR20 * ((SQRT('Résultats des tournois'!AR$2 + 1)/'Résultats des tournois'!AR20) - (1 / (1 + 10^((AR$103 - lastVal)/400)))))
)
))"),"")</f>
        <v/>
      </c>
      <c r="AT20" s="32" t="str">
        <f>IFERROR(__xludf.DUMMYFUNCTION("IF('Résultats des tournois'!AS$2=0,"""",LET(
lastVal, INDEX(FILTER($B20:AS20, ISNUMBER($B20:AS20)), COUNTA(FILTER($B20:AS20, ISNUMBER($B20:AS20)))),
IFERROR(
IF('Résultats des tournois'!AS20="""", INDEX(FILTER($C20:AS20, ISNUMBER($C20:AS20)), COUNTA(FILTE"&amp;"R($C20:AS20, ISNUMBER($C20:AS20)))),
lastVal + 'K dynamique'!AS20 * ((SQRT('Résultats des tournois'!AS$2 + 1)/'Résultats des tournois'!AS20) - (1 / (1 + 10^((AS$103 - lastVal)/400)))))
)
))"),"")</f>
        <v/>
      </c>
      <c r="AU20" s="32" t="str">
        <f>IFERROR(__xludf.DUMMYFUNCTION("IF('Résultats des tournois'!AT$2=0,"""",LET(
lastVal, INDEX(FILTER($B20:AT20, ISNUMBER($B20:AT20)), COUNTA(FILTER($B20:AT20, ISNUMBER($B20:AT20)))),
IFERROR(
IF('Résultats des tournois'!AT20="""", INDEX(FILTER($C20:AT20, ISNUMBER($C20:AT20)), COUNTA(FILTE"&amp;"R($C20:AT20, ISNUMBER($C20:AT20)))),
lastVal + 'K dynamique'!AT20 * ((SQRT('Résultats des tournois'!AT$2 + 1)/'Résultats des tournois'!AT20) - (1 / (1 + 10^((AT$103 - lastVal)/400)))))
)
))"),"")</f>
        <v/>
      </c>
      <c r="AV20" s="32" t="str">
        <f>IFERROR(__xludf.DUMMYFUNCTION("IF('Résultats des tournois'!AU$2=0,"""",LET(
lastVal, INDEX(FILTER($B20:AU20, ISNUMBER($B20:AU20)), COUNTA(FILTER($B20:AU20, ISNUMBER($B20:AU20)))),
IFERROR(
IF('Résultats des tournois'!AU20="""", INDEX(FILTER($C20:AU20, ISNUMBER($C20:AU20)), COUNTA(FILTE"&amp;"R($C20:AU20, ISNUMBER($C20:AU20)))),
lastVal + 'K dynamique'!AU20 * ((SQRT('Résultats des tournois'!AU$2 + 1)/'Résultats des tournois'!AU20) - (1 / (1 + 10^((AU$103 - lastVal)/400)))))
)
))"),"")</f>
        <v/>
      </c>
      <c r="AW20" s="32" t="str">
        <f>IFERROR(__xludf.DUMMYFUNCTION("IF('Résultats des tournois'!AV$2=0,"""",LET(
lastVal, INDEX(FILTER($B20:AV20, ISNUMBER($B20:AV20)), COUNTA(FILTER($B20:AV20, ISNUMBER($B20:AV20)))),
IFERROR(
IF('Résultats des tournois'!AV20="""", INDEX(FILTER($C20:AV20, ISNUMBER($C20:AV20)), COUNTA(FILTE"&amp;"R($C20:AV20, ISNUMBER($C20:AV20)))),
lastVal + 'K dynamique'!AV20 * ((SQRT('Résultats des tournois'!AV$2 + 1)/'Résultats des tournois'!AV20) - (1 / (1 + 10^((AV$103 - lastVal)/400)))))
)
))"),"")</f>
        <v/>
      </c>
      <c r="AX20" s="32" t="str">
        <f>IFERROR(__xludf.DUMMYFUNCTION("IF('Résultats des tournois'!AW$2=0,"""",LET(
lastVal, INDEX(FILTER($B20:AW20, ISNUMBER($B20:AW20)), COUNTA(FILTER($B20:AW20, ISNUMBER($B20:AW20)))),
IFERROR(
IF('Résultats des tournois'!AW20="""", INDEX(FILTER($C20:AW20, ISNUMBER($C20:AW20)), COUNTA(FILTE"&amp;"R($C20:AW20, ISNUMBER($C20:AW20)))),
lastVal + 'K dynamique'!AW20 * ((SQRT('Résultats des tournois'!AW$2 + 1)/'Résultats des tournois'!AW20) - (1 / (1 + 10^((AW$103 - lastVal)/400)))))
)
))"),"")</f>
        <v/>
      </c>
      <c r="AY20" s="32" t="str">
        <f>IFERROR(__xludf.DUMMYFUNCTION("IF('Résultats des tournois'!AX$2=0,"""",LET(
lastVal, INDEX(FILTER($B20:AX20, ISNUMBER($B20:AX20)), COUNTA(FILTER($B20:AX20, ISNUMBER($B20:AX20)))),
IFERROR(
IF('Résultats des tournois'!AX20="""", INDEX(FILTER($C20:AX20, ISNUMBER($C20:AX20)), COUNTA(FILTE"&amp;"R($C20:AX20, ISNUMBER($C20:AX20)))),
lastVal + 'K dynamique'!AX20 * ((SQRT('Résultats des tournois'!AX$2 + 1)/'Résultats des tournois'!AX20) - (1 / (1 + 10^((AX$103 - lastVal)/400)))))
)
))"),"")</f>
        <v/>
      </c>
      <c r="AZ20" s="4">
        <f t="array" ref="AZ20">IF(MAX(($C20:AY20&lt;&gt;"")*COLUMN($C20:AY20))=0,"",INDEX($C20:AY20,1,MAX(($C20:AY20&lt;&gt;"")*COLUMN($C20:AY20))-COLUMN($C20)+1))</f>
        <v>1496.395271</v>
      </c>
      <c r="BA20" s="33">
        <f t="shared" si="1"/>
        <v>22</v>
      </c>
    </row>
    <row r="21" ht="14.25" customHeight="1">
      <c r="A21" s="32" t="str">
        <f>IF('Résultats des tournois'!A21="","",'Résultats des tournois'!A21)</f>
        <v>PikaJul</v>
      </c>
      <c r="B21" s="32">
        <v>1500.0</v>
      </c>
      <c r="C21" s="32" t="str">
        <f>IF('Résultats des tournois'!B21="","",B21+'K dynamique'!B21*((SQRT('Résultats des tournois'!B$2+1)/'Résultats des tournois'!B21)-(1/(1+10^((B21-B21)/400)))))</f>
        <v/>
      </c>
      <c r="D21" s="32" t="str">
        <f>IFERROR(__xludf.DUMMYFUNCTION("IF('Résultats des tournois'!C$2=0,"""",LET(
lastVal, INDEX(FILTER($B21:C21, ISNUMBER($B21:C21)), COUNTA(FILTER($B21:C21, ISNUMBER($B21:C21)))),
IFERROR(
IF('Résultats des tournois'!C21="""", INDEX(FILTER($C21:C21, ISNUMBER($C21:C21)), COUNTA(FILTER($C21:C"&amp;"21, ISNUMBER($C21:C21)))),
lastVal + 'K dynamique'!C21 * ((SQRT('Résultats des tournois'!C$2 + 1)/'Résultats des tournois'!C21) - (1 / (1 + 10^((C$103 - lastVal)/400)))))
)
))"),"")</f>
        <v/>
      </c>
      <c r="E21" s="32" t="str">
        <f>IFERROR(__xludf.DUMMYFUNCTION("IF('Résultats des tournois'!D$2=0,"""",LET(
lastVal, INDEX(FILTER($B21:D21, ISNUMBER($B21:D21)), COUNTA(FILTER($B21:D21, ISNUMBER($B21:D21)))),
IFERROR(
IF('Résultats des tournois'!D21="""", INDEX(FILTER($C21:D21, ISNUMBER($C21:D21)), COUNTA(FILTER($C21:D"&amp;"21, ISNUMBER($C21:D21)))),
lastVal + 'K dynamique'!D21 * ((SQRT('Résultats des tournois'!D$2 + 1)/'Résultats des tournois'!D21) - (1 / (1 + 10^((D$103 - lastVal)/400)))))
)
))"),"")</f>
        <v/>
      </c>
      <c r="F21" s="32" t="str">
        <f>IFERROR(__xludf.DUMMYFUNCTION("IF('Résultats des tournois'!E$2=0,"""",LET(
lastVal, INDEX(FILTER($B21:E21, ISNUMBER($B21:E21)), COUNTA(FILTER($B21:E21, ISNUMBER($B21:E21)))),
IFERROR(
IF('Résultats des tournois'!E21="""", INDEX(FILTER($C21:E21, ISNUMBER($C21:E21)), COUNTA(FILTER($C21:E"&amp;"21, ISNUMBER($C21:E21)))),
lastVal + 'K dynamique'!E21 * ((SQRT('Résultats des tournois'!E$2 + 1)/'Résultats des tournois'!E21) - (1 / (1 + 10^((E$103 - lastVal)/400)))))
)
))"),"")</f>
        <v/>
      </c>
      <c r="G21" s="32" t="str">
        <f>IFERROR(__xludf.DUMMYFUNCTION("IF('Résultats des tournois'!F$2=0,"""",LET(
lastVal, INDEX(FILTER($B21:F21, ISNUMBER($B21:F21)), COUNTA(FILTER($B21:F21, ISNUMBER($B21:F21)))),
IFERROR(
IF('Résultats des tournois'!F21="""", INDEX(FILTER($C21:F21, ISNUMBER($C21:F21)), COUNTA(FILTER($C21:F"&amp;"21, ISNUMBER($C21:F21)))),
lastVal + 'K dynamique'!F21 * ((SQRT('Résultats des tournois'!F$2 + 1)/'Résultats des tournois'!F21) - (1 / (1 + 10^((F$103 - lastVal)/400)))))
)
))"),"")</f>
        <v/>
      </c>
      <c r="H21" s="32">
        <f>IFERROR(__xludf.DUMMYFUNCTION("IF('Résultats des tournois'!G$2=0,"""",LET(
lastVal, INDEX(FILTER($B21:G21, ISNUMBER($B21:G21)), COUNTA(FILTER($B21:G21, ISNUMBER($B21:G21)))),
IFERROR(
IF('Résultats des tournois'!G21="""", INDEX(FILTER($C21:G21, ISNUMBER($C21:G21)), COUNTA(FILTER($C21:G"&amp;"21, ISNUMBER($C21:G21)))),
lastVal + 'K dynamique'!G21 * ((SQRT('Résultats des tournois'!G$2 + 1)/'Résultats des tournois'!G21) - (1 / (1 + 10^((G$103 - lastVal)/400)))))
)
))"),1524.6882767800366)</f>
        <v>1524.688277</v>
      </c>
      <c r="I21" s="32">
        <f>IFERROR(__xludf.DUMMYFUNCTION("IF('Résultats des tournois'!H$2=0,"""",LET(
lastVal, INDEX(FILTER($B21:H21, ISNUMBER($B21:H21)), COUNTA(FILTER($B21:H21, ISNUMBER($B21:H21)))),
IFERROR(
IF('Résultats des tournois'!H21="""", INDEX(FILTER($C21:H21, ISNUMBER($C21:H21)), COUNTA(FILTER($C21:H"&amp;"21, ISNUMBER($C21:H21)))),
lastVal + 'K dynamique'!H21 * ((SQRT('Résultats des tournois'!H$2 + 1)/'Résultats des tournois'!H21) - (1 / (1 + 10^((H$103 - lastVal)/400)))))
)
))"),1518.572214385168)</f>
        <v>1518.572214</v>
      </c>
      <c r="J21" s="32">
        <f>IFERROR(__xludf.DUMMYFUNCTION("IF('Résultats des tournois'!I$2=0,"""",LET(
lastVal, INDEX(FILTER($B21:I21, ISNUMBER($B21:I21)), COUNTA(FILTER($B21:I21, ISNUMBER($B21:I21)))),
IFERROR(
IF('Résultats des tournois'!I21="""", INDEX(FILTER($C21:I21, ISNUMBER($C21:I21)), COUNTA(FILTER($C21:I"&amp;"21, ISNUMBER($C21:I21)))),
lastVal + 'K dynamique'!I21 * ((SQRT('Résultats des tournois'!I$2 + 1)/'Résultats des tournois'!I21) - (1 / (1 + 10^((I$103 - lastVal)/400)))))
)
))"),1518.572214385168)</f>
        <v>1518.572214</v>
      </c>
      <c r="K21" s="32">
        <f>IFERROR(__xludf.DUMMYFUNCTION("IF('Résultats des tournois'!J$2=0,"""",LET(
lastVal, INDEX(FILTER($B21:J21, ISNUMBER($B21:J21)), COUNTA(FILTER($B21:J21, ISNUMBER($B21:J21)))),
IFERROR(
IF('Résultats des tournois'!J21="""", INDEX(FILTER($C21:J21, ISNUMBER($C21:J21)), COUNTA(FILTER($C21:J"&amp;"21, ISNUMBER($C21:J21)))),
lastVal + 'K dynamique'!J21 * ((SQRT('Résultats des tournois'!J$2 + 1)/'Résultats des tournois'!J21) - (1 / (1 + 10^((J$103 - lastVal)/400)))))
)
))"),1632.5403816040923)</f>
        <v>1632.540382</v>
      </c>
      <c r="L21" s="32">
        <f>IFERROR(__xludf.DUMMYFUNCTION("IF('Résultats des tournois'!K$2=0,"""",LET(
lastVal, INDEX(FILTER($B21:K21, ISNUMBER($B21:K21)), COUNTA(FILTER($B21:K21, ISNUMBER($B21:K21)))),
IFERROR(
IF('Résultats des tournois'!K21="""", INDEX(FILTER($C21:K21, ISNUMBER($C21:K21)), COUNTA(FILTER($C21:K"&amp;"21, ISNUMBER($C21:K21)))),
lastVal + 'K dynamique'!K21 * ((SQRT('Résultats des tournois'!K$2 + 1)/'Résultats des tournois'!K21) - (1 / (1 + 10^((K$103 - lastVal)/400)))))
)
))"),1626.4769283585833)</f>
        <v>1626.476928</v>
      </c>
      <c r="M21" s="32">
        <f>IFERROR(__xludf.DUMMYFUNCTION("IF('Résultats des tournois'!L$2=0,"""",LET(
lastVal, INDEX(FILTER($B21:L21, ISNUMBER($B21:L21)), COUNTA(FILTER($B21:L21, ISNUMBER($B21:L21)))),
IFERROR(
IF('Résultats des tournois'!L21="""", INDEX(FILTER($C21:L21, ISNUMBER($C21:L21)), COUNTA(FILTER($C21:L"&amp;"21, ISNUMBER($C21:L21)))),
lastVal + 'K dynamique'!L21 * ((SQRT('Résultats des tournois'!L$2 + 1)/'Résultats des tournois'!L21) - (1 / (1 + 10^((L$103 - lastVal)/400)))))
)
))"),1626.4769283585833)</f>
        <v>1626.476928</v>
      </c>
      <c r="N21" s="32" t="str">
        <f>IFERROR(__xludf.DUMMYFUNCTION("IF('Résultats des tournois'!M$2=0,"""",LET(
lastVal, INDEX(FILTER($B21:M21, ISNUMBER($B21:M21)), COUNTA(FILTER($B21:M21, ISNUMBER($B21:M21)))),
IFERROR(
IF('Résultats des tournois'!M21="""", INDEX(FILTER($C21:M21, ISNUMBER($C21:M21)), COUNTA(FILTER($C21:M"&amp;"21, ISNUMBER($C21:M21)))),
lastVal + 'K dynamique'!M21 * ((SQRT('Résultats des tournois'!M$2 + 1)/'Résultats des tournois'!M21) - (1 / (1 + 10^((M$103 - lastVal)/400)))))
)
))"),"")</f>
        <v/>
      </c>
      <c r="O21" s="32" t="str">
        <f>IFERROR(__xludf.DUMMYFUNCTION("IF('Résultats des tournois'!N$2=0,"""",LET(
lastVal, INDEX(FILTER($B21:N21, ISNUMBER($B21:N21)), COUNTA(FILTER($B21:N21, ISNUMBER($B21:N21)))),
IFERROR(
IF('Résultats des tournois'!N21="""", INDEX(FILTER($C21:N21, ISNUMBER($C21:N21)), COUNTA(FILTER($C21:N"&amp;"21, ISNUMBER($C21:N21)))),
lastVal + 'K dynamique'!N21 * ((SQRT('Résultats des tournois'!N$2 + 1)/'Résultats des tournois'!N21) - (1 / (1 + 10^((N$103 - lastVal)/400)))))
)
))"),"")</f>
        <v/>
      </c>
      <c r="P21" s="32" t="str">
        <f>IFERROR(__xludf.DUMMYFUNCTION("IF('Résultats des tournois'!O$2=0,"""",LET(
lastVal, INDEX(FILTER($B21:O21, ISNUMBER($B21:O21)), COUNTA(FILTER($B21:O21, ISNUMBER($B21:O21)))),
IFERROR(
IF('Résultats des tournois'!O21="""", INDEX(FILTER($C21:O21, ISNUMBER($C21:O21)), COUNTA(FILTER($C21:O"&amp;"21, ISNUMBER($C21:O21)))),
lastVal + 'K dynamique'!O21 * ((SQRT('Résultats des tournois'!O$2 + 1)/'Résultats des tournois'!O21) - (1 / (1 + 10^((O$103 - lastVal)/400)))))
)
))"),"")</f>
        <v/>
      </c>
      <c r="Q21" s="32" t="str">
        <f>IFERROR(__xludf.DUMMYFUNCTION("IF('Résultats des tournois'!P$2=0,"""",LET(
lastVal, INDEX(FILTER($B21:P21, ISNUMBER($B21:P21)), COUNTA(FILTER($B21:P21, ISNUMBER($B21:P21)))),
IFERROR(
IF('Résultats des tournois'!P21="""", INDEX(FILTER($C21:P21, ISNUMBER($C21:P21)), COUNTA(FILTER($C21:P"&amp;"21, ISNUMBER($C21:P21)))),
lastVal + 'K dynamique'!P21 * ((SQRT('Résultats des tournois'!P$2 + 1)/'Résultats des tournois'!P21) - (1 / (1 + 10^((P$103 - lastVal)/400)))))
)
))"),"")</f>
        <v/>
      </c>
      <c r="R21" s="32" t="str">
        <f>IFERROR(__xludf.DUMMYFUNCTION("IF('Résultats des tournois'!Q$2=0,"""",LET(
lastVal, INDEX(FILTER($B21:Q21, ISNUMBER($B21:Q21)), COUNTA(FILTER($B21:Q21, ISNUMBER($B21:Q21)))),
IFERROR(
IF('Résultats des tournois'!Q21="""", INDEX(FILTER($C21:Q21, ISNUMBER($C21:Q21)), COUNTA(FILTER($C21:Q"&amp;"21, ISNUMBER($C21:Q21)))),
lastVal + 'K dynamique'!Q21 * ((SQRT('Résultats des tournois'!Q$2 + 1)/'Résultats des tournois'!Q21) - (1 / (1 + 10^((Q$103 - lastVal)/400)))))
)
))"),"")</f>
        <v/>
      </c>
      <c r="S21" s="32" t="str">
        <f>IFERROR(__xludf.DUMMYFUNCTION("IF('Résultats des tournois'!R$2=0,"""",LET(
lastVal, INDEX(FILTER($B21:R21, ISNUMBER($B21:R21)), COUNTA(FILTER($B21:R21, ISNUMBER($B21:R21)))),
IFERROR(
IF('Résultats des tournois'!R21="""", INDEX(FILTER($C21:R21, ISNUMBER($C21:R21)), COUNTA(FILTER($C21:R"&amp;"21, ISNUMBER($C21:R21)))),
lastVal + 'K dynamique'!R21 * ((SQRT('Résultats des tournois'!R$2 + 1)/'Résultats des tournois'!R21) - (1 / (1 + 10^((R$103 - lastVal)/400)))))
)
))"),"")</f>
        <v/>
      </c>
      <c r="T21" s="32" t="str">
        <f>IFERROR(__xludf.DUMMYFUNCTION("IF('Résultats des tournois'!S$2=0,"""",LET(
lastVal, INDEX(FILTER($B21:S21, ISNUMBER($B21:S21)), COUNTA(FILTER($B21:S21, ISNUMBER($B21:S21)))),
IFERROR(
IF('Résultats des tournois'!S21="""", INDEX(FILTER($C21:S21, ISNUMBER($C21:S21)), COUNTA(FILTER($C21:S"&amp;"21, ISNUMBER($C21:S21)))),
lastVal + 'K dynamique'!S21 * ((SQRT('Résultats des tournois'!S$2 + 1)/'Résultats des tournois'!S21) - (1 / (1 + 10^((S$103 - lastVal)/400)))))
)
))"),"")</f>
        <v/>
      </c>
      <c r="U21" s="32" t="str">
        <f>IFERROR(__xludf.DUMMYFUNCTION("IF('Résultats des tournois'!T$2=0,"""",LET(
lastVal, INDEX(FILTER($B21:T21, ISNUMBER($B21:T21)), COUNTA(FILTER($B21:T21, ISNUMBER($B21:T21)))),
IFERROR(
IF('Résultats des tournois'!T21="""", INDEX(FILTER($C21:T21, ISNUMBER($C21:T21)), COUNTA(FILTER($C21:T"&amp;"21, ISNUMBER($C21:T21)))),
lastVal + 'K dynamique'!T21 * ((SQRT('Résultats des tournois'!T$2 + 1)/'Résultats des tournois'!T21) - (1 / (1 + 10^((T$103 - lastVal)/400)))))
)
))"),"")</f>
        <v/>
      </c>
      <c r="V21" s="32" t="str">
        <f>IFERROR(__xludf.DUMMYFUNCTION("IF('Résultats des tournois'!U$2=0,"""",LET(
lastVal, INDEX(FILTER($B21:U21, ISNUMBER($B21:U21)), COUNTA(FILTER($B21:U21, ISNUMBER($B21:U21)))),
IFERROR(
IF('Résultats des tournois'!U21="""", INDEX(FILTER($C21:U21, ISNUMBER($C21:U21)), COUNTA(FILTER($C21:U"&amp;"21, ISNUMBER($C21:U21)))),
lastVal + 'K dynamique'!U21 * ((SQRT('Résultats des tournois'!U$2 + 1)/'Résultats des tournois'!U21) - (1 / (1 + 10^((U$103 - lastVal)/400)))))
)
))"),"")</f>
        <v/>
      </c>
      <c r="W21" s="32" t="str">
        <f>IFERROR(__xludf.DUMMYFUNCTION("IF('Résultats des tournois'!V$2=0,"""",LET(
lastVal, INDEX(FILTER($B21:V21, ISNUMBER($B21:V21)), COUNTA(FILTER($B21:V21, ISNUMBER($B21:V21)))),
IFERROR(
IF('Résultats des tournois'!V21="""", INDEX(FILTER($C21:V21, ISNUMBER($C21:V21)), COUNTA(FILTER($C21:V"&amp;"21, ISNUMBER($C21:V21)))),
lastVal + 'K dynamique'!V21 * ((SQRT('Résultats des tournois'!V$2 + 1)/'Résultats des tournois'!V21) - (1 / (1 + 10^((V$103 - lastVal)/400)))))
)
))"),"")</f>
        <v/>
      </c>
      <c r="X21" s="32" t="str">
        <f>IFERROR(__xludf.DUMMYFUNCTION("IF('Résultats des tournois'!W$2=0,"""",LET(
lastVal, INDEX(FILTER($B21:W21, ISNUMBER($B21:W21)), COUNTA(FILTER($B21:W21, ISNUMBER($B21:W21)))),
IFERROR(
IF('Résultats des tournois'!W21="""", INDEX(FILTER($C21:W21, ISNUMBER($C21:W21)), COUNTA(FILTER($C21:W"&amp;"21, ISNUMBER($C21:W21)))),
lastVal + 'K dynamique'!W21 * ((SQRT('Résultats des tournois'!W$2 + 1)/'Résultats des tournois'!W21) - (1 / (1 + 10^((W$103 - lastVal)/400)))))
)
))"),"")</f>
        <v/>
      </c>
      <c r="Y21" s="32" t="str">
        <f>IFERROR(__xludf.DUMMYFUNCTION("IF('Résultats des tournois'!X$2=0,"""",LET(
lastVal, INDEX(FILTER($B21:X21, ISNUMBER($B21:X21)), COUNTA(FILTER($B21:X21, ISNUMBER($B21:X21)))),
IFERROR(
IF('Résultats des tournois'!X21="""", INDEX(FILTER($C21:X21, ISNUMBER($C21:X21)), COUNTA(FILTER($C21:X"&amp;"21, ISNUMBER($C21:X21)))),
lastVal + 'K dynamique'!X21 * ((SQRT('Résultats des tournois'!X$2 + 1)/'Résultats des tournois'!X21) - (1 / (1 + 10^((X$103 - lastVal)/400)))))
)
))"),"")</f>
        <v/>
      </c>
      <c r="Z21" s="32" t="str">
        <f>IFERROR(__xludf.DUMMYFUNCTION("IF('Résultats des tournois'!Y$2=0,"""",LET(
lastVal, INDEX(FILTER($B21:Y21, ISNUMBER($B21:Y21)), COUNTA(FILTER($B21:Y21, ISNUMBER($B21:Y21)))),
IFERROR(
IF('Résultats des tournois'!Y21="""", INDEX(FILTER($C21:Y21, ISNUMBER($C21:Y21)), COUNTA(FILTER($C21:Y"&amp;"21, ISNUMBER($C21:Y21)))),
lastVal + 'K dynamique'!Y21 * ((SQRT('Résultats des tournois'!Y$2 + 1)/'Résultats des tournois'!Y21) - (1 / (1 + 10^((Y$103 - lastVal)/400)))))
)
))"),"")</f>
        <v/>
      </c>
      <c r="AA21" s="32" t="str">
        <f>IFERROR(__xludf.DUMMYFUNCTION("IF('Résultats des tournois'!Z$2=0,"""",LET(
lastVal, INDEX(FILTER($B21:Z21, ISNUMBER($B21:Z21)), COUNTA(FILTER($B21:Z21, ISNUMBER($B21:Z21)))),
IFERROR(
IF('Résultats des tournois'!Z21="""", INDEX(FILTER($C21:Z21, ISNUMBER($C21:Z21)), COUNTA(FILTER($C21:Z"&amp;"21, ISNUMBER($C21:Z21)))),
lastVal + 'K dynamique'!Z21 * ((SQRT('Résultats des tournois'!Z$2 + 1)/'Résultats des tournois'!Z21) - (1 / (1 + 10^((Z$103 - lastVal)/400)))))
)
))"),"")</f>
        <v/>
      </c>
      <c r="AB21" s="32" t="str">
        <f>IFERROR(__xludf.DUMMYFUNCTION("IF('Résultats des tournois'!AA$2=0,"""",LET(
lastVal, INDEX(FILTER($B21:AA21, ISNUMBER($B21:AA21)), COUNTA(FILTER($B21:AA21, ISNUMBER($B21:AA21)))),
IFERROR(
IF('Résultats des tournois'!AA21="""", INDEX(FILTER($C21:AA21, ISNUMBER($C21:AA21)), COUNTA(FILTE"&amp;"R($C21:AA21, ISNUMBER($C21:AA21)))),
lastVal + 'K dynamique'!AA21 * ((SQRT('Résultats des tournois'!AA$2 + 1)/'Résultats des tournois'!AA21) - (1 / (1 + 10^((AA$103 - lastVal)/400)))))
)
))"),"")</f>
        <v/>
      </c>
      <c r="AC21" s="32" t="str">
        <f>IFERROR(__xludf.DUMMYFUNCTION("IF('Résultats des tournois'!AB$2=0,"""",LET(
lastVal, INDEX(FILTER($B21:AB21, ISNUMBER($B21:AB21)), COUNTA(FILTER($B21:AB21, ISNUMBER($B21:AB21)))),
IFERROR(
IF('Résultats des tournois'!AB21="""", INDEX(FILTER($C21:AB21, ISNUMBER($C21:AB21)), COUNTA(FILTE"&amp;"R($C21:AB21, ISNUMBER($C21:AB21)))),
lastVal + 'K dynamique'!AB21 * ((SQRT('Résultats des tournois'!AB$2 + 1)/'Résultats des tournois'!AB21) - (1 / (1 + 10^((AB$103 - lastVal)/400)))))
)
))"),"")</f>
        <v/>
      </c>
      <c r="AD21" s="32" t="str">
        <f>IFERROR(__xludf.DUMMYFUNCTION("IF('Résultats des tournois'!AC$2=0,"""",LET(
lastVal, INDEX(FILTER($B21:AC21, ISNUMBER($B21:AC21)), COUNTA(FILTER($B21:AC21, ISNUMBER($B21:AC21)))),
IFERROR(
IF('Résultats des tournois'!AC21="""", INDEX(FILTER($C21:AC21, ISNUMBER($C21:AC21)), COUNTA(FILTE"&amp;"R($C21:AC21, ISNUMBER($C21:AC21)))),
lastVal + 'K dynamique'!AC21 * ((SQRT('Résultats des tournois'!AC$2 + 1)/'Résultats des tournois'!AC21) - (1 / (1 + 10^((AC$103 - lastVal)/400)))))
)
))"),"")</f>
        <v/>
      </c>
      <c r="AE21" s="32" t="str">
        <f>IFERROR(__xludf.DUMMYFUNCTION("IF('Résultats des tournois'!AD$2=0,"""",LET(
lastVal, INDEX(FILTER($B21:AD21, ISNUMBER($B21:AD21)), COUNTA(FILTER($B21:AD21, ISNUMBER($B21:AD21)))),
IFERROR(
IF('Résultats des tournois'!AD21="""", INDEX(FILTER($C21:AD21, ISNUMBER($C21:AD21)), COUNTA(FILTE"&amp;"R($C21:AD21, ISNUMBER($C21:AD21)))),
lastVal + 'K dynamique'!AD21 * ((SQRT('Résultats des tournois'!AD$2 + 1)/'Résultats des tournois'!AD21) - (1 / (1 + 10^((AD$103 - lastVal)/400)))))
)
))"),"")</f>
        <v/>
      </c>
      <c r="AF21" s="32" t="str">
        <f>IFERROR(__xludf.DUMMYFUNCTION("IF('Résultats des tournois'!AE$2=0,"""",LET(
lastVal, INDEX(FILTER($B21:AE21, ISNUMBER($B21:AE21)), COUNTA(FILTER($B21:AE21, ISNUMBER($B21:AE21)))),
IFERROR(
IF('Résultats des tournois'!AE21="""", INDEX(FILTER($C21:AE21, ISNUMBER($C21:AE21)), COUNTA(FILTE"&amp;"R($C21:AE21, ISNUMBER($C21:AE21)))),
lastVal + 'K dynamique'!AE21 * ((SQRT('Résultats des tournois'!AE$2 + 1)/'Résultats des tournois'!AE21) - (1 / (1 + 10^((AE$103 - lastVal)/400)))))
)
))"),"")</f>
        <v/>
      </c>
      <c r="AG21" s="32" t="str">
        <f>IFERROR(__xludf.DUMMYFUNCTION("IF('Résultats des tournois'!AF$2=0,"""",LET(
lastVal, INDEX(FILTER($B21:AF21, ISNUMBER($B21:AF21)), COUNTA(FILTER($B21:AF21, ISNUMBER($B21:AF21)))),
IFERROR(
IF('Résultats des tournois'!AF21="""", INDEX(FILTER($C21:AF21, ISNUMBER($C21:AF21)), COUNTA(FILTE"&amp;"R($C21:AF21, ISNUMBER($C21:AF21)))),
lastVal + 'K dynamique'!AF21 * ((SQRT('Résultats des tournois'!AF$2 + 1)/'Résultats des tournois'!AF21) - (1 / (1 + 10^((AF$103 - lastVal)/400)))))
)
))"),"")</f>
        <v/>
      </c>
      <c r="AH21" s="32" t="str">
        <f>IFERROR(__xludf.DUMMYFUNCTION("IF('Résultats des tournois'!AG$2=0,"""",LET(
lastVal, INDEX(FILTER($B21:AG21, ISNUMBER($B21:AG21)), COUNTA(FILTER($B21:AG21, ISNUMBER($B21:AG21)))),
IFERROR(
IF('Résultats des tournois'!AG21="""", INDEX(FILTER($C21:AG21, ISNUMBER($C21:AG21)), COUNTA(FILTE"&amp;"R($C21:AG21, ISNUMBER($C21:AG21)))),
lastVal + 'K dynamique'!AG21 * ((SQRT('Résultats des tournois'!AG$2 + 1)/'Résultats des tournois'!AG21) - (1 / (1 + 10^((AG$103 - lastVal)/400)))))
)
))"),"")</f>
        <v/>
      </c>
      <c r="AI21" s="32" t="str">
        <f>IFERROR(__xludf.DUMMYFUNCTION("IF('Résultats des tournois'!AH$2=0,"""",LET(
lastVal, INDEX(FILTER($B21:AH21, ISNUMBER($B21:AH21)), COUNTA(FILTER($B21:AH21, ISNUMBER($B21:AH21)))),
IFERROR(
IF('Résultats des tournois'!AH21="""", INDEX(FILTER($C21:AH21, ISNUMBER($C21:AH21)), COUNTA(FILTE"&amp;"R($C21:AH21, ISNUMBER($C21:AH21)))),
lastVal + 'K dynamique'!AH21 * ((SQRT('Résultats des tournois'!AH$2 + 1)/'Résultats des tournois'!AH21) - (1 / (1 + 10^((AH$103 - lastVal)/400)))))
)
))"),"")</f>
        <v/>
      </c>
      <c r="AJ21" s="32" t="str">
        <f>IFERROR(__xludf.DUMMYFUNCTION("IF('Résultats des tournois'!AI$2=0,"""",LET(
lastVal, INDEX(FILTER($B21:AI21, ISNUMBER($B21:AI21)), COUNTA(FILTER($B21:AI21, ISNUMBER($B21:AI21)))),
IFERROR(
IF('Résultats des tournois'!AI21="""", INDEX(FILTER($C21:AI21, ISNUMBER($C21:AI21)), COUNTA(FILTE"&amp;"R($C21:AI21, ISNUMBER($C21:AI21)))),
lastVal + 'K dynamique'!AI21 * ((SQRT('Résultats des tournois'!AI$2 + 1)/'Résultats des tournois'!AI21) - (1 / (1 + 10^((AI$103 - lastVal)/400)))))
)
))"),"")</f>
        <v/>
      </c>
      <c r="AK21" s="32" t="str">
        <f>IFERROR(__xludf.DUMMYFUNCTION("IF('Résultats des tournois'!AJ$2=0,"""",LET(
lastVal, INDEX(FILTER($B21:AJ21, ISNUMBER($B21:AJ21)), COUNTA(FILTER($B21:AJ21, ISNUMBER($B21:AJ21)))),
IFERROR(
IF('Résultats des tournois'!AJ21="""", INDEX(FILTER($C21:AJ21, ISNUMBER($C21:AJ21)), COUNTA(FILTE"&amp;"R($C21:AJ21, ISNUMBER($C21:AJ21)))),
lastVal + 'K dynamique'!AJ21 * ((SQRT('Résultats des tournois'!AJ$2 + 1)/'Résultats des tournois'!AJ21) - (1 / (1 + 10^((AJ$103 - lastVal)/400)))))
)
))"),"")</f>
        <v/>
      </c>
      <c r="AL21" s="32" t="str">
        <f>IFERROR(__xludf.DUMMYFUNCTION("IF('Résultats des tournois'!AK$2=0,"""",LET(
lastVal, INDEX(FILTER($B21:AK21, ISNUMBER($B21:AK21)), COUNTA(FILTER($B21:AK21, ISNUMBER($B21:AK21)))),
IFERROR(
IF('Résultats des tournois'!AK21="""", INDEX(FILTER($C21:AK21, ISNUMBER($C21:AK21)), COUNTA(FILTE"&amp;"R($C21:AK21, ISNUMBER($C21:AK21)))),
lastVal + 'K dynamique'!AK21 * ((SQRT('Résultats des tournois'!AK$2 + 1)/'Résultats des tournois'!AK21) - (1 / (1 + 10^((AK$103 - lastVal)/400)))))
)
))"),"")</f>
        <v/>
      </c>
      <c r="AM21" s="32" t="str">
        <f>IFERROR(__xludf.DUMMYFUNCTION("IF('Résultats des tournois'!AL$2=0,"""",LET(
lastVal, INDEX(FILTER($B21:AL21, ISNUMBER($B21:AL21)), COUNTA(FILTER($B21:AL21, ISNUMBER($B21:AL21)))),
IFERROR(
IF('Résultats des tournois'!AL21="""", INDEX(FILTER($C21:AL21, ISNUMBER($C21:AL21)), COUNTA(FILTE"&amp;"R($C21:AL21, ISNUMBER($C21:AL21)))),
lastVal + 'K dynamique'!AL21 * ((SQRT('Résultats des tournois'!AL$2 + 1)/'Résultats des tournois'!AL21) - (1 / (1 + 10^((AL$103 - lastVal)/400)))))
)
))"),"")</f>
        <v/>
      </c>
      <c r="AN21" s="32" t="str">
        <f>IFERROR(__xludf.DUMMYFUNCTION("IF('Résultats des tournois'!AM$2=0,"""",LET(
lastVal, INDEX(FILTER($B21:AM21, ISNUMBER($B21:AM21)), COUNTA(FILTER($B21:AM21, ISNUMBER($B21:AM21)))),
IFERROR(
IF('Résultats des tournois'!AM21="""", INDEX(FILTER($C21:AM21, ISNUMBER($C21:AM21)), COUNTA(FILTE"&amp;"R($C21:AM21, ISNUMBER($C21:AM21)))),
lastVal + 'K dynamique'!AM21 * ((SQRT('Résultats des tournois'!AM$2 + 1)/'Résultats des tournois'!AM21) - (1 / (1 + 10^((AM$103 - lastVal)/400)))))
)
))"),"")</f>
        <v/>
      </c>
      <c r="AO21" s="32" t="str">
        <f>IFERROR(__xludf.DUMMYFUNCTION("IF('Résultats des tournois'!AN$2=0,"""",LET(
lastVal, INDEX(FILTER($B21:AN21, ISNUMBER($B21:AN21)), COUNTA(FILTER($B21:AN21, ISNUMBER($B21:AN21)))),
IFERROR(
IF('Résultats des tournois'!AN21="""", INDEX(FILTER($C21:AN21, ISNUMBER($C21:AN21)), COUNTA(FILTE"&amp;"R($C21:AN21, ISNUMBER($C21:AN21)))),
lastVal + 'K dynamique'!AN21 * ((SQRT('Résultats des tournois'!AN$2 + 1)/'Résultats des tournois'!AN21) - (1 / (1 + 10^((AN$103 - lastVal)/400)))))
)
))"),"")</f>
        <v/>
      </c>
      <c r="AP21" s="32" t="str">
        <f>IFERROR(__xludf.DUMMYFUNCTION("IF('Résultats des tournois'!AO$2=0,"""",LET(
lastVal, INDEX(FILTER($B21:AO21, ISNUMBER($B21:AO21)), COUNTA(FILTER($B21:AO21, ISNUMBER($B21:AO21)))),
IFERROR(
IF('Résultats des tournois'!AO21="""", INDEX(FILTER($C21:AO21, ISNUMBER($C21:AO21)), COUNTA(FILTE"&amp;"R($C21:AO21, ISNUMBER($C21:AO21)))),
lastVal + 'K dynamique'!AO21 * ((SQRT('Résultats des tournois'!AO$2 + 1)/'Résultats des tournois'!AO21) - (1 / (1 + 10^((AO$103 - lastVal)/400)))))
)
))"),"")</f>
        <v/>
      </c>
      <c r="AQ21" s="32" t="str">
        <f>IFERROR(__xludf.DUMMYFUNCTION("IF('Résultats des tournois'!AP$2=0,"""",LET(
lastVal, INDEX(FILTER($B21:AP21, ISNUMBER($B21:AP21)), COUNTA(FILTER($B21:AP21, ISNUMBER($B21:AP21)))),
IFERROR(
IF('Résultats des tournois'!AP21="""", INDEX(FILTER($C21:AP21, ISNUMBER($C21:AP21)), COUNTA(FILTE"&amp;"R($C21:AP21, ISNUMBER($C21:AP21)))),
lastVal + 'K dynamique'!AP21 * ((SQRT('Résultats des tournois'!AP$2 + 1)/'Résultats des tournois'!AP21) - (1 / (1 + 10^((AP$103 - lastVal)/400)))))
)
))"),"")</f>
        <v/>
      </c>
      <c r="AR21" s="32" t="str">
        <f>IFERROR(__xludf.DUMMYFUNCTION("IF('Résultats des tournois'!AQ$2=0,"""",LET(
lastVal, INDEX(FILTER($B21:AQ21, ISNUMBER($B21:AQ21)), COUNTA(FILTER($B21:AQ21, ISNUMBER($B21:AQ21)))),
IFERROR(
IF('Résultats des tournois'!AQ21="""", INDEX(FILTER($C21:AQ21, ISNUMBER($C21:AQ21)), COUNTA(FILTE"&amp;"R($C21:AQ21, ISNUMBER($C21:AQ21)))),
lastVal + 'K dynamique'!AQ21 * ((SQRT('Résultats des tournois'!AQ$2 + 1)/'Résultats des tournois'!AQ21) - (1 / (1 + 10^((AQ$103 - lastVal)/400)))))
)
))"),"")</f>
        <v/>
      </c>
      <c r="AS21" s="32" t="str">
        <f>IFERROR(__xludf.DUMMYFUNCTION("IF('Résultats des tournois'!AR$2=0,"""",LET(
lastVal, INDEX(FILTER($B21:AR21, ISNUMBER($B21:AR21)), COUNTA(FILTER($B21:AR21, ISNUMBER($B21:AR21)))),
IFERROR(
IF('Résultats des tournois'!AR21="""", INDEX(FILTER($C21:AR21, ISNUMBER($C21:AR21)), COUNTA(FILTE"&amp;"R($C21:AR21, ISNUMBER($C21:AR21)))),
lastVal + 'K dynamique'!AR21 * ((SQRT('Résultats des tournois'!AR$2 + 1)/'Résultats des tournois'!AR21) - (1 / (1 + 10^((AR$103 - lastVal)/400)))))
)
))"),"")</f>
        <v/>
      </c>
      <c r="AT21" s="32" t="str">
        <f>IFERROR(__xludf.DUMMYFUNCTION("IF('Résultats des tournois'!AS$2=0,"""",LET(
lastVal, INDEX(FILTER($B21:AS21, ISNUMBER($B21:AS21)), COUNTA(FILTER($B21:AS21, ISNUMBER($B21:AS21)))),
IFERROR(
IF('Résultats des tournois'!AS21="""", INDEX(FILTER($C21:AS21, ISNUMBER($C21:AS21)), COUNTA(FILTE"&amp;"R($C21:AS21, ISNUMBER($C21:AS21)))),
lastVal + 'K dynamique'!AS21 * ((SQRT('Résultats des tournois'!AS$2 + 1)/'Résultats des tournois'!AS21) - (1 / (1 + 10^((AS$103 - lastVal)/400)))))
)
))"),"")</f>
        <v/>
      </c>
      <c r="AU21" s="32" t="str">
        <f>IFERROR(__xludf.DUMMYFUNCTION("IF('Résultats des tournois'!AT$2=0,"""",LET(
lastVal, INDEX(FILTER($B21:AT21, ISNUMBER($B21:AT21)), COUNTA(FILTER($B21:AT21, ISNUMBER($B21:AT21)))),
IFERROR(
IF('Résultats des tournois'!AT21="""", INDEX(FILTER($C21:AT21, ISNUMBER($C21:AT21)), COUNTA(FILTE"&amp;"R($C21:AT21, ISNUMBER($C21:AT21)))),
lastVal + 'K dynamique'!AT21 * ((SQRT('Résultats des tournois'!AT$2 + 1)/'Résultats des tournois'!AT21) - (1 / (1 + 10^((AT$103 - lastVal)/400)))))
)
))"),"")</f>
        <v/>
      </c>
      <c r="AV21" s="32" t="str">
        <f>IFERROR(__xludf.DUMMYFUNCTION("IF('Résultats des tournois'!AU$2=0,"""",LET(
lastVal, INDEX(FILTER($B21:AU21, ISNUMBER($B21:AU21)), COUNTA(FILTER($B21:AU21, ISNUMBER($B21:AU21)))),
IFERROR(
IF('Résultats des tournois'!AU21="""", INDEX(FILTER($C21:AU21, ISNUMBER($C21:AU21)), COUNTA(FILTE"&amp;"R($C21:AU21, ISNUMBER($C21:AU21)))),
lastVal + 'K dynamique'!AU21 * ((SQRT('Résultats des tournois'!AU$2 + 1)/'Résultats des tournois'!AU21) - (1 / (1 + 10^((AU$103 - lastVal)/400)))))
)
))"),"")</f>
        <v/>
      </c>
      <c r="AW21" s="32" t="str">
        <f>IFERROR(__xludf.DUMMYFUNCTION("IF('Résultats des tournois'!AV$2=0,"""",LET(
lastVal, INDEX(FILTER($B21:AV21, ISNUMBER($B21:AV21)), COUNTA(FILTER($B21:AV21, ISNUMBER($B21:AV21)))),
IFERROR(
IF('Résultats des tournois'!AV21="""", INDEX(FILTER($C21:AV21, ISNUMBER($C21:AV21)), COUNTA(FILTE"&amp;"R($C21:AV21, ISNUMBER($C21:AV21)))),
lastVal + 'K dynamique'!AV21 * ((SQRT('Résultats des tournois'!AV$2 + 1)/'Résultats des tournois'!AV21) - (1 / (1 + 10^((AV$103 - lastVal)/400)))))
)
))"),"")</f>
        <v/>
      </c>
      <c r="AX21" s="32" t="str">
        <f>IFERROR(__xludf.DUMMYFUNCTION("IF('Résultats des tournois'!AW$2=0,"""",LET(
lastVal, INDEX(FILTER($B21:AW21, ISNUMBER($B21:AW21)), COUNTA(FILTER($B21:AW21, ISNUMBER($B21:AW21)))),
IFERROR(
IF('Résultats des tournois'!AW21="""", INDEX(FILTER($C21:AW21, ISNUMBER($C21:AW21)), COUNTA(FILTE"&amp;"R($C21:AW21, ISNUMBER($C21:AW21)))),
lastVal + 'K dynamique'!AW21 * ((SQRT('Résultats des tournois'!AW$2 + 1)/'Résultats des tournois'!AW21) - (1 / (1 + 10^((AW$103 - lastVal)/400)))))
)
))"),"")</f>
        <v/>
      </c>
      <c r="AY21" s="32" t="str">
        <f>IFERROR(__xludf.DUMMYFUNCTION("IF('Résultats des tournois'!AX$2=0,"""",LET(
lastVal, INDEX(FILTER($B21:AX21, ISNUMBER($B21:AX21)), COUNTA(FILTER($B21:AX21, ISNUMBER($B21:AX21)))),
IFERROR(
IF('Résultats des tournois'!AX21="""", INDEX(FILTER($C21:AX21, ISNUMBER($C21:AX21)), COUNTA(FILTE"&amp;"R($C21:AX21, ISNUMBER($C21:AX21)))),
lastVal + 'K dynamique'!AX21 * ((SQRT('Résultats des tournois'!AX$2 + 1)/'Résultats des tournois'!AX21) - (1 / (1 + 10^((AX$103 - lastVal)/400)))))
)
))"),"")</f>
        <v/>
      </c>
      <c r="AZ21" s="4">
        <f t="array" ref="AZ21">IF(MAX(($C21:AY21&lt;&gt;"")*COLUMN($C21:AY21))=0,"",INDEX($C21:AY21,1,MAX(($C21:AY21&lt;&gt;"")*COLUMN($C21:AY21))-COLUMN($C21)+1))</f>
        <v>1626.476928</v>
      </c>
      <c r="BA21" s="33">
        <f t="shared" si="1"/>
        <v>6</v>
      </c>
    </row>
    <row r="22" ht="14.25" customHeight="1">
      <c r="A22" s="32" t="str">
        <f>IF('Résultats des tournois'!A22="","",'Résultats des tournois'!A22)</f>
        <v>Teddy</v>
      </c>
      <c r="B22" s="32">
        <v>1500.0</v>
      </c>
      <c r="C22" s="32" t="str">
        <f>IF('Résultats des tournois'!B22="","",B22+'K dynamique'!B22*((SQRT('Résultats des tournois'!B$2+1)/'Résultats des tournois'!B22)-(1/(1+10^((B22-B22)/400)))))</f>
        <v/>
      </c>
      <c r="D22" s="32" t="str">
        <f>IFERROR(__xludf.DUMMYFUNCTION("IF('Résultats des tournois'!C$2=0,"""",LET(
lastVal, INDEX(FILTER($B22:C22, ISNUMBER($B22:C22)), COUNTA(FILTER($B22:C22, ISNUMBER($B22:C22)))),
IFERROR(
IF('Résultats des tournois'!C22="""", INDEX(FILTER($C22:C22, ISNUMBER($C22:C22)), COUNTA(FILTER($C22:C"&amp;"22, ISNUMBER($C22:C22)))),
lastVal + 'K dynamique'!C22 * ((SQRT('Résultats des tournois'!C$2 + 1)/'Résultats des tournois'!C22) - (1 / (1 + 10^((C$103 - lastVal)/400)))))
)
))"),"")</f>
        <v/>
      </c>
      <c r="E22" s="32" t="str">
        <f>IFERROR(__xludf.DUMMYFUNCTION("IF('Résultats des tournois'!D$2=0,"""",LET(
lastVal, INDEX(FILTER($B22:D22, ISNUMBER($B22:D22)), COUNTA(FILTER($B22:D22, ISNUMBER($B22:D22)))),
IFERROR(
IF('Résultats des tournois'!D22="""", INDEX(FILTER($C22:D22, ISNUMBER($C22:D22)), COUNTA(FILTER($C22:D"&amp;"22, ISNUMBER($C22:D22)))),
lastVal + 'K dynamique'!D22 * ((SQRT('Résultats des tournois'!D$2 + 1)/'Résultats des tournois'!D22) - (1 / (1 + 10^((D$103 - lastVal)/400)))))
)
))"),"")</f>
        <v/>
      </c>
      <c r="F22" s="32" t="str">
        <f>IFERROR(__xludf.DUMMYFUNCTION("IF('Résultats des tournois'!E$2=0,"""",LET(
lastVal, INDEX(FILTER($B22:E22, ISNUMBER($B22:E22)), COUNTA(FILTER($B22:E22, ISNUMBER($B22:E22)))),
IFERROR(
IF('Résultats des tournois'!E22="""", INDEX(FILTER($C22:E22, ISNUMBER($C22:E22)), COUNTA(FILTER($C22:E"&amp;"22, ISNUMBER($C22:E22)))),
lastVal + 'K dynamique'!E22 * ((SQRT('Résultats des tournois'!E$2 + 1)/'Résultats des tournois'!E22) - (1 / (1 + 10^((E$103 - lastVal)/400)))))
)
))"),"")</f>
        <v/>
      </c>
      <c r="G22" s="32" t="str">
        <f>IFERROR(__xludf.DUMMYFUNCTION("IF('Résultats des tournois'!F$2=0,"""",LET(
lastVal, INDEX(FILTER($B22:F22, ISNUMBER($B22:F22)), COUNTA(FILTER($B22:F22, ISNUMBER($B22:F22)))),
IFERROR(
IF('Résultats des tournois'!F22="""", INDEX(FILTER($C22:F22, ISNUMBER($C22:F22)), COUNTA(FILTER($C22:F"&amp;"22, ISNUMBER($C22:F22)))),
lastVal + 'K dynamique'!F22 * ((SQRT('Résultats des tournois'!F$2 + 1)/'Résultats des tournois'!F22) - (1 / (1 + 10^((F$103 - lastVal)/400)))))
)
))"),"")</f>
        <v/>
      </c>
      <c r="H22" s="32">
        <f>IFERROR(__xludf.DUMMYFUNCTION("IF('Résultats des tournois'!G$2=0,"""",LET(
lastVal, INDEX(FILTER($B22:G22, ISNUMBER($B22:G22)), COUNTA(FILTER($B22:G22, ISNUMBER($B22:G22)))),
IFERROR(
IF('Résultats des tournois'!G22="""", INDEX(FILTER($C22:G22, ISNUMBER($C22:G22)), COUNTA(FILTER($C22:G"&amp;"22, ISNUMBER($C22:G22)))),
lastVal + 'K dynamique'!G22 * ((SQRT('Résultats des tournois'!G$2 + 1)/'Résultats des tournois'!G22) - (1 / (1 + 10^((G$103 - lastVal)/400)))))
)
))"),1515.0734733787995)</f>
        <v>1515.073473</v>
      </c>
      <c r="I22" s="32">
        <f>IFERROR(__xludf.DUMMYFUNCTION("IF('Résultats des tournois'!H$2=0,"""",LET(
lastVal, INDEX(FILTER($B22:H22, ISNUMBER($B22:H22)), COUNTA(FILTER($B22:H22, ISNUMBER($B22:H22)))),
IFERROR(
IF('Résultats des tournois'!H22="""", INDEX(FILTER($C22:H22, ISNUMBER($C22:H22)), COUNTA(FILTER($C22:H"&amp;"22, ISNUMBER($C22:H22)))),
lastVal + 'K dynamique'!H22 * ((SQRT('Résultats des tournois'!H$2 + 1)/'Résultats des tournois'!H22) - (1 / (1 + 10^((H$103 - lastVal)/400)))))
)
))"),1513.795181203106)</f>
        <v>1513.795181</v>
      </c>
      <c r="J22" s="32">
        <f>IFERROR(__xludf.DUMMYFUNCTION("IF('Résultats des tournois'!I$2=0,"""",LET(
lastVal, INDEX(FILTER($B22:I22, ISNUMBER($B22:I22)), COUNTA(FILTER($B22:I22, ISNUMBER($B22:I22)))),
IFERROR(
IF('Résultats des tournois'!I22="""", INDEX(FILTER($C22:I22, ISNUMBER($C22:I22)), COUNTA(FILTER($C22:I"&amp;"22, ISNUMBER($C22:I22)))),
lastVal + 'K dynamique'!I22 * ((SQRT('Résultats des tournois'!I$2 + 1)/'Résultats des tournois'!I22) - (1 / (1 + 10^((I$103 - lastVal)/400)))))
)
))"),1513.795181203106)</f>
        <v>1513.795181</v>
      </c>
      <c r="K22" s="32">
        <f>IFERROR(__xludf.DUMMYFUNCTION("IF('Résultats des tournois'!J$2=0,"""",LET(
lastVal, INDEX(FILTER($B22:J22, ISNUMBER($B22:J22)), COUNTA(FILTER($B22:J22, ISNUMBER($B22:J22)))),
IFERROR(
IF('Résultats des tournois'!J22="""", INDEX(FILTER($C22:J22, ISNUMBER($C22:J22)), COUNTA(FILTER($C22:J"&amp;"22, ISNUMBER($C22:J22)))),
lastVal + 'K dynamique'!J22 * ((SQRT('Résultats des tournois'!J$2 + 1)/'Résultats des tournois'!J22) - (1 / (1 + 10^((J$103 - lastVal)/400)))))
)
))"),1531.9796306962596)</f>
        <v>1531.979631</v>
      </c>
      <c r="L22" s="32">
        <f>IFERROR(__xludf.DUMMYFUNCTION("IF('Résultats des tournois'!K$2=0,"""",LET(
lastVal, INDEX(FILTER($B22:K22, ISNUMBER($B22:K22)), COUNTA(FILTER($B22:K22, ISNUMBER($B22:K22)))),
IFERROR(
IF('Résultats des tournois'!K22="""", INDEX(FILTER($C22:K22, ISNUMBER($C22:K22)), COUNTA(FILTER($C22:K"&amp;"22, ISNUMBER($C22:K22)))),
lastVal + 'K dynamique'!K22 * ((SQRT('Résultats des tournois'!K$2 + 1)/'Résultats des tournois'!K22) - (1 / (1 + 10^((K$103 - lastVal)/400)))))
)
))"),1560.375881018327)</f>
        <v>1560.375881</v>
      </c>
      <c r="M22" s="32">
        <f>IFERROR(__xludf.DUMMYFUNCTION("IF('Résultats des tournois'!L$2=0,"""",LET(
lastVal, INDEX(FILTER($B22:L22, ISNUMBER($B22:L22)), COUNTA(FILTER($B22:L22, ISNUMBER($B22:L22)))),
IFERROR(
IF('Résultats des tournois'!L22="""", INDEX(FILTER($C22:L22, ISNUMBER($C22:L22)), COUNTA(FILTER($C22:L"&amp;"22, ISNUMBER($C22:L22)))),
lastVal + 'K dynamique'!L22 * ((SQRT('Résultats des tournois'!L$2 + 1)/'Résultats des tournois'!L22) - (1 / (1 + 10^((L$103 - lastVal)/400)))))
)
))"),1560.375881018327)</f>
        <v>1560.375881</v>
      </c>
      <c r="N22" s="32" t="str">
        <f>IFERROR(__xludf.DUMMYFUNCTION("IF('Résultats des tournois'!M$2=0,"""",LET(
lastVal, INDEX(FILTER($B22:M22, ISNUMBER($B22:M22)), COUNTA(FILTER($B22:M22, ISNUMBER($B22:M22)))),
IFERROR(
IF('Résultats des tournois'!M22="""", INDEX(FILTER($C22:M22, ISNUMBER($C22:M22)), COUNTA(FILTER($C22:M"&amp;"22, ISNUMBER($C22:M22)))),
lastVal + 'K dynamique'!M22 * ((SQRT('Résultats des tournois'!M$2 + 1)/'Résultats des tournois'!M22) - (1 / (1 + 10^((M$103 - lastVal)/400)))))
)
))"),"")</f>
        <v/>
      </c>
      <c r="O22" s="32" t="str">
        <f>IFERROR(__xludf.DUMMYFUNCTION("IF('Résultats des tournois'!N$2=0,"""",LET(
lastVal, INDEX(FILTER($B22:N22, ISNUMBER($B22:N22)), COUNTA(FILTER($B22:N22, ISNUMBER($B22:N22)))),
IFERROR(
IF('Résultats des tournois'!N22="""", INDEX(FILTER($C22:N22, ISNUMBER($C22:N22)), COUNTA(FILTER($C22:N"&amp;"22, ISNUMBER($C22:N22)))),
lastVal + 'K dynamique'!N22 * ((SQRT('Résultats des tournois'!N$2 + 1)/'Résultats des tournois'!N22) - (1 / (1 + 10^((N$103 - lastVal)/400)))))
)
))"),"")</f>
        <v/>
      </c>
      <c r="P22" s="32" t="str">
        <f>IFERROR(__xludf.DUMMYFUNCTION("IF('Résultats des tournois'!O$2=0,"""",LET(
lastVal, INDEX(FILTER($B22:O22, ISNUMBER($B22:O22)), COUNTA(FILTER($B22:O22, ISNUMBER($B22:O22)))),
IFERROR(
IF('Résultats des tournois'!O22="""", INDEX(FILTER($C22:O22, ISNUMBER($C22:O22)), COUNTA(FILTER($C22:O"&amp;"22, ISNUMBER($C22:O22)))),
lastVal + 'K dynamique'!O22 * ((SQRT('Résultats des tournois'!O$2 + 1)/'Résultats des tournois'!O22) - (1 / (1 + 10^((O$103 - lastVal)/400)))))
)
))"),"")</f>
        <v/>
      </c>
      <c r="Q22" s="32" t="str">
        <f>IFERROR(__xludf.DUMMYFUNCTION("IF('Résultats des tournois'!P$2=0,"""",LET(
lastVal, INDEX(FILTER($B22:P22, ISNUMBER($B22:P22)), COUNTA(FILTER($B22:P22, ISNUMBER($B22:P22)))),
IFERROR(
IF('Résultats des tournois'!P22="""", INDEX(FILTER($C22:P22, ISNUMBER($C22:P22)), COUNTA(FILTER($C22:P"&amp;"22, ISNUMBER($C22:P22)))),
lastVal + 'K dynamique'!P22 * ((SQRT('Résultats des tournois'!P$2 + 1)/'Résultats des tournois'!P22) - (1 / (1 + 10^((P$103 - lastVal)/400)))))
)
))"),"")</f>
        <v/>
      </c>
      <c r="R22" s="32" t="str">
        <f>IFERROR(__xludf.DUMMYFUNCTION("IF('Résultats des tournois'!Q$2=0,"""",LET(
lastVal, INDEX(FILTER($B22:Q22, ISNUMBER($B22:Q22)), COUNTA(FILTER($B22:Q22, ISNUMBER($B22:Q22)))),
IFERROR(
IF('Résultats des tournois'!Q22="""", INDEX(FILTER($C22:Q22, ISNUMBER($C22:Q22)), COUNTA(FILTER($C22:Q"&amp;"22, ISNUMBER($C22:Q22)))),
lastVal + 'K dynamique'!Q22 * ((SQRT('Résultats des tournois'!Q$2 + 1)/'Résultats des tournois'!Q22) - (1 / (1 + 10^((Q$103 - lastVal)/400)))))
)
))"),"")</f>
        <v/>
      </c>
      <c r="S22" s="32" t="str">
        <f>IFERROR(__xludf.DUMMYFUNCTION("IF('Résultats des tournois'!R$2=0,"""",LET(
lastVal, INDEX(FILTER($B22:R22, ISNUMBER($B22:R22)), COUNTA(FILTER($B22:R22, ISNUMBER($B22:R22)))),
IFERROR(
IF('Résultats des tournois'!R22="""", INDEX(FILTER($C22:R22, ISNUMBER($C22:R22)), COUNTA(FILTER($C22:R"&amp;"22, ISNUMBER($C22:R22)))),
lastVal + 'K dynamique'!R22 * ((SQRT('Résultats des tournois'!R$2 + 1)/'Résultats des tournois'!R22) - (1 / (1 + 10^((R$103 - lastVal)/400)))))
)
))"),"")</f>
        <v/>
      </c>
      <c r="T22" s="32" t="str">
        <f>IFERROR(__xludf.DUMMYFUNCTION("IF('Résultats des tournois'!S$2=0,"""",LET(
lastVal, INDEX(FILTER($B22:S22, ISNUMBER($B22:S22)), COUNTA(FILTER($B22:S22, ISNUMBER($B22:S22)))),
IFERROR(
IF('Résultats des tournois'!S22="""", INDEX(FILTER($C22:S22, ISNUMBER($C22:S22)), COUNTA(FILTER($C22:S"&amp;"22, ISNUMBER($C22:S22)))),
lastVal + 'K dynamique'!S22 * ((SQRT('Résultats des tournois'!S$2 + 1)/'Résultats des tournois'!S22) - (1 / (1 + 10^((S$103 - lastVal)/400)))))
)
))"),"")</f>
        <v/>
      </c>
      <c r="U22" s="32" t="str">
        <f>IFERROR(__xludf.DUMMYFUNCTION("IF('Résultats des tournois'!T$2=0,"""",LET(
lastVal, INDEX(FILTER($B22:T22, ISNUMBER($B22:T22)), COUNTA(FILTER($B22:T22, ISNUMBER($B22:T22)))),
IFERROR(
IF('Résultats des tournois'!T22="""", INDEX(FILTER($C22:T22, ISNUMBER($C22:T22)), COUNTA(FILTER($C22:T"&amp;"22, ISNUMBER($C22:T22)))),
lastVal + 'K dynamique'!T22 * ((SQRT('Résultats des tournois'!T$2 + 1)/'Résultats des tournois'!T22) - (1 / (1 + 10^((T$103 - lastVal)/400)))))
)
))"),"")</f>
        <v/>
      </c>
      <c r="V22" s="32" t="str">
        <f>IFERROR(__xludf.DUMMYFUNCTION("IF('Résultats des tournois'!U$2=0,"""",LET(
lastVal, INDEX(FILTER($B22:U22, ISNUMBER($B22:U22)), COUNTA(FILTER($B22:U22, ISNUMBER($B22:U22)))),
IFERROR(
IF('Résultats des tournois'!U22="""", INDEX(FILTER($C22:U22, ISNUMBER($C22:U22)), COUNTA(FILTER($C22:U"&amp;"22, ISNUMBER($C22:U22)))),
lastVal + 'K dynamique'!U22 * ((SQRT('Résultats des tournois'!U$2 + 1)/'Résultats des tournois'!U22) - (1 / (1 + 10^((U$103 - lastVal)/400)))))
)
))"),"")</f>
        <v/>
      </c>
      <c r="W22" s="32" t="str">
        <f>IFERROR(__xludf.DUMMYFUNCTION("IF('Résultats des tournois'!V$2=0,"""",LET(
lastVal, INDEX(FILTER($B22:V22, ISNUMBER($B22:V22)), COUNTA(FILTER($B22:V22, ISNUMBER($B22:V22)))),
IFERROR(
IF('Résultats des tournois'!V22="""", INDEX(FILTER($C22:V22, ISNUMBER($C22:V22)), COUNTA(FILTER($C22:V"&amp;"22, ISNUMBER($C22:V22)))),
lastVal + 'K dynamique'!V22 * ((SQRT('Résultats des tournois'!V$2 + 1)/'Résultats des tournois'!V22) - (1 / (1 + 10^((V$103 - lastVal)/400)))))
)
))"),"")</f>
        <v/>
      </c>
      <c r="X22" s="32" t="str">
        <f>IFERROR(__xludf.DUMMYFUNCTION("IF('Résultats des tournois'!W$2=0,"""",LET(
lastVal, INDEX(FILTER($B22:W22, ISNUMBER($B22:W22)), COUNTA(FILTER($B22:W22, ISNUMBER($B22:W22)))),
IFERROR(
IF('Résultats des tournois'!W22="""", INDEX(FILTER($C22:W22, ISNUMBER($C22:W22)), COUNTA(FILTER($C22:W"&amp;"22, ISNUMBER($C22:W22)))),
lastVal + 'K dynamique'!W22 * ((SQRT('Résultats des tournois'!W$2 + 1)/'Résultats des tournois'!W22) - (1 / (1 + 10^((W$103 - lastVal)/400)))))
)
))"),"")</f>
        <v/>
      </c>
      <c r="Y22" s="32" t="str">
        <f>IFERROR(__xludf.DUMMYFUNCTION("IF('Résultats des tournois'!X$2=0,"""",LET(
lastVal, INDEX(FILTER($B22:X22, ISNUMBER($B22:X22)), COUNTA(FILTER($B22:X22, ISNUMBER($B22:X22)))),
IFERROR(
IF('Résultats des tournois'!X22="""", INDEX(FILTER($C22:X22, ISNUMBER($C22:X22)), COUNTA(FILTER($C22:X"&amp;"22, ISNUMBER($C22:X22)))),
lastVal + 'K dynamique'!X22 * ((SQRT('Résultats des tournois'!X$2 + 1)/'Résultats des tournois'!X22) - (1 / (1 + 10^((X$103 - lastVal)/400)))))
)
))"),"")</f>
        <v/>
      </c>
      <c r="Z22" s="32" t="str">
        <f>IFERROR(__xludf.DUMMYFUNCTION("IF('Résultats des tournois'!Y$2=0,"""",LET(
lastVal, INDEX(FILTER($B22:Y22, ISNUMBER($B22:Y22)), COUNTA(FILTER($B22:Y22, ISNUMBER($B22:Y22)))),
IFERROR(
IF('Résultats des tournois'!Y22="""", INDEX(FILTER($C22:Y22, ISNUMBER($C22:Y22)), COUNTA(FILTER($C22:Y"&amp;"22, ISNUMBER($C22:Y22)))),
lastVal + 'K dynamique'!Y22 * ((SQRT('Résultats des tournois'!Y$2 + 1)/'Résultats des tournois'!Y22) - (1 / (1 + 10^((Y$103 - lastVal)/400)))))
)
))"),"")</f>
        <v/>
      </c>
      <c r="AA22" s="32" t="str">
        <f>IFERROR(__xludf.DUMMYFUNCTION("IF('Résultats des tournois'!Z$2=0,"""",LET(
lastVal, INDEX(FILTER($B22:Z22, ISNUMBER($B22:Z22)), COUNTA(FILTER($B22:Z22, ISNUMBER($B22:Z22)))),
IFERROR(
IF('Résultats des tournois'!Z22="""", INDEX(FILTER($C22:Z22, ISNUMBER($C22:Z22)), COUNTA(FILTER($C22:Z"&amp;"22, ISNUMBER($C22:Z22)))),
lastVal + 'K dynamique'!Z22 * ((SQRT('Résultats des tournois'!Z$2 + 1)/'Résultats des tournois'!Z22) - (1 / (1 + 10^((Z$103 - lastVal)/400)))))
)
))"),"")</f>
        <v/>
      </c>
      <c r="AB22" s="32" t="str">
        <f>IFERROR(__xludf.DUMMYFUNCTION("IF('Résultats des tournois'!AA$2=0,"""",LET(
lastVal, INDEX(FILTER($B22:AA22, ISNUMBER($B22:AA22)), COUNTA(FILTER($B22:AA22, ISNUMBER($B22:AA22)))),
IFERROR(
IF('Résultats des tournois'!AA22="""", INDEX(FILTER($C22:AA22, ISNUMBER($C22:AA22)), COUNTA(FILTE"&amp;"R($C22:AA22, ISNUMBER($C22:AA22)))),
lastVal + 'K dynamique'!AA22 * ((SQRT('Résultats des tournois'!AA$2 + 1)/'Résultats des tournois'!AA22) - (1 / (1 + 10^((AA$103 - lastVal)/400)))))
)
))"),"")</f>
        <v/>
      </c>
      <c r="AC22" s="32" t="str">
        <f>IFERROR(__xludf.DUMMYFUNCTION("IF('Résultats des tournois'!AB$2=0,"""",LET(
lastVal, INDEX(FILTER($B22:AB22, ISNUMBER($B22:AB22)), COUNTA(FILTER($B22:AB22, ISNUMBER($B22:AB22)))),
IFERROR(
IF('Résultats des tournois'!AB22="""", INDEX(FILTER($C22:AB22, ISNUMBER($C22:AB22)), COUNTA(FILTE"&amp;"R($C22:AB22, ISNUMBER($C22:AB22)))),
lastVal + 'K dynamique'!AB22 * ((SQRT('Résultats des tournois'!AB$2 + 1)/'Résultats des tournois'!AB22) - (1 / (1 + 10^((AB$103 - lastVal)/400)))))
)
))"),"")</f>
        <v/>
      </c>
      <c r="AD22" s="32" t="str">
        <f>IFERROR(__xludf.DUMMYFUNCTION("IF('Résultats des tournois'!AC$2=0,"""",LET(
lastVal, INDEX(FILTER($B22:AC22, ISNUMBER($B22:AC22)), COUNTA(FILTER($B22:AC22, ISNUMBER($B22:AC22)))),
IFERROR(
IF('Résultats des tournois'!AC22="""", INDEX(FILTER($C22:AC22, ISNUMBER($C22:AC22)), COUNTA(FILTE"&amp;"R($C22:AC22, ISNUMBER($C22:AC22)))),
lastVal + 'K dynamique'!AC22 * ((SQRT('Résultats des tournois'!AC$2 + 1)/'Résultats des tournois'!AC22) - (1 / (1 + 10^((AC$103 - lastVal)/400)))))
)
))"),"")</f>
        <v/>
      </c>
      <c r="AE22" s="32" t="str">
        <f>IFERROR(__xludf.DUMMYFUNCTION("IF('Résultats des tournois'!AD$2=0,"""",LET(
lastVal, INDEX(FILTER($B22:AD22, ISNUMBER($B22:AD22)), COUNTA(FILTER($B22:AD22, ISNUMBER($B22:AD22)))),
IFERROR(
IF('Résultats des tournois'!AD22="""", INDEX(FILTER($C22:AD22, ISNUMBER($C22:AD22)), COUNTA(FILTE"&amp;"R($C22:AD22, ISNUMBER($C22:AD22)))),
lastVal + 'K dynamique'!AD22 * ((SQRT('Résultats des tournois'!AD$2 + 1)/'Résultats des tournois'!AD22) - (1 / (1 + 10^((AD$103 - lastVal)/400)))))
)
))"),"")</f>
        <v/>
      </c>
      <c r="AF22" s="32" t="str">
        <f>IFERROR(__xludf.DUMMYFUNCTION("IF('Résultats des tournois'!AE$2=0,"""",LET(
lastVal, INDEX(FILTER($B22:AE22, ISNUMBER($B22:AE22)), COUNTA(FILTER($B22:AE22, ISNUMBER($B22:AE22)))),
IFERROR(
IF('Résultats des tournois'!AE22="""", INDEX(FILTER($C22:AE22, ISNUMBER($C22:AE22)), COUNTA(FILTE"&amp;"R($C22:AE22, ISNUMBER($C22:AE22)))),
lastVal + 'K dynamique'!AE22 * ((SQRT('Résultats des tournois'!AE$2 + 1)/'Résultats des tournois'!AE22) - (1 / (1 + 10^((AE$103 - lastVal)/400)))))
)
))"),"")</f>
        <v/>
      </c>
      <c r="AG22" s="32" t="str">
        <f>IFERROR(__xludf.DUMMYFUNCTION("IF('Résultats des tournois'!AF$2=0,"""",LET(
lastVal, INDEX(FILTER($B22:AF22, ISNUMBER($B22:AF22)), COUNTA(FILTER($B22:AF22, ISNUMBER($B22:AF22)))),
IFERROR(
IF('Résultats des tournois'!AF22="""", INDEX(FILTER($C22:AF22, ISNUMBER($C22:AF22)), COUNTA(FILTE"&amp;"R($C22:AF22, ISNUMBER($C22:AF22)))),
lastVal + 'K dynamique'!AF22 * ((SQRT('Résultats des tournois'!AF$2 + 1)/'Résultats des tournois'!AF22) - (1 / (1 + 10^((AF$103 - lastVal)/400)))))
)
))"),"")</f>
        <v/>
      </c>
      <c r="AH22" s="32" t="str">
        <f>IFERROR(__xludf.DUMMYFUNCTION("IF('Résultats des tournois'!AG$2=0,"""",LET(
lastVal, INDEX(FILTER($B22:AG22, ISNUMBER($B22:AG22)), COUNTA(FILTER($B22:AG22, ISNUMBER($B22:AG22)))),
IFERROR(
IF('Résultats des tournois'!AG22="""", INDEX(FILTER($C22:AG22, ISNUMBER($C22:AG22)), COUNTA(FILTE"&amp;"R($C22:AG22, ISNUMBER($C22:AG22)))),
lastVal + 'K dynamique'!AG22 * ((SQRT('Résultats des tournois'!AG$2 + 1)/'Résultats des tournois'!AG22) - (1 / (1 + 10^((AG$103 - lastVal)/400)))))
)
))"),"")</f>
        <v/>
      </c>
      <c r="AI22" s="32" t="str">
        <f>IFERROR(__xludf.DUMMYFUNCTION("IF('Résultats des tournois'!AH$2=0,"""",LET(
lastVal, INDEX(FILTER($B22:AH22, ISNUMBER($B22:AH22)), COUNTA(FILTER($B22:AH22, ISNUMBER($B22:AH22)))),
IFERROR(
IF('Résultats des tournois'!AH22="""", INDEX(FILTER($C22:AH22, ISNUMBER($C22:AH22)), COUNTA(FILTE"&amp;"R($C22:AH22, ISNUMBER($C22:AH22)))),
lastVal + 'K dynamique'!AH22 * ((SQRT('Résultats des tournois'!AH$2 + 1)/'Résultats des tournois'!AH22) - (1 / (1 + 10^((AH$103 - lastVal)/400)))))
)
))"),"")</f>
        <v/>
      </c>
      <c r="AJ22" s="32" t="str">
        <f>IFERROR(__xludf.DUMMYFUNCTION("IF('Résultats des tournois'!AI$2=0,"""",LET(
lastVal, INDEX(FILTER($B22:AI22, ISNUMBER($B22:AI22)), COUNTA(FILTER($B22:AI22, ISNUMBER($B22:AI22)))),
IFERROR(
IF('Résultats des tournois'!AI22="""", INDEX(FILTER($C22:AI22, ISNUMBER($C22:AI22)), COUNTA(FILTE"&amp;"R($C22:AI22, ISNUMBER($C22:AI22)))),
lastVal + 'K dynamique'!AI22 * ((SQRT('Résultats des tournois'!AI$2 + 1)/'Résultats des tournois'!AI22) - (1 / (1 + 10^((AI$103 - lastVal)/400)))))
)
))"),"")</f>
        <v/>
      </c>
      <c r="AK22" s="32" t="str">
        <f>IFERROR(__xludf.DUMMYFUNCTION("IF('Résultats des tournois'!AJ$2=0,"""",LET(
lastVal, INDEX(FILTER($B22:AJ22, ISNUMBER($B22:AJ22)), COUNTA(FILTER($B22:AJ22, ISNUMBER($B22:AJ22)))),
IFERROR(
IF('Résultats des tournois'!AJ22="""", INDEX(FILTER($C22:AJ22, ISNUMBER($C22:AJ22)), COUNTA(FILTE"&amp;"R($C22:AJ22, ISNUMBER($C22:AJ22)))),
lastVal + 'K dynamique'!AJ22 * ((SQRT('Résultats des tournois'!AJ$2 + 1)/'Résultats des tournois'!AJ22) - (1 / (1 + 10^((AJ$103 - lastVal)/400)))))
)
))"),"")</f>
        <v/>
      </c>
      <c r="AL22" s="32" t="str">
        <f>IFERROR(__xludf.DUMMYFUNCTION("IF('Résultats des tournois'!AK$2=0,"""",LET(
lastVal, INDEX(FILTER($B22:AK22, ISNUMBER($B22:AK22)), COUNTA(FILTER($B22:AK22, ISNUMBER($B22:AK22)))),
IFERROR(
IF('Résultats des tournois'!AK22="""", INDEX(FILTER($C22:AK22, ISNUMBER($C22:AK22)), COUNTA(FILTE"&amp;"R($C22:AK22, ISNUMBER($C22:AK22)))),
lastVal + 'K dynamique'!AK22 * ((SQRT('Résultats des tournois'!AK$2 + 1)/'Résultats des tournois'!AK22) - (1 / (1 + 10^((AK$103 - lastVal)/400)))))
)
))"),"")</f>
        <v/>
      </c>
      <c r="AM22" s="32" t="str">
        <f>IFERROR(__xludf.DUMMYFUNCTION("IF('Résultats des tournois'!AL$2=0,"""",LET(
lastVal, INDEX(FILTER($B22:AL22, ISNUMBER($B22:AL22)), COUNTA(FILTER($B22:AL22, ISNUMBER($B22:AL22)))),
IFERROR(
IF('Résultats des tournois'!AL22="""", INDEX(FILTER($C22:AL22, ISNUMBER($C22:AL22)), COUNTA(FILTE"&amp;"R($C22:AL22, ISNUMBER($C22:AL22)))),
lastVal + 'K dynamique'!AL22 * ((SQRT('Résultats des tournois'!AL$2 + 1)/'Résultats des tournois'!AL22) - (1 / (1 + 10^((AL$103 - lastVal)/400)))))
)
))"),"")</f>
        <v/>
      </c>
      <c r="AN22" s="32" t="str">
        <f>IFERROR(__xludf.DUMMYFUNCTION("IF('Résultats des tournois'!AM$2=0,"""",LET(
lastVal, INDEX(FILTER($B22:AM22, ISNUMBER($B22:AM22)), COUNTA(FILTER($B22:AM22, ISNUMBER($B22:AM22)))),
IFERROR(
IF('Résultats des tournois'!AM22="""", INDEX(FILTER($C22:AM22, ISNUMBER($C22:AM22)), COUNTA(FILTE"&amp;"R($C22:AM22, ISNUMBER($C22:AM22)))),
lastVal + 'K dynamique'!AM22 * ((SQRT('Résultats des tournois'!AM$2 + 1)/'Résultats des tournois'!AM22) - (1 / (1 + 10^((AM$103 - lastVal)/400)))))
)
))"),"")</f>
        <v/>
      </c>
      <c r="AO22" s="32" t="str">
        <f>IFERROR(__xludf.DUMMYFUNCTION("IF('Résultats des tournois'!AN$2=0,"""",LET(
lastVal, INDEX(FILTER($B22:AN22, ISNUMBER($B22:AN22)), COUNTA(FILTER($B22:AN22, ISNUMBER($B22:AN22)))),
IFERROR(
IF('Résultats des tournois'!AN22="""", INDEX(FILTER($C22:AN22, ISNUMBER($C22:AN22)), COUNTA(FILTE"&amp;"R($C22:AN22, ISNUMBER($C22:AN22)))),
lastVal + 'K dynamique'!AN22 * ((SQRT('Résultats des tournois'!AN$2 + 1)/'Résultats des tournois'!AN22) - (1 / (1 + 10^((AN$103 - lastVal)/400)))))
)
))"),"")</f>
        <v/>
      </c>
      <c r="AP22" s="32" t="str">
        <f>IFERROR(__xludf.DUMMYFUNCTION("IF('Résultats des tournois'!AO$2=0,"""",LET(
lastVal, INDEX(FILTER($B22:AO22, ISNUMBER($B22:AO22)), COUNTA(FILTER($B22:AO22, ISNUMBER($B22:AO22)))),
IFERROR(
IF('Résultats des tournois'!AO22="""", INDEX(FILTER($C22:AO22, ISNUMBER($C22:AO22)), COUNTA(FILTE"&amp;"R($C22:AO22, ISNUMBER($C22:AO22)))),
lastVal + 'K dynamique'!AO22 * ((SQRT('Résultats des tournois'!AO$2 + 1)/'Résultats des tournois'!AO22) - (1 / (1 + 10^((AO$103 - lastVal)/400)))))
)
))"),"")</f>
        <v/>
      </c>
      <c r="AQ22" s="32" t="str">
        <f>IFERROR(__xludf.DUMMYFUNCTION("IF('Résultats des tournois'!AP$2=0,"""",LET(
lastVal, INDEX(FILTER($B22:AP22, ISNUMBER($B22:AP22)), COUNTA(FILTER($B22:AP22, ISNUMBER($B22:AP22)))),
IFERROR(
IF('Résultats des tournois'!AP22="""", INDEX(FILTER($C22:AP22, ISNUMBER($C22:AP22)), COUNTA(FILTE"&amp;"R($C22:AP22, ISNUMBER($C22:AP22)))),
lastVal + 'K dynamique'!AP22 * ((SQRT('Résultats des tournois'!AP$2 + 1)/'Résultats des tournois'!AP22) - (1 / (1 + 10^((AP$103 - lastVal)/400)))))
)
))"),"")</f>
        <v/>
      </c>
      <c r="AR22" s="32" t="str">
        <f>IFERROR(__xludf.DUMMYFUNCTION("IF('Résultats des tournois'!AQ$2=0,"""",LET(
lastVal, INDEX(FILTER($B22:AQ22, ISNUMBER($B22:AQ22)), COUNTA(FILTER($B22:AQ22, ISNUMBER($B22:AQ22)))),
IFERROR(
IF('Résultats des tournois'!AQ22="""", INDEX(FILTER($C22:AQ22, ISNUMBER($C22:AQ22)), COUNTA(FILTE"&amp;"R($C22:AQ22, ISNUMBER($C22:AQ22)))),
lastVal + 'K dynamique'!AQ22 * ((SQRT('Résultats des tournois'!AQ$2 + 1)/'Résultats des tournois'!AQ22) - (1 / (1 + 10^((AQ$103 - lastVal)/400)))))
)
))"),"")</f>
        <v/>
      </c>
      <c r="AS22" s="32" t="str">
        <f>IFERROR(__xludf.DUMMYFUNCTION("IF('Résultats des tournois'!AR$2=0,"""",LET(
lastVal, INDEX(FILTER($B22:AR22, ISNUMBER($B22:AR22)), COUNTA(FILTER($B22:AR22, ISNUMBER($B22:AR22)))),
IFERROR(
IF('Résultats des tournois'!AR22="""", INDEX(FILTER($C22:AR22, ISNUMBER($C22:AR22)), COUNTA(FILTE"&amp;"R($C22:AR22, ISNUMBER($C22:AR22)))),
lastVal + 'K dynamique'!AR22 * ((SQRT('Résultats des tournois'!AR$2 + 1)/'Résultats des tournois'!AR22) - (1 / (1 + 10^((AR$103 - lastVal)/400)))))
)
))"),"")</f>
        <v/>
      </c>
      <c r="AT22" s="32" t="str">
        <f>IFERROR(__xludf.DUMMYFUNCTION("IF('Résultats des tournois'!AS$2=0,"""",LET(
lastVal, INDEX(FILTER($B22:AS22, ISNUMBER($B22:AS22)), COUNTA(FILTER($B22:AS22, ISNUMBER($B22:AS22)))),
IFERROR(
IF('Résultats des tournois'!AS22="""", INDEX(FILTER($C22:AS22, ISNUMBER($C22:AS22)), COUNTA(FILTE"&amp;"R($C22:AS22, ISNUMBER($C22:AS22)))),
lastVal + 'K dynamique'!AS22 * ((SQRT('Résultats des tournois'!AS$2 + 1)/'Résultats des tournois'!AS22) - (1 / (1 + 10^((AS$103 - lastVal)/400)))))
)
))"),"")</f>
        <v/>
      </c>
      <c r="AU22" s="32" t="str">
        <f>IFERROR(__xludf.DUMMYFUNCTION("IF('Résultats des tournois'!AT$2=0,"""",LET(
lastVal, INDEX(FILTER($B22:AT22, ISNUMBER($B22:AT22)), COUNTA(FILTER($B22:AT22, ISNUMBER($B22:AT22)))),
IFERROR(
IF('Résultats des tournois'!AT22="""", INDEX(FILTER($C22:AT22, ISNUMBER($C22:AT22)), COUNTA(FILTE"&amp;"R($C22:AT22, ISNUMBER($C22:AT22)))),
lastVal + 'K dynamique'!AT22 * ((SQRT('Résultats des tournois'!AT$2 + 1)/'Résultats des tournois'!AT22) - (1 / (1 + 10^((AT$103 - lastVal)/400)))))
)
))"),"")</f>
        <v/>
      </c>
      <c r="AV22" s="32" t="str">
        <f>IFERROR(__xludf.DUMMYFUNCTION("IF('Résultats des tournois'!AU$2=0,"""",LET(
lastVal, INDEX(FILTER($B22:AU22, ISNUMBER($B22:AU22)), COUNTA(FILTER($B22:AU22, ISNUMBER($B22:AU22)))),
IFERROR(
IF('Résultats des tournois'!AU22="""", INDEX(FILTER($C22:AU22, ISNUMBER($C22:AU22)), COUNTA(FILTE"&amp;"R($C22:AU22, ISNUMBER($C22:AU22)))),
lastVal + 'K dynamique'!AU22 * ((SQRT('Résultats des tournois'!AU$2 + 1)/'Résultats des tournois'!AU22) - (1 / (1 + 10^((AU$103 - lastVal)/400)))))
)
))"),"")</f>
        <v/>
      </c>
      <c r="AW22" s="32" t="str">
        <f>IFERROR(__xludf.DUMMYFUNCTION("IF('Résultats des tournois'!AV$2=0,"""",LET(
lastVal, INDEX(FILTER($B22:AV22, ISNUMBER($B22:AV22)), COUNTA(FILTER($B22:AV22, ISNUMBER($B22:AV22)))),
IFERROR(
IF('Résultats des tournois'!AV22="""", INDEX(FILTER($C22:AV22, ISNUMBER($C22:AV22)), COUNTA(FILTE"&amp;"R($C22:AV22, ISNUMBER($C22:AV22)))),
lastVal + 'K dynamique'!AV22 * ((SQRT('Résultats des tournois'!AV$2 + 1)/'Résultats des tournois'!AV22) - (1 / (1 + 10^((AV$103 - lastVal)/400)))))
)
))"),"")</f>
        <v/>
      </c>
      <c r="AX22" s="32" t="str">
        <f>IFERROR(__xludf.DUMMYFUNCTION("IF('Résultats des tournois'!AW$2=0,"""",LET(
lastVal, INDEX(FILTER($B22:AW22, ISNUMBER($B22:AW22)), COUNTA(FILTER($B22:AW22, ISNUMBER($B22:AW22)))),
IFERROR(
IF('Résultats des tournois'!AW22="""", INDEX(FILTER($C22:AW22, ISNUMBER($C22:AW22)), COUNTA(FILTE"&amp;"R($C22:AW22, ISNUMBER($C22:AW22)))),
lastVal + 'K dynamique'!AW22 * ((SQRT('Résultats des tournois'!AW$2 + 1)/'Résultats des tournois'!AW22) - (1 / (1 + 10^((AW$103 - lastVal)/400)))))
)
))"),"")</f>
        <v/>
      </c>
      <c r="AY22" s="32" t="str">
        <f>IFERROR(__xludf.DUMMYFUNCTION("IF('Résultats des tournois'!AX$2=0,"""",LET(
lastVal, INDEX(FILTER($B22:AX22, ISNUMBER($B22:AX22)), COUNTA(FILTER($B22:AX22, ISNUMBER($B22:AX22)))),
IFERROR(
IF('Résultats des tournois'!AX22="""", INDEX(FILTER($C22:AX22, ISNUMBER($C22:AX22)), COUNTA(FILTE"&amp;"R($C22:AX22, ISNUMBER($C22:AX22)))),
lastVal + 'K dynamique'!AX22 * ((SQRT('Résultats des tournois'!AX$2 + 1)/'Résultats des tournois'!AX22) - (1 / (1 + 10^((AX$103 - lastVal)/400)))))
)
))"),"")</f>
        <v/>
      </c>
      <c r="AZ22" s="4">
        <f t="array" ref="AZ22">IF(MAX(($C22:AY22&lt;&gt;"")*COLUMN($C22:AY22))=0,"",INDEX($C22:AY22,1,MAX(($C22:AY22&lt;&gt;"")*COLUMN($C22:AY22))-COLUMN($C22)+1))</f>
        <v>1560.375881</v>
      </c>
      <c r="BA22" s="33">
        <f t="shared" si="1"/>
        <v>12</v>
      </c>
    </row>
    <row r="23" ht="14.25" customHeight="1">
      <c r="A23" s="32" t="str">
        <f>IF('Résultats des tournois'!A23="","",'Résultats des tournois'!A23)</f>
        <v>Benoît</v>
      </c>
      <c r="B23" s="32">
        <v>1500.0</v>
      </c>
      <c r="C23" s="32" t="str">
        <f>IF('Résultats des tournois'!B23="","",B23+'K dynamique'!B23*((SQRT('Résultats des tournois'!B$2+1)/'Résultats des tournois'!B23)-(1/(1+10^((B23-B23)/400)))))</f>
        <v/>
      </c>
      <c r="D23" s="32" t="str">
        <f>IFERROR(__xludf.DUMMYFUNCTION("IF('Résultats des tournois'!C$2=0,"""",LET(
lastVal, INDEX(FILTER($B23:C23, ISNUMBER($B23:C23)), COUNTA(FILTER($B23:C23, ISNUMBER($B23:C23)))),
IFERROR(
IF('Résultats des tournois'!C23="""", INDEX(FILTER($C23:C23, ISNUMBER($C23:C23)), COUNTA(FILTER($C23:C"&amp;"23, ISNUMBER($C23:C23)))),
lastVal + 'K dynamique'!C23 * ((SQRT('Résultats des tournois'!C$2 + 1)/'Résultats des tournois'!C23) - (1 / (1 + 10^((C$103 - lastVal)/400)))))
)
))"),"")</f>
        <v/>
      </c>
      <c r="E23" s="32" t="str">
        <f>IFERROR(__xludf.DUMMYFUNCTION("IF('Résultats des tournois'!D$2=0,"""",LET(
lastVal, INDEX(FILTER($B23:D23, ISNUMBER($B23:D23)), COUNTA(FILTER($B23:D23, ISNUMBER($B23:D23)))),
IFERROR(
IF('Résultats des tournois'!D23="""", INDEX(FILTER($C23:D23, ISNUMBER($C23:D23)), COUNTA(FILTER($C23:D"&amp;"23, ISNUMBER($C23:D23)))),
lastVal + 'K dynamique'!D23 * ((SQRT('Résultats des tournois'!D$2 + 1)/'Résultats des tournois'!D23) - (1 / (1 + 10^((D$103 - lastVal)/400)))))
)
))"),"")</f>
        <v/>
      </c>
      <c r="F23" s="32" t="str">
        <f>IFERROR(__xludf.DUMMYFUNCTION("IF('Résultats des tournois'!E$2=0,"""",LET(
lastVal, INDEX(FILTER($B23:E23, ISNUMBER($B23:E23)), COUNTA(FILTER($B23:E23, ISNUMBER($B23:E23)))),
IFERROR(
IF('Résultats des tournois'!E23="""", INDEX(FILTER($C23:E23, ISNUMBER($C23:E23)), COUNTA(FILTER($C23:E"&amp;"23, ISNUMBER($C23:E23)))),
lastVal + 'K dynamique'!E23 * ((SQRT('Résultats des tournois'!E$2 + 1)/'Résultats des tournois'!E23) - (1 / (1 + 10^((E$103 - lastVal)/400)))))
)
))"),"")</f>
        <v/>
      </c>
      <c r="G23" s="32" t="str">
        <f>IFERROR(__xludf.DUMMYFUNCTION("IF('Résultats des tournois'!F$2=0,"""",LET(
lastVal, INDEX(FILTER($B23:F23, ISNUMBER($B23:F23)), COUNTA(FILTER($B23:F23, ISNUMBER($B23:F23)))),
IFERROR(
IF('Résultats des tournois'!F23="""", INDEX(FILTER($C23:F23, ISNUMBER($C23:F23)), COUNTA(FILTER($C23:F"&amp;"23, ISNUMBER($C23:F23)))),
lastVal + 'K dynamique'!F23 * ((SQRT('Résultats des tournois'!F$2 + 1)/'Résultats des tournois'!F23) - (1 / (1 + 10^((F$103 - lastVal)/400)))))
)
))"),"")</f>
        <v/>
      </c>
      <c r="H23" s="32">
        <f>IFERROR(__xludf.DUMMYFUNCTION("IF('Résultats des tournois'!G$2=0,"""",LET(
lastVal, INDEX(FILTER($B23:G23, ISNUMBER($B23:G23)), COUNTA(FILTER($B23:G23, ISNUMBER($B23:G23)))),
IFERROR(
IF('Résultats des tournois'!G23="""", INDEX(FILTER($C23:G23, ISNUMBER($C23:G23)), COUNTA(FILTER($C23:G"&amp;"23, ISNUMBER($C23:G23)))),
lastVal + 'K dynamique'!G23 * ((SQRT('Résultats des tournois'!G$2 + 1)/'Résultats des tournois'!G23) - (1 / (1 + 10^((G$103 - lastVal)/400)))))
)
))"),1509.304591338057)</f>
        <v>1509.304591</v>
      </c>
      <c r="I23" s="32">
        <f>IFERROR(__xludf.DUMMYFUNCTION("IF('Résultats des tournois'!H$2=0,"""",LET(
lastVal, INDEX(FILTER($B23:H23, ISNUMBER($B23:H23)), COUNTA(FILTER($B23:H23, ISNUMBER($B23:H23)))),
IFERROR(
IF('Résultats des tournois'!H23="""", INDEX(FILTER($C23:H23, ISNUMBER($C23:H23)), COUNTA(FILTER($C23:H"&amp;"23, ISNUMBER($C23:H23)))),
lastVal + 'K dynamique'!H23 * ((SQRT('Résultats des tournois'!H$2 + 1)/'Résultats des tournois'!H23) - (1 / (1 + 10^((H$103 - lastVal)/400)))))
)
))"),1507.0896540548267)</f>
        <v>1507.089654</v>
      </c>
      <c r="J23" s="32">
        <f>IFERROR(__xludf.DUMMYFUNCTION("IF('Résultats des tournois'!I$2=0,"""",LET(
lastVal, INDEX(FILTER($B23:I23, ISNUMBER($B23:I23)), COUNTA(FILTER($B23:I23, ISNUMBER($B23:I23)))),
IFERROR(
IF('Résultats des tournois'!I23="""", INDEX(FILTER($C23:I23, ISNUMBER($C23:I23)), COUNTA(FILTER($C23:I"&amp;"23, ISNUMBER($C23:I23)))),
lastVal + 'K dynamique'!I23 * ((SQRT('Résultats des tournois'!I$2 + 1)/'Résultats des tournois'!I23) - (1 / (1 + 10^((I$103 - lastVal)/400)))))
)
))"),1507.0896540548267)</f>
        <v>1507.089654</v>
      </c>
      <c r="K23" s="32">
        <f>IFERROR(__xludf.DUMMYFUNCTION("IF('Résultats des tournois'!J$2=0,"""",LET(
lastVal, INDEX(FILTER($B23:J23, ISNUMBER($B23:J23)), COUNTA(FILTER($B23:J23, ISNUMBER($B23:J23)))),
IFERROR(
IF('Résultats des tournois'!J23="""", INDEX(FILTER($C23:J23, ISNUMBER($C23:J23)), COUNTA(FILTER($C23:J"&amp;"23, ISNUMBER($C23:J23)))),
lastVal + 'K dynamique'!J23 * ((SQRT('Résultats des tournois'!J$2 + 1)/'Résultats des tournois'!J23) - (1 / (1 + 10^((J$103 - lastVal)/400)))))
)
))"),1504.2429812778084)</f>
        <v>1504.242981</v>
      </c>
      <c r="L23" s="32">
        <f>IFERROR(__xludf.DUMMYFUNCTION("IF('Résultats des tournois'!K$2=0,"""",LET(
lastVal, INDEX(FILTER($B23:K23, ISNUMBER($B23:K23)), COUNTA(FILTER($B23:K23, ISNUMBER($B23:K23)))),
IFERROR(
IF('Résultats des tournois'!K23="""", INDEX(FILTER($C23:K23, ISNUMBER($C23:K23)), COUNTA(FILTER($C23:K"&amp;"23, ISNUMBER($C23:K23)))),
lastVal + 'K dynamique'!K23 * ((SQRT('Résultats des tournois'!K$2 + 1)/'Résultats des tournois'!K23) - (1 / (1 + 10^((K$103 - lastVal)/400)))))
)
))"),1512.5548616949516)</f>
        <v>1512.554862</v>
      </c>
      <c r="M23" s="32">
        <f>IFERROR(__xludf.DUMMYFUNCTION("IF('Résultats des tournois'!L$2=0,"""",LET(
lastVal, INDEX(FILTER($B23:L23, ISNUMBER($B23:L23)), COUNTA(FILTER($B23:L23, ISNUMBER($B23:L23)))),
IFERROR(
IF('Résultats des tournois'!L23="""", INDEX(FILTER($C23:L23, ISNUMBER($C23:L23)), COUNTA(FILTER($C23:L"&amp;"23, ISNUMBER($C23:L23)))),
lastVal + 'K dynamique'!L23 * ((SQRT('Résultats des tournois'!L$2 + 1)/'Résultats des tournois'!L23) - (1 / (1 + 10^((L$103 - lastVal)/400)))))
)
))"),1512.5548616949516)</f>
        <v>1512.554862</v>
      </c>
      <c r="N23" s="32" t="str">
        <f>IFERROR(__xludf.DUMMYFUNCTION("IF('Résultats des tournois'!M$2=0,"""",LET(
lastVal, INDEX(FILTER($B23:M23, ISNUMBER($B23:M23)), COUNTA(FILTER($B23:M23, ISNUMBER($B23:M23)))),
IFERROR(
IF('Résultats des tournois'!M23="""", INDEX(FILTER($C23:M23, ISNUMBER($C23:M23)), COUNTA(FILTER($C23:M"&amp;"23, ISNUMBER($C23:M23)))),
lastVal + 'K dynamique'!M23 * ((SQRT('Résultats des tournois'!M$2 + 1)/'Résultats des tournois'!M23) - (1 / (1 + 10^((M$103 - lastVal)/400)))))
)
))"),"")</f>
        <v/>
      </c>
      <c r="O23" s="32" t="str">
        <f>IFERROR(__xludf.DUMMYFUNCTION("IF('Résultats des tournois'!N$2=0,"""",LET(
lastVal, INDEX(FILTER($B23:N23, ISNUMBER($B23:N23)), COUNTA(FILTER($B23:N23, ISNUMBER($B23:N23)))),
IFERROR(
IF('Résultats des tournois'!N23="""", INDEX(FILTER($C23:N23, ISNUMBER($C23:N23)), COUNTA(FILTER($C23:N"&amp;"23, ISNUMBER($C23:N23)))),
lastVal + 'K dynamique'!N23 * ((SQRT('Résultats des tournois'!N$2 + 1)/'Résultats des tournois'!N23) - (1 / (1 + 10^((N$103 - lastVal)/400)))))
)
))"),"")</f>
        <v/>
      </c>
      <c r="P23" s="32" t="str">
        <f>IFERROR(__xludf.DUMMYFUNCTION("IF('Résultats des tournois'!O$2=0,"""",LET(
lastVal, INDEX(FILTER($B23:O23, ISNUMBER($B23:O23)), COUNTA(FILTER($B23:O23, ISNUMBER($B23:O23)))),
IFERROR(
IF('Résultats des tournois'!O23="""", INDEX(FILTER($C23:O23, ISNUMBER($C23:O23)), COUNTA(FILTER($C23:O"&amp;"23, ISNUMBER($C23:O23)))),
lastVal + 'K dynamique'!O23 * ((SQRT('Résultats des tournois'!O$2 + 1)/'Résultats des tournois'!O23) - (1 / (1 + 10^((O$103 - lastVal)/400)))))
)
))"),"")</f>
        <v/>
      </c>
      <c r="Q23" s="32" t="str">
        <f>IFERROR(__xludf.DUMMYFUNCTION("IF('Résultats des tournois'!P$2=0,"""",LET(
lastVal, INDEX(FILTER($B23:P23, ISNUMBER($B23:P23)), COUNTA(FILTER($B23:P23, ISNUMBER($B23:P23)))),
IFERROR(
IF('Résultats des tournois'!P23="""", INDEX(FILTER($C23:P23, ISNUMBER($C23:P23)), COUNTA(FILTER($C23:P"&amp;"23, ISNUMBER($C23:P23)))),
lastVal + 'K dynamique'!P23 * ((SQRT('Résultats des tournois'!P$2 + 1)/'Résultats des tournois'!P23) - (1 / (1 + 10^((P$103 - lastVal)/400)))))
)
))"),"")</f>
        <v/>
      </c>
      <c r="R23" s="32" t="str">
        <f>IFERROR(__xludf.DUMMYFUNCTION("IF('Résultats des tournois'!Q$2=0,"""",LET(
lastVal, INDEX(FILTER($B23:Q23, ISNUMBER($B23:Q23)), COUNTA(FILTER($B23:Q23, ISNUMBER($B23:Q23)))),
IFERROR(
IF('Résultats des tournois'!Q23="""", INDEX(FILTER($C23:Q23, ISNUMBER($C23:Q23)), COUNTA(FILTER($C23:Q"&amp;"23, ISNUMBER($C23:Q23)))),
lastVal + 'K dynamique'!Q23 * ((SQRT('Résultats des tournois'!Q$2 + 1)/'Résultats des tournois'!Q23) - (1 / (1 + 10^((Q$103 - lastVal)/400)))))
)
))"),"")</f>
        <v/>
      </c>
      <c r="S23" s="32" t="str">
        <f>IFERROR(__xludf.DUMMYFUNCTION("IF('Résultats des tournois'!R$2=0,"""",LET(
lastVal, INDEX(FILTER($B23:R23, ISNUMBER($B23:R23)), COUNTA(FILTER($B23:R23, ISNUMBER($B23:R23)))),
IFERROR(
IF('Résultats des tournois'!R23="""", INDEX(FILTER($C23:R23, ISNUMBER($C23:R23)), COUNTA(FILTER($C23:R"&amp;"23, ISNUMBER($C23:R23)))),
lastVal + 'K dynamique'!R23 * ((SQRT('Résultats des tournois'!R$2 + 1)/'Résultats des tournois'!R23) - (1 / (1 + 10^((R$103 - lastVal)/400)))))
)
))"),"")</f>
        <v/>
      </c>
      <c r="T23" s="32" t="str">
        <f>IFERROR(__xludf.DUMMYFUNCTION("IF('Résultats des tournois'!S$2=0,"""",LET(
lastVal, INDEX(FILTER($B23:S23, ISNUMBER($B23:S23)), COUNTA(FILTER($B23:S23, ISNUMBER($B23:S23)))),
IFERROR(
IF('Résultats des tournois'!S23="""", INDEX(FILTER($C23:S23, ISNUMBER($C23:S23)), COUNTA(FILTER($C23:S"&amp;"23, ISNUMBER($C23:S23)))),
lastVal + 'K dynamique'!S23 * ((SQRT('Résultats des tournois'!S$2 + 1)/'Résultats des tournois'!S23) - (1 / (1 + 10^((S$103 - lastVal)/400)))))
)
))"),"")</f>
        <v/>
      </c>
      <c r="U23" s="32" t="str">
        <f>IFERROR(__xludf.DUMMYFUNCTION("IF('Résultats des tournois'!T$2=0,"""",LET(
lastVal, INDEX(FILTER($B23:T23, ISNUMBER($B23:T23)), COUNTA(FILTER($B23:T23, ISNUMBER($B23:T23)))),
IFERROR(
IF('Résultats des tournois'!T23="""", INDEX(FILTER($C23:T23, ISNUMBER($C23:T23)), COUNTA(FILTER($C23:T"&amp;"23, ISNUMBER($C23:T23)))),
lastVal + 'K dynamique'!T23 * ((SQRT('Résultats des tournois'!T$2 + 1)/'Résultats des tournois'!T23) - (1 / (1 + 10^((T$103 - lastVal)/400)))))
)
))"),"")</f>
        <v/>
      </c>
      <c r="V23" s="32" t="str">
        <f>IFERROR(__xludf.DUMMYFUNCTION("IF('Résultats des tournois'!U$2=0,"""",LET(
lastVal, INDEX(FILTER($B23:U23, ISNUMBER($B23:U23)), COUNTA(FILTER($B23:U23, ISNUMBER($B23:U23)))),
IFERROR(
IF('Résultats des tournois'!U23="""", INDEX(FILTER($C23:U23, ISNUMBER($C23:U23)), COUNTA(FILTER($C23:U"&amp;"23, ISNUMBER($C23:U23)))),
lastVal + 'K dynamique'!U23 * ((SQRT('Résultats des tournois'!U$2 + 1)/'Résultats des tournois'!U23) - (1 / (1 + 10^((U$103 - lastVal)/400)))))
)
))"),"")</f>
        <v/>
      </c>
      <c r="W23" s="32" t="str">
        <f>IFERROR(__xludf.DUMMYFUNCTION("IF('Résultats des tournois'!V$2=0,"""",LET(
lastVal, INDEX(FILTER($B23:V23, ISNUMBER($B23:V23)), COUNTA(FILTER($B23:V23, ISNUMBER($B23:V23)))),
IFERROR(
IF('Résultats des tournois'!V23="""", INDEX(FILTER($C23:V23, ISNUMBER($C23:V23)), COUNTA(FILTER($C23:V"&amp;"23, ISNUMBER($C23:V23)))),
lastVal + 'K dynamique'!V23 * ((SQRT('Résultats des tournois'!V$2 + 1)/'Résultats des tournois'!V23) - (1 / (1 + 10^((V$103 - lastVal)/400)))))
)
))"),"")</f>
        <v/>
      </c>
      <c r="X23" s="32" t="str">
        <f>IFERROR(__xludf.DUMMYFUNCTION("IF('Résultats des tournois'!W$2=0,"""",LET(
lastVal, INDEX(FILTER($B23:W23, ISNUMBER($B23:W23)), COUNTA(FILTER($B23:W23, ISNUMBER($B23:W23)))),
IFERROR(
IF('Résultats des tournois'!W23="""", INDEX(FILTER($C23:W23, ISNUMBER($C23:W23)), COUNTA(FILTER($C23:W"&amp;"23, ISNUMBER($C23:W23)))),
lastVal + 'K dynamique'!W23 * ((SQRT('Résultats des tournois'!W$2 + 1)/'Résultats des tournois'!W23) - (1 / (1 + 10^((W$103 - lastVal)/400)))))
)
))"),"")</f>
        <v/>
      </c>
      <c r="Y23" s="32" t="str">
        <f>IFERROR(__xludf.DUMMYFUNCTION("IF('Résultats des tournois'!X$2=0,"""",LET(
lastVal, INDEX(FILTER($B23:X23, ISNUMBER($B23:X23)), COUNTA(FILTER($B23:X23, ISNUMBER($B23:X23)))),
IFERROR(
IF('Résultats des tournois'!X23="""", INDEX(FILTER($C23:X23, ISNUMBER($C23:X23)), COUNTA(FILTER($C23:X"&amp;"23, ISNUMBER($C23:X23)))),
lastVal + 'K dynamique'!X23 * ((SQRT('Résultats des tournois'!X$2 + 1)/'Résultats des tournois'!X23) - (1 / (1 + 10^((X$103 - lastVal)/400)))))
)
))"),"")</f>
        <v/>
      </c>
      <c r="Z23" s="32" t="str">
        <f>IFERROR(__xludf.DUMMYFUNCTION("IF('Résultats des tournois'!Y$2=0,"""",LET(
lastVal, INDEX(FILTER($B23:Y23, ISNUMBER($B23:Y23)), COUNTA(FILTER($B23:Y23, ISNUMBER($B23:Y23)))),
IFERROR(
IF('Résultats des tournois'!Y23="""", INDEX(FILTER($C23:Y23, ISNUMBER($C23:Y23)), COUNTA(FILTER($C23:Y"&amp;"23, ISNUMBER($C23:Y23)))),
lastVal + 'K dynamique'!Y23 * ((SQRT('Résultats des tournois'!Y$2 + 1)/'Résultats des tournois'!Y23) - (1 / (1 + 10^((Y$103 - lastVal)/400)))))
)
))"),"")</f>
        <v/>
      </c>
      <c r="AA23" s="32" t="str">
        <f>IFERROR(__xludf.DUMMYFUNCTION("IF('Résultats des tournois'!Z$2=0,"""",LET(
lastVal, INDEX(FILTER($B23:Z23, ISNUMBER($B23:Z23)), COUNTA(FILTER($B23:Z23, ISNUMBER($B23:Z23)))),
IFERROR(
IF('Résultats des tournois'!Z23="""", INDEX(FILTER($C23:Z23, ISNUMBER($C23:Z23)), COUNTA(FILTER($C23:Z"&amp;"23, ISNUMBER($C23:Z23)))),
lastVal + 'K dynamique'!Z23 * ((SQRT('Résultats des tournois'!Z$2 + 1)/'Résultats des tournois'!Z23) - (1 / (1 + 10^((Z$103 - lastVal)/400)))))
)
))"),"")</f>
        <v/>
      </c>
      <c r="AB23" s="32" t="str">
        <f>IFERROR(__xludf.DUMMYFUNCTION("IF('Résultats des tournois'!AA$2=0,"""",LET(
lastVal, INDEX(FILTER($B23:AA23, ISNUMBER($B23:AA23)), COUNTA(FILTER($B23:AA23, ISNUMBER($B23:AA23)))),
IFERROR(
IF('Résultats des tournois'!AA23="""", INDEX(FILTER($C23:AA23, ISNUMBER($C23:AA23)), COUNTA(FILTE"&amp;"R($C23:AA23, ISNUMBER($C23:AA23)))),
lastVal + 'K dynamique'!AA23 * ((SQRT('Résultats des tournois'!AA$2 + 1)/'Résultats des tournois'!AA23) - (1 / (1 + 10^((AA$103 - lastVal)/400)))))
)
))"),"")</f>
        <v/>
      </c>
      <c r="AC23" s="32" t="str">
        <f>IFERROR(__xludf.DUMMYFUNCTION("IF('Résultats des tournois'!AB$2=0,"""",LET(
lastVal, INDEX(FILTER($B23:AB23, ISNUMBER($B23:AB23)), COUNTA(FILTER($B23:AB23, ISNUMBER($B23:AB23)))),
IFERROR(
IF('Résultats des tournois'!AB23="""", INDEX(FILTER($C23:AB23, ISNUMBER($C23:AB23)), COUNTA(FILTE"&amp;"R($C23:AB23, ISNUMBER($C23:AB23)))),
lastVal + 'K dynamique'!AB23 * ((SQRT('Résultats des tournois'!AB$2 + 1)/'Résultats des tournois'!AB23) - (1 / (1 + 10^((AB$103 - lastVal)/400)))))
)
))"),"")</f>
        <v/>
      </c>
      <c r="AD23" s="32" t="str">
        <f>IFERROR(__xludf.DUMMYFUNCTION("IF('Résultats des tournois'!AC$2=0,"""",LET(
lastVal, INDEX(FILTER($B23:AC23, ISNUMBER($B23:AC23)), COUNTA(FILTER($B23:AC23, ISNUMBER($B23:AC23)))),
IFERROR(
IF('Résultats des tournois'!AC23="""", INDEX(FILTER($C23:AC23, ISNUMBER($C23:AC23)), COUNTA(FILTE"&amp;"R($C23:AC23, ISNUMBER($C23:AC23)))),
lastVal + 'K dynamique'!AC23 * ((SQRT('Résultats des tournois'!AC$2 + 1)/'Résultats des tournois'!AC23) - (1 / (1 + 10^((AC$103 - lastVal)/400)))))
)
))"),"")</f>
        <v/>
      </c>
      <c r="AE23" s="32" t="str">
        <f>IFERROR(__xludf.DUMMYFUNCTION("IF('Résultats des tournois'!AD$2=0,"""",LET(
lastVal, INDEX(FILTER($B23:AD23, ISNUMBER($B23:AD23)), COUNTA(FILTER($B23:AD23, ISNUMBER($B23:AD23)))),
IFERROR(
IF('Résultats des tournois'!AD23="""", INDEX(FILTER($C23:AD23, ISNUMBER($C23:AD23)), COUNTA(FILTE"&amp;"R($C23:AD23, ISNUMBER($C23:AD23)))),
lastVal + 'K dynamique'!AD23 * ((SQRT('Résultats des tournois'!AD$2 + 1)/'Résultats des tournois'!AD23) - (1 / (1 + 10^((AD$103 - lastVal)/400)))))
)
))"),"")</f>
        <v/>
      </c>
      <c r="AF23" s="32" t="str">
        <f>IFERROR(__xludf.DUMMYFUNCTION("IF('Résultats des tournois'!AE$2=0,"""",LET(
lastVal, INDEX(FILTER($B23:AE23, ISNUMBER($B23:AE23)), COUNTA(FILTER($B23:AE23, ISNUMBER($B23:AE23)))),
IFERROR(
IF('Résultats des tournois'!AE23="""", INDEX(FILTER($C23:AE23, ISNUMBER($C23:AE23)), COUNTA(FILTE"&amp;"R($C23:AE23, ISNUMBER($C23:AE23)))),
lastVal + 'K dynamique'!AE23 * ((SQRT('Résultats des tournois'!AE$2 + 1)/'Résultats des tournois'!AE23) - (1 / (1 + 10^((AE$103 - lastVal)/400)))))
)
))"),"")</f>
        <v/>
      </c>
      <c r="AG23" s="32" t="str">
        <f>IFERROR(__xludf.DUMMYFUNCTION("IF('Résultats des tournois'!AF$2=0,"""",LET(
lastVal, INDEX(FILTER($B23:AF23, ISNUMBER($B23:AF23)), COUNTA(FILTER($B23:AF23, ISNUMBER($B23:AF23)))),
IFERROR(
IF('Résultats des tournois'!AF23="""", INDEX(FILTER($C23:AF23, ISNUMBER($C23:AF23)), COUNTA(FILTE"&amp;"R($C23:AF23, ISNUMBER($C23:AF23)))),
lastVal + 'K dynamique'!AF23 * ((SQRT('Résultats des tournois'!AF$2 + 1)/'Résultats des tournois'!AF23) - (1 / (1 + 10^((AF$103 - lastVal)/400)))))
)
))"),"")</f>
        <v/>
      </c>
      <c r="AH23" s="32" t="str">
        <f>IFERROR(__xludf.DUMMYFUNCTION("IF('Résultats des tournois'!AG$2=0,"""",LET(
lastVal, INDEX(FILTER($B23:AG23, ISNUMBER($B23:AG23)), COUNTA(FILTER($B23:AG23, ISNUMBER($B23:AG23)))),
IFERROR(
IF('Résultats des tournois'!AG23="""", INDEX(FILTER($C23:AG23, ISNUMBER($C23:AG23)), COUNTA(FILTE"&amp;"R($C23:AG23, ISNUMBER($C23:AG23)))),
lastVal + 'K dynamique'!AG23 * ((SQRT('Résultats des tournois'!AG$2 + 1)/'Résultats des tournois'!AG23) - (1 / (1 + 10^((AG$103 - lastVal)/400)))))
)
))"),"")</f>
        <v/>
      </c>
      <c r="AI23" s="32" t="str">
        <f>IFERROR(__xludf.DUMMYFUNCTION("IF('Résultats des tournois'!AH$2=0,"""",LET(
lastVal, INDEX(FILTER($B23:AH23, ISNUMBER($B23:AH23)), COUNTA(FILTER($B23:AH23, ISNUMBER($B23:AH23)))),
IFERROR(
IF('Résultats des tournois'!AH23="""", INDEX(FILTER($C23:AH23, ISNUMBER($C23:AH23)), COUNTA(FILTE"&amp;"R($C23:AH23, ISNUMBER($C23:AH23)))),
lastVal + 'K dynamique'!AH23 * ((SQRT('Résultats des tournois'!AH$2 + 1)/'Résultats des tournois'!AH23) - (1 / (1 + 10^((AH$103 - lastVal)/400)))))
)
))"),"")</f>
        <v/>
      </c>
      <c r="AJ23" s="32" t="str">
        <f>IFERROR(__xludf.DUMMYFUNCTION("IF('Résultats des tournois'!AI$2=0,"""",LET(
lastVal, INDEX(FILTER($B23:AI23, ISNUMBER($B23:AI23)), COUNTA(FILTER($B23:AI23, ISNUMBER($B23:AI23)))),
IFERROR(
IF('Résultats des tournois'!AI23="""", INDEX(FILTER($C23:AI23, ISNUMBER($C23:AI23)), COUNTA(FILTE"&amp;"R($C23:AI23, ISNUMBER($C23:AI23)))),
lastVal + 'K dynamique'!AI23 * ((SQRT('Résultats des tournois'!AI$2 + 1)/'Résultats des tournois'!AI23) - (1 / (1 + 10^((AI$103 - lastVal)/400)))))
)
))"),"")</f>
        <v/>
      </c>
      <c r="AK23" s="32" t="str">
        <f>IFERROR(__xludf.DUMMYFUNCTION("IF('Résultats des tournois'!AJ$2=0,"""",LET(
lastVal, INDEX(FILTER($B23:AJ23, ISNUMBER($B23:AJ23)), COUNTA(FILTER($B23:AJ23, ISNUMBER($B23:AJ23)))),
IFERROR(
IF('Résultats des tournois'!AJ23="""", INDEX(FILTER($C23:AJ23, ISNUMBER($C23:AJ23)), COUNTA(FILTE"&amp;"R($C23:AJ23, ISNUMBER($C23:AJ23)))),
lastVal + 'K dynamique'!AJ23 * ((SQRT('Résultats des tournois'!AJ$2 + 1)/'Résultats des tournois'!AJ23) - (1 / (1 + 10^((AJ$103 - lastVal)/400)))))
)
))"),"")</f>
        <v/>
      </c>
      <c r="AL23" s="32" t="str">
        <f>IFERROR(__xludf.DUMMYFUNCTION("IF('Résultats des tournois'!AK$2=0,"""",LET(
lastVal, INDEX(FILTER($B23:AK23, ISNUMBER($B23:AK23)), COUNTA(FILTER($B23:AK23, ISNUMBER($B23:AK23)))),
IFERROR(
IF('Résultats des tournois'!AK23="""", INDEX(FILTER($C23:AK23, ISNUMBER($C23:AK23)), COUNTA(FILTE"&amp;"R($C23:AK23, ISNUMBER($C23:AK23)))),
lastVal + 'K dynamique'!AK23 * ((SQRT('Résultats des tournois'!AK$2 + 1)/'Résultats des tournois'!AK23) - (1 / (1 + 10^((AK$103 - lastVal)/400)))))
)
))"),"")</f>
        <v/>
      </c>
      <c r="AM23" s="32" t="str">
        <f>IFERROR(__xludf.DUMMYFUNCTION("IF('Résultats des tournois'!AL$2=0,"""",LET(
lastVal, INDEX(FILTER($B23:AL23, ISNUMBER($B23:AL23)), COUNTA(FILTER($B23:AL23, ISNUMBER($B23:AL23)))),
IFERROR(
IF('Résultats des tournois'!AL23="""", INDEX(FILTER($C23:AL23, ISNUMBER($C23:AL23)), COUNTA(FILTE"&amp;"R($C23:AL23, ISNUMBER($C23:AL23)))),
lastVal + 'K dynamique'!AL23 * ((SQRT('Résultats des tournois'!AL$2 + 1)/'Résultats des tournois'!AL23) - (1 / (1 + 10^((AL$103 - lastVal)/400)))))
)
))"),"")</f>
        <v/>
      </c>
      <c r="AN23" s="32" t="str">
        <f>IFERROR(__xludf.DUMMYFUNCTION("IF('Résultats des tournois'!AM$2=0,"""",LET(
lastVal, INDEX(FILTER($B23:AM23, ISNUMBER($B23:AM23)), COUNTA(FILTER($B23:AM23, ISNUMBER($B23:AM23)))),
IFERROR(
IF('Résultats des tournois'!AM23="""", INDEX(FILTER($C23:AM23, ISNUMBER($C23:AM23)), COUNTA(FILTE"&amp;"R($C23:AM23, ISNUMBER($C23:AM23)))),
lastVal + 'K dynamique'!AM23 * ((SQRT('Résultats des tournois'!AM$2 + 1)/'Résultats des tournois'!AM23) - (1 / (1 + 10^((AM$103 - lastVal)/400)))))
)
))"),"")</f>
        <v/>
      </c>
      <c r="AO23" s="32" t="str">
        <f>IFERROR(__xludf.DUMMYFUNCTION("IF('Résultats des tournois'!AN$2=0,"""",LET(
lastVal, INDEX(FILTER($B23:AN23, ISNUMBER($B23:AN23)), COUNTA(FILTER($B23:AN23, ISNUMBER($B23:AN23)))),
IFERROR(
IF('Résultats des tournois'!AN23="""", INDEX(FILTER($C23:AN23, ISNUMBER($C23:AN23)), COUNTA(FILTE"&amp;"R($C23:AN23, ISNUMBER($C23:AN23)))),
lastVal + 'K dynamique'!AN23 * ((SQRT('Résultats des tournois'!AN$2 + 1)/'Résultats des tournois'!AN23) - (1 / (1 + 10^((AN$103 - lastVal)/400)))))
)
))"),"")</f>
        <v/>
      </c>
      <c r="AP23" s="32" t="str">
        <f>IFERROR(__xludf.DUMMYFUNCTION("IF('Résultats des tournois'!AO$2=0,"""",LET(
lastVal, INDEX(FILTER($B23:AO23, ISNUMBER($B23:AO23)), COUNTA(FILTER($B23:AO23, ISNUMBER($B23:AO23)))),
IFERROR(
IF('Résultats des tournois'!AO23="""", INDEX(FILTER($C23:AO23, ISNUMBER($C23:AO23)), COUNTA(FILTE"&amp;"R($C23:AO23, ISNUMBER($C23:AO23)))),
lastVal + 'K dynamique'!AO23 * ((SQRT('Résultats des tournois'!AO$2 + 1)/'Résultats des tournois'!AO23) - (1 / (1 + 10^((AO$103 - lastVal)/400)))))
)
))"),"")</f>
        <v/>
      </c>
      <c r="AQ23" s="32" t="str">
        <f>IFERROR(__xludf.DUMMYFUNCTION("IF('Résultats des tournois'!AP$2=0,"""",LET(
lastVal, INDEX(FILTER($B23:AP23, ISNUMBER($B23:AP23)), COUNTA(FILTER($B23:AP23, ISNUMBER($B23:AP23)))),
IFERROR(
IF('Résultats des tournois'!AP23="""", INDEX(FILTER($C23:AP23, ISNUMBER($C23:AP23)), COUNTA(FILTE"&amp;"R($C23:AP23, ISNUMBER($C23:AP23)))),
lastVal + 'K dynamique'!AP23 * ((SQRT('Résultats des tournois'!AP$2 + 1)/'Résultats des tournois'!AP23) - (1 / (1 + 10^((AP$103 - lastVal)/400)))))
)
))"),"")</f>
        <v/>
      </c>
      <c r="AR23" s="32" t="str">
        <f>IFERROR(__xludf.DUMMYFUNCTION("IF('Résultats des tournois'!AQ$2=0,"""",LET(
lastVal, INDEX(FILTER($B23:AQ23, ISNUMBER($B23:AQ23)), COUNTA(FILTER($B23:AQ23, ISNUMBER($B23:AQ23)))),
IFERROR(
IF('Résultats des tournois'!AQ23="""", INDEX(FILTER($C23:AQ23, ISNUMBER($C23:AQ23)), COUNTA(FILTE"&amp;"R($C23:AQ23, ISNUMBER($C23:AQ23)))),
lastVal + 'K dynamique'!AQ23 * ((SQRT('Résultats des tournois'!AQ$2 + 1)/'Résultats des tournois'!AQ23) - (1 / (1 + 10^((AQ$103 - lastVal)/400)))))
)
))"),"")</f>
        <v/>
      </c>
      <c r="AS23" s="32" t="str">
        <f>IFERROR(__xludf.DUMMYFUNCTION("IF('Résultats des tournois'!AR$2=0,"""",LET(
lastVal, INDEX(FILTER($B23:AR23, ISNUMBER($B23:AR23)), COUNTA(FILTER($B23:AR23, ISNUMBER($B23:AR23)))),
IFERROR(
IF('Résultats des tournois'!AR23="""", INDEX(FILTER($C23:AR23, ISNUMBER($C23:AR23)), COUNTA(FILTE"&amp;"R($C23:AR23, ISNUMBER($C23:AR23)))),
lastVal + 'K dynamique'!AR23 * ((SQRT('Résultats des tournois'!AR$2 + 1)/'Résultats des tournois'!AR23) - (1 / (1 + 10^((AR$103 - lastVal)/400)))))
)
))"),"")</f>
        <v/>
      </c>
      <c r="AT23" s="32" t="str">
        <f>IFERROR(__xludf.DUMMYFUNCTION("IF('Résultats des tournois'!AS$2=0,"""",LET(
lastVal, INDEX(FILTER($B23:AS23, ISNUMBER($B23:AS23)), COUNTA(FILTER($B23:AS23, ISNUMBER($B23:AS23)))),
IFERROR(
IF('Résultats des tournois'!AS23="""", INDEX(FILTER($C23:AS23, ISNUMBER($C23:AS23)), COUNTA(FILTE"&amp;"R($C23:AS23, ISNUMBER($C23:AS23)))),
lastVal + 'K dynamique'!AS23 * ((SQRT('Résultats des tournois'!AS$2 + 1)/'Résultats des tournois'!AS23) - (1 / (1 + 10^((AS$103 - lastVal)/400)))))
)
))"),"")</f>
        <v/>
      </c>
      <c r="AU23" s="32" t="str">
        <f>IFERROR(__xludf.DUMMYFUNCTION("IF('Résultats des tournois'!AT$2=0,"""",LET(
lastVal, INDEX(FILTER($B23:AT23, ISNUMBER($B23:AT23)), COUNTA(FILTER($B23:AT23, ISNUMBER($B23:AT23)))),
IFERROR(
IF('Résultats des tournois'!AT23="""", INDEX(FILTER($C23:AT23, ISNUMBER($C23:AT23)), COUNTA(FILTE"&amp;"R($C23:AT23, ISNUMBER($C23:AT23)))),
lastVal + 'K dynamique'!AT23 * ((SQRT('Résultats des tournois'!AT$2 + 1)/'Résultats des tournois'!AT23) - (1 / (1 + 10^((AT$103 - lastVal)/400)))))
)
))"),"")</f>
        <v/>
      </c>
      <c r="AV23" s="32" t="str">
        <f>IFERROR(__xludf.DUMMYFUNCTION("IF('Résultats des tournois'!AU$2=0,"""",LET(
lastVal, INDEX(FILTER($B23:AU23, ISNUMBER($B23:AU23)), COUNTA(FILTER($B23:AU23, ISNUMBER($B23:AU23)))),
IFERROR(
IF('Résultats des tournois'!AU23="""", INDEX(FILTER($C23:AU23, ISNUMBER($C23:AU23)), COUNTA(FILTE"&amp;"R($C23:AU23, ISNUMBER($C23:AU23)))),
lastVal + 'K dynamique'!AU23 * ((SQRT('Résultats des tournois'!AU$2 + 1)/'Résultats des tournois'!AU23) - (1 / (1 + 10^((AU$103 - lastVal)/400)))))
)
))"),"")</f>
        <v/>
      </c>
      <c r="AW23" s="32" t="str">
        <f>IFERROR(__xludf.DUMMYFUNCTION("IF('Résultats des tournois'!AV$2=0,"""",LET(
lastVal, INDEX(FILTER($B23:AV23, ISNUMBER($B23:AV23)), COUNTA(FILTER($B23:AV23, ISNUMBER($B23:AV23)))),
IFERROR(
IF('Résultats des tournois'!AV23="""", INDEX(FILTER($C23:AV23, ISNUMBER($C23:AV23)), COUNTA(FILTE"&amp;"R($C23:AV23, ISNUMBER($C23:AV23)))),
lastVal + 'K dynamique'!AV23 * ((SQRT('Résultats des tournois'!AV$2 + 1)/'Résultats des tournois'!AV23) - (1 / (1 + 10^((AV$103 - lastVal)/400)))))
)
))"),"")</f>
        <v/>
      </c>
      <c r="AX23" s="32" t="str">
        <f>IFERROR(__xludf.DUMMYFUNCTION("IF('Résultats des tournois'!AW$2=0,"""",LET(
lastVal, INDEX(FILTER($B23:AW23, ISNUMBER($B23:AW23)), COUNTA(FILTER($B23:AW23, ISNUMBER($B23:AW23)))),
IFERROR(
IF('Résultats des tournois'!AW23="""", INDEX(FILTER($C23:AW23, ISNUMBER($C23:AW23)), COUNTA(FILTE"&amp;"R($C23:AW23, ISNUMBER($C23:AW23)))),
lastVal + 'K dynamique'!AW23 * ((SQRT('Résultats des tournois'!AW$2 + 1)/'Résultats des tournois'!AW23) - (1 / (1 + 10^((AW$103 - lastVal)/400)))))
)
))"),"")</f>
        <v/>
      </c>
      <c r="AY23" s="32" t="str">
        <f>IFERROR(__xludf.DUMMYFUNCTION("IF('Résultats des tournois'!AX$2=0,"""",LET(
lastVal, INDEX(FILTER($B23:AX23, ISNUMBER($B23:AX23)), COUNTA(FILTER($B23:AX23, ISNUMBER($B23:AX23)))),
IFERROR(
IF('Résultats des tournois'!AX23="""", INDEX(FILTER($C23:AX23, ISNUMBER($C23:AX23)), COUNTA(FILTE"&amp;"R($C23:AX23, ISNUMBER($C23:AX23)))),
lastVal + 'K dynamique'!AX23 * ((SQRT('Résultats des tournois'!AX$2 + 1)/'Résultats des tournois'!AX23) - (1 / (1 + 10^((AX$103 - lastVal)/400)))))
)
))"),"")</f>
        <v/>
      </c>
      <c r="AZ23" s="4">
        <f t="array" ref="AZ23">IF(MAX(($C23:AY23&lt;&gt;"")*COLUMN($C23:AY23))=0,"",INDEX($C23:AY23,1,MAX(($C23:AY23&lt;&gt;"")*COLUMN($C23:AY23))-COLUMN($C23)+1))</f>
        <v>1512.554862</v>
      </c>
      <c r="BA23" s="33">
        <f t="shared" si="1"/>
        <v>16</v>
      </c>
    </row>
    <row r="24" ht="14.25" customHeight="1">
      <c r="A24" s="32" t="str">
        <f>IF('Résultats des tournois'!A24="","",'Résultats des tournois'!A24)</f>
        <v>Popa'akatuki</v>
      </c>
      <c r="B24" s="32">
        <v>1500.0</v>
      </c>
      <c r="C24" s="32" t="str">
        <f>IF('Résultats des tournois'!B24="","",B24+'K dynamique'!B24*((SQRT('Résultats des tournois'!B$2+1)/'Résultats des tournois'!B24)-(1/(1+10^((B24-B24)/400)))))</f>
        <v/>
      </c>
      <c r="D24" s="32" t="str">
        <f>IFERROR(__xludf.DUMMYFUNCTION("IF('Résultats des tournois'!C$2=0,"""",LET(
lastVal, INDEX(FILTER($B24:C24, ISNUMBER($B24:C24)), COUNTA(FILTER($B24:C24, ISNUMBER($B24:C24)))),
IFERROR(
IF('Résultats des tournois'!C24="""", INDEX(FILTER($C24:C24, ISNUMBER($C24:C24)), COUNTA(FILTER($C24:C"&amp;"24, ISNUMBER($C24:C24)))),
lastVal + 'K dynamique'!C24 * ((SQRT('Résultats des tournois'!C$2 + 1)/'Résultats des tournois'!C24) - (1 / (1 + 10^((C$103 - lastVal)/400)))))
)
))"),"")</f>
        <v/>
      </c>
      <c r="E24" s="32" t="str">
        <f>IFERROR(__xludf.DUMMYFUNCTION("IF('Résultats des tournois'!D$2=0,"""",LET(
lastVal, INDEX(FILTER($B24:D24, ISNUMBER($B24:D24)), COUNTA(FILTER($B24:D24, ISNUMBER($B24:D24)))),
IFERROR(
IF('Résultats des tournois'!D24="""", INDEX(FILTER($C24:D24, ISNUMBER($C24:D24)), COUNTA(FILTER($C24:D"&amp;"24, ISNUMBER($C24:D24)))),
lastVal + 'K dynamique'!D24 * ((SQRT('Résultats des tournois'!D$2 + 1)/'Résultats des tournois'!D24) - (1 / (1 + 10^((D$103 - lastVal)/400)))))
)
))"),"")</f>
        <v/>
      </c>
      <c r="F24" s="32" t="str">
        <f>IFERROR(__xludf.DUMMYFUNCTION("IF('Résultats des tournois'!E$2=0,"""",LET(
lastVal, INDEX(FILTER($B24:E24, ISNUMBER($B24:E24)), COUNTA(FILTER($B24:E24, ISNUMBER($B24:E24)))),
IFERROR(
IF('Résultats des tournois'!E24="""", INDEX(FILTER($C24:E24, ISNUMBER($C24:E24)), COUNTA(FILTER($C24:E"&amp;"24, ISNUMBER($C24:E24)))),
lastVal + 'K dynamique'!E24 * ((SQRT('Résultats des tournois'!E$2 + 1)/'Résultats des tournois'!E24) - (1 / (1 + 10^((E$103 - lastVal)/400)))))
)
))"),"")</f>
        <v/>
      </c>
      <c r="G24" s="32" t="str">
        <f>IFERROR(__xludf.DUMMYFUNCTION("IF('Résultats des tournois'!F$2=0,"""",LET(
lastVal, INDEX(FILTER($B24:F24, ISNUMBER($B24:F24)), COUNTA(FILTER($B24:F24, ISNUMBER($B24:F24)))),
IFERROR(
IF('Résultats des tournois'!F24="""", INDEX(FILTER($C24:F24, ISNUMBER($C24:F24)), COUNTA(FILTER($C24:F"&amp;"24, ISNUMBER($C24:F24)))),
lastVal + 'K dynamique'!F24 * ((SQRT('Résultats des tournois'!F$2 + 1)/'Résultats des tournois'!F24) - (1 / (1 + 10^((F$103 - lastVal)/400)))))
)
))"),"")</f>
        <v/>
      </c>
      <c r="H24" s="32" t="str">
        <f>IFERROR(__xludf.DUMMYFUNCTION("IF('Résultats des tournois'!G$2=0,"""",LET(
lastVal, INDEX(FILTER($B24:G24, ISNUMBER($B24:G24)), COUNTA(FILTER($B24:G24, ISNUMBER($B24:G24)))),
IFERROR(
IF('Résultats des tournois'!G24="""", INDEX(FILTER($C24:G24, ISNUMBER($C24:G24)), COUNTA(FILTER($C24:G"&amp;"24, ISNUMBER($C24:G24)))),
lastVal + 'K dynamique'!G24 * ((SQRT('Résultats des tournois'!G$2 + 1)/'Résultats des tournois'!G24) - (1 / (1 + 10^((G$103 - lastVal)/400)))))
)
))"),"")</f>
        <v/>
      </c>
      <c r="I24" s="32" t="str">
        <f>IFERROR(__xludf.DUMMYFUNCTION("IF('Résultats des tournois'!H$2=0,"""",LET(
lastVal, INDEX(FILTER($B24:H24, ISNUMBER($B24:H24)), COUNTA(FILTER($B24:H24, ISNUMBER($B24:H24)))),
IFERROR(
IF('Résultats des tournois'!H24="""", INDEX(FILTER($C24:H24, ISNUMBER($C24:H24)), COUNTA(FILTER($C24:H"&amp;"24, ISNUMBER($C24:H24)))),
lastVal + 'K dynamique'!H24 * ((SQRT('Résultats des tournois'!H$2 + 1)/'Résultats des tournois'!H24) - (1 / (1 + 10^((H$103 - lastVal)/400)))))
)
))"),"")</f>
        <v/>
      </c>
      <c r="J24" s="32" t="str">
        <f>IFERROR(__xludf.DUMMYFUNCTION("IF('Résultats des tournois'!I$2=0,"""",LET(
lastVal, INDEX(FILTER($B24:I24, ISNUMBER($B24:I24)), COUNTA(FILTER($B24:I24, ISNUMBER($B24:I24)))),
IFERROR(
IF('Résultats des tournois'!I24="""", INDEX(FILTER($C24:I24, ISNUMBER($C24:I24)), COUNTA(FILTER($C24:I"&amp;"24, ISNUMBER($C24:I24)))),
lastVal + 'K dynamique'!I24 * ((SQRT('Résultats des tournois'!I$2 + 1)/'Résultats des tournois'!I24) - (1 / (1 + 10^((I$103 - lastVal)/400)))))
)
))"),"")</f>
        <v/>
      </c>
      <c r="K24" s="32" t="str">
        <f>IFERROR(__xludf.DUMMYFUNCTION("IF('Résultats des tournois'!J$2=0,"""",LET(
lastVal, INDEX(FILTER($B24:J24, ISNUMBER($B24:J24)), COUNTA(FILTER($B24:J24, ISNUMBER($B24:J24)))),
IFERROR(
IF('Résultats des tournois'!J24="""", INDEX(FILTER($C24:J24, ISNUMBER($C24:J24)), COUNTA(FILTER($C24:J"&amp;"24, ISNUMBER($C24:J24)))),
lastVal + 'K dynamique'!J24 * ((SQRT('Résultats des tournois'!J$2 + 1)/'Résultats des tournois'!J24) - (1 / (1 + 10^((J$103 - lastVal)/400)))))
)
))"),"")</f>
        <v/>
      </c>
      <c r="L24" s="32">
        <f>IFERROR(__xludf.DUMMYFUNCTION("IF('Résultats des tournois'!K$2=0,"""",LET(
lastVal, INDEX(FILTER($B24:K24, ISNUMBER($B24:K24)), COUNTA(FILTER($B24:K24, ISNUMBER($B24:K24)))),
IFERROR(
IF('Résultats des tournois'!K24="""", INDEX(FILTER($C24:K24, ISNUMBER($C24:K24)), COUNTA(FILTER($C24:K"&amp;"24, ISNUMBER($C24:K24)))),
lastVal + 'K dynamique'!K24 * ((SQRT('Résultats des tournois'!K$2 + 1)/'Résultats des tournois'!K24) - (1 / (1 + 10^((K$103 - lastVal)/400)))))
)
))"),1512.7667348918503)</f>
        <v>1512.766735</v>
      </c>
      <c r="M24" s="32">
        <f>IFERROR(__xludf.DUMMYFUNCTION("IF('Résultats des tournois'!L$2=0,"""",LET(
lastVal, INDEX(FILTER($B24:L24, ISNUMBER($B24:L24)), COUNTA(FILTER($B24:L24, ISNUMBER($B24:L24)))),
IFERROR(
IF('Résultats des tournois'!L24="""", INDEX(FILTER($C24:L24, ISNUMBER($C24:L24)), COUNTA(FILTER($C24:L"&amp;"24, ISNUMBER($C24:L24)))),
lastVal + 'K dynamique'!L24 * ((SQRT('Résultats des tournois'!L$2 + 1)/'Résultats des tournois'!L24) - (1 / (1 + 10^((L$103 - lastVal)/400)))))
)
))"),1512.7667348918503)</f>
        <v>1512.766735</v>
      </c>
      <c r="N24" s="32" t="str">
        <f>IFERROR(__xludf.DUMMYFUNCTION("IF('Résultats des tournois'!M$2=0,"""",LET(
lastVal, INDEX(FILTER($B24:M24, ISNUMBER($B24:M24)), COUNTA(FILTER($B24:M24, ISNUMBER($B24:M24)))),
IFERROR(
IF('Résultats des tournois'!M24="""", INDEX(FILTER($C24:M24, ISNUMBER($C24:M24)), COUNTA(FILTER($C24:M"&amp;"24, ISNUMBER($C24:M24)))),
lastVal + 'K dynamique'!M24 * ((SQRT('Résultats des tournois'!M$2 + 1)/'Résultats des tournois'!M24) - (1 / (1 + 10^((M$103 - lastVal)/400)))))
)
))"),"")</f>
        <v/>
      </c>
      <c r="O24" s="32" t="str">
        <f>IFERROR(__xludf.DUMMYFUNCTION("IF('Résultats des tournois'!N$2=0,"""",LET(
lastVal, INDEX(FILTER($B24:N24, ISNUMBER($B24:N24)), COUNTA(FILTER($B24:N24, ISNUMBER($B24:N24)))),
IFERROR(
IF('Résultats des tournois'!N24="""", INDEX(FILTER($C24:N24, ISNUMBER($C24:N24)), COUNTA(FILTER($C24:N"&amp;"24, ISNUMBER($C24:N24)))),
lastVal + 'K dynamique'!N24 * ((SQRT('Résultats des tournois'!N$2 + 1)/'Résultats des tournois'!N24) - (1 / (1 + 10^((N$103 - lastVal)/400)))))
)
))"),"")</f>
        <v/>
      </c>
      <c r="P24" s="32" t="str">
        <f>IFERROR(__xludf.DUMMYFUNCTION("IF('Résultats des tournois'!O$2=0,"""",LET(
lastVal, INDEX(FILTER($B24:O24, ISNUMBER($B24:O24)), COUNTA(FILTER($B24:O24, ISNUMBER($B24:O24)))),
IFERROR(
IF('Résultats des tournois'!O24="""", INDEX(FILTER($C24:O24, ISNUMBER($C24:O24)), COUNTA(FILTER($C24:O"&amp;"24, ISNUMBER($C24:O24)))),
lastVal + 'K dynamique'!O24 * ((SQRT('Résultats des tournois'!O$2 + 1)/'Résultats des tournois'!O24) - (1 / (1 + 10^((O$103 - lastVal)/400)))))
)
))"),"")</f>
        <v/>
      </c>
      <c r="Q24" s="32" t="str">
        <f>IFERROR(__xludf.DUMMYFUNCTION("IF('Résultats des tournois'!P$2=0,"""",LET(
lastVal, INDEX(FILTER($B24:P24, ISNUMBER($B24:P24)), COUNTA(FILTER($B24:P24, ISNUMBER($B24:P24)))),
IFERROR(
IF('Résultats des tournois'!P24="""", INDEX(FILTER($C24:P24, ISNUMBER($C24:P24)), COUNTA(FILTER($C24:P"&amp;"24, ISNUMBER($C24:P24)))),
lastVal + 'K dynamique'!P24 * ((SQRT('Résultats des tournois'!P$2 + 1)/'Résultats des tournois'!P24) - (1 / (1 + 10^((P$103 - lastVal)/400)))))
)
))"),"")</f>
        <v/>
      </c>
      <c r="R24" s="32" t="str">
        <f>IFERROR(__xludf.DUMMYFUNCTION("IF('Résultats des tournois'!Q$2=0,"""",LET(
lastVal, INDEX(FILTER($B24:Q24, ISNUMBER($B24:Q24)), COUNTA(FILTER($B24:Q24, ISNUMBER($B24:Q24)))),
IFERROR(
IF('Résultats des tournois'!Q24="""", INDEX(FILTER($C24:Q24, ISNUMBER($C24:Q24)), COUNTA(FILTER($C24:Q"&amp;"24, ISNUMBER($C24:Q24)))),
lastVal + 'K dynamique'!Q24 * ((SQRT('Résultats des tournois'!Q$2 + 1)/'Résultats des tournois'!Q24) - (1 / (1 + 10^((Q$103 - lastVal)/400)))))
)
))"),"")</f>
        <v/>
      </c>
      <c r="S24" s="32" t="str">
        <f>IFERROR(__xludf.DUMMYFUNCTION("IF('Résultats des tournois'!R$2=0,"""",LET(
lastVal, INDEX(FILTER($B24:R24, ISNUMBER($B24:R24)), COUNTA(FILTER($B24:R24, ISNUMBER($B24:R24)))),
IFERROR(
IF('Résultats des tournois'!R24="""", INDEX(FILTER($C24:R24, ISNUMBER($C24:R24)), COUNTA(FILTER($C24:R"&amp;"24, ISNUMBER($C24:R24)))),
lastVal + 'K dynamique'!R24 * ((SQRT('Résultats des tournois'!R$2 + 1)/'Résultats des tournois'!R24) - (1 / (1 + 10^((R$103 - lastVal)/400)))))
)
))"),"")</f>
        <v/>
      </c>
      <c r="T24" s="32" t="str">
        <f>IFERROR(__xludf.DUMMYFUNCTION("IF('Résultats des tournois'!S$2=0,"""",LET(
lastVal, INDEX(FILTER($B24:S24, ISNUMBER($B24:S24)), COUNTA(FILTER($B24:S24, ISNUMBER($B24:S24)))),
IFERROR(
IF('Résultats des tournois'!S24="""", INDEX(FILTER($C24:S24, ISNUMBER($C24:S24)), COUNTA(FILTER($C24:S"&amp;"24, ISNUMBER($C24:S24)))),
lastVal + 'K dynamique'!S24 * ((SQRT('Résultats des tournois'!S$2 + 1)/'Résultats des tournois'!S24) - (1 / (1 + 10^((S$103 - lastVal)/400)))))
)
))"),"")</f>
        <v/>
      </c>
      <c r="U24" s="32" t="str">
        <f>IFERROR(__xludf.DUMMYFUNCTION("IF('Résultats des tournois'!T$2=0,"""",LET(
lastVal, INDEX(FILTER($B24:T24, ISNUMBER($B24:T24)), COUNTA(FILTER($B24:T24, ISNUMBER($B24:T24)))),
IFERROR(
IF('Résultats des tournois'!T24="""", INDEX(FILTER($C24:T24, ISNUMBER($C24:T24)), COUNTA(FILTER($C24:T"&amp;"24, ISNUMBER($C24:T24)))),
lastVal + 'K dynamique'!T24 * ((SQRT('Résultats des tournois'!T$2 + 1)/'Résultats des tournois'!T24) - (1 / (1 + 10^((T$103 - lastVal)/400)))))
)
))"),"")</f>
        <v/>
      </c>
      <c r="V24" s="32" t="str">
        <f>IFERROR(__xludf.DUMMYFUNCTION("IF('Résultats des tournois'!U$2=0,"""",LET(
lastVal, INDEX(FILTER($B24:U24, ISNUMBER($B24:U24)), COUNTA(FILTER($B24:U24, ISNUMBER($B24:U24)))),
IFERROR(
IF('Résultats des tournois'!U24="""", INDEX(FILTER($C24:U24, ISNUMBER($C24:U24)), COUNTA(FILTER($C24:U"&amp;"24, ISNUMBER($C24:U24)))),
lastVal + 'K dynamique'!U24 * ((SQRT('Résultats des tournois'!U$2 + 1)/'Résultats des tournois'!U24) - (1 / (1 + 10^((U$103 - lastVal)/400)))))
)
))"),"")</f>
        <v/>
      </c>
      <c r="W24" s="32" t="str">
        <f>IFERROR(__xludf.DUMMYFUNCTION("IF('Résultats des tournois'!V$2=0,"""",LET(
lastVal, INDEX(FILTER($B24:V24, ISNUMBER($B24:V24)), COUNTA(FILTER($B24:V24, ISNUMBER($B24:V24)))),
IFERROR(
IF('Résultats des tournois'!V24="""", INDEX(FILTER($C24:V24, ISNUMBER($C24:V24)), COUNTA(FILTER($C24:V"&amp;"24, ISNUMBER($C24:V24)))),
lastVal + 'K dynamique'!V24 * ((SQRT('Résultats des tournois'!V$2 + 1)/'Résultats des tournois'!V24) - (1 / (1 + 10^((V$103 - lastVal)/400)))))
)
))"),"")</f>
        <v/>
      </c>
      <c r="X24" s="32" t="str">
        <f>IFERROR(__xludf.DUMMYFUNCTION("IF('Résultats des tournois'!W$2=0,"""",LET(
lastVal, INDEX(FILTER($B24:W24, ISNUMBER($B24:W24)), COUNTA(FILTER($B24:W24, ISNUMBER($B24:W24)))),
IFERROR(
IF('Résultats des tournois'!W24="""", INDEX(FILTER($C24:W24, ISNUMBER($C24:W24)), COUNTA(FILTER($C24:W"&amp;"24, ISNUMBER($C24:W24)))),
lastVal + 'K dynamique'!W24 * ((SQRT('Résultats des tournois'!W$2 + 1)/'Résultats des tournois'!W24) - (1 / (1 + 10^((W$103 - lastVal)/400)))))
)
))"),"")</f>
        <v/>
      </c>
      <c r="Y24" s="32" t="str">
        <f>IFERROR(__xludf.DUMMYFUNCTION("IF('Résultats des tournois'!X$2=0,"""",LET(
lastVal, INDEX(FILTER($B24:X24, ISNUMBER($B24:X24)), COUNTA(FILTER($B24:X24, ISNUMBER($B24:X24)))),
IFERROR(
IF('Résultats des tournois'!X24="""", INDEX(FILTER($C24:X24, ISNUMBER($C24:X24)), COUNTA(FILTER($C24:X"&amp;"24, ISNUMBER($C24:X24)))),
lastVal + 'K dynamique'!X24 * ((SQRT('Résultats des tournois'!X$2 + 1)/'Résultats des tournois'!X24) - (1 / (1 + 10^((X$103 - lastVal)/400)))))
)
))"),"")</f>
        <v/>
      </c>
      <c r="Z24" s="32" t="str">
        <f>IFERROR(__xludf.DUMMYFUNCTION("IF('Résultats des tournois'!Y$2=0,"""",LET(
lastVal, INDEX(FILTER($B24:Y24, ISNUMBER($B24:Y24)), COUNTA(FILTER($B24:Y24, ISNUMBER($B24:Y24)))),
IFERROR(
IF('Résultats des tournois'!Y24="""", INDEX(FILTER($C24:Y24, ISNUMBER($C24:Y24)), COUNTA(FILTER($C24:Y"&amp;"24, ISNUMBER($C24:Y24)))),
lastVal + 'K dynamique'!Y24 * ((SQRT('Résultats des tournois'!Y$2 + 1)/'Résultats des tournois'!Y24) - (1 / (1 + 10^((Y$103 - lastVal)/400)))))
)
))"),"")</f>
        <v/>
      </c>
      <c r="AA24" s="32" t="str">
        <f>IFERROR(__xludf.DUMMYFUNCTION("IF('Résultats des tournois'!Z$2=0,"""",LET(
lastVal, INDEX(FILTER($B24:Z24, ISNUMBER($B24:Z24)), COUNTA(FILTER($B24:Z24, ISNUMBER($B24:Z24)))),
IFERROR(
IF('Résultats des tournois'!Z24="""", INDEX(FILTER($C24:Z24, ISNUMBER($C24:Z24)), COUNTA(FILTER($C24:Z"&amp;"24, ISNUMBER($C24:Z24)))),
lastVal + 'K dynamique'!Z24 * ((SQRT('Résultats des tournois'!Z$2 + 1)/'Résultats des tournois'!Z24) - (1 / (1 + 10^((Z$103 - lastVal)/400)))))
)
))"),"")</f>
        <v/>
      </c>
      <c r="AB24" s="32" t="str">
        <f>IFERROR(__xludf.DUMMYFUNCTION("IF('Résultats des tournois'!AA$2=0,"""",LET(
lastVal, INDEX(FILTER($B24:AA24, ISNUMBER($B24:AA24)), COUNTA(FILTER($B24:AA24, ISNUMBER($B24:AA24)))),
IFERROR(
IF('Résultats des tournois'!AA24="""", INDEX(FILTER($C24:AA24, ISNUMBER($C24:AA24)), COUNTA(FILTE"&amp;"R($C24:AA24, ISNUMBER($C24:AA24)))),
lastVal + 'K dynamique'!AA24 * ((SQRT('Résultats des tournois'!AA$2 + 1)/'Résultats des tournois'!AA24) - (1 / (1 + 10^((AA$103 - lastVal)/400)))))
)
))"),"")</f>
        <v/>
      </c>
      <c r="AC24" s="32" t="str">
        <f>IFERROR(__xludf.DUMMYFUNCTION("IF('Résultats des tournois'!AB$2=0,"""",LET(
lastVal, INDEX(FILTER($B24:AB24, ISNUMBER($B24:AB24)), COUNTA(FILTER($B24:AB24, ISNUMBER($B24:AB24)))),
IFERROR(
IF('Résultats des tournois'!AB24="""", INDEX(FILTER($C24:AB24, ISNUMBER($C24:AB24)), COUNTA(FILTE"&amp;"R($C24:AB24, ISNUMBER($C24:AB24)))),
lastVal + 'K dynamique'!AB24 * ((SQRT('Résultats des tournois'!AB$2 + 1)/'Résultats des tournois'!AB24) - (1 / (1 + 10^((AB$103 - lastVal)/400)))))
)
))"),"")</f>
        <v/>
      </c>
      <c r="AD24" s="32" t="str">
        <f>IFERROR(__xludf.DUMMYFUNCTION("IF('Résultats des tournois'!AC$2=0,"""",LET(
lastVal, INDEX(FILTER($B24:AC24, ISNUMBER($B24:AC24)), COUNTA(FILTER($B24:AC24, ISNUMBER($B24:AC24)))),
IFERROR(
IF('Résultats des tournois'!AC24="""", INDEX(FILTER($C24:AC24, ISNUMBER($C24:AC24)), COUNTA(FILTE"&amp;"R($C24:AC24, ISNUMBER($C24:AC24)))),
lastVal + 'K dynamique'!AC24 * ((SQRT('Résultats des tournois'!AC$2 + 1)/'Résultats des tournois'!AC24) - (1 / (1 + 10^((AC$103 - lastVal)/400)))))
)
))"),"")</f>
        <v/>
      </c>
      <c r="AE24" s="32" t="str">
        <f>IFERROR(__xludf.DUMMYFUNCTION("IF('Résultats des tournois'!AD$2=0,"""",LET(
lastVal, INDEX(FILTER($B24:AD24, ISNUMBER($B24:AD24)), COUNTA(FILTER($B24:AD24, ISNUMBER($B24:AD24)))),
IFERROR(
IF('Résultats des tournois'!AD24="""", INDEX(FILTER($C24:AD24, ISNUMBER($C24:AD24)), COUNTA(FILTE"&amp;"R($C24:AD24, ISNUMBER($C24:AD24)))),
lastVal + 'K dynamique'!AD24 * ((SQRT('Résultats des tournois'!AD$2 + 1)/'Résultats des tournois'!AD24) - (1 / (1 + 10^((AD$103 - lastVal)/400)))))
)
))"),"")</f>
        <v/>
      </c>
      <c r="AF24" s="32" t="str">
        <f>IFERROR(__xludf.DUMMYFUNCTION("IF('Résultats des tournois'!AE$2=0,"""",LET(
lastVal, INDEX(FILTER($B24:AE24, ISNUMBER($B24:AE24)), COUNTA(FILTER($B24:AE24, ISNUMBER($B24:AE24)))),
IFERROR(
IF('Résultats des tournois'!AE24="""", INDEX(FILTER($C24:AE24, ISNUMBER($C24:AE24)), COUNTA(FILTE"&amp;"R($C24:AE24, ISNUMBER($C24:AE24)))),
lastVal + 'K dynamique'!AE24 * ((SQRT('Résultats des tournois'!AE$2 + 1)/'Résultats des tournois'!AE24) - (1 / (1 + 10^((AE$103 - lastVal)/400)))))
)
))"),"")</f>
        <v/>
      </c>
      <c r="AG24" s="32" t="str">
        <f>IFERROR(__xludf.DUMMYFUNCTION("IF('Résultats des tournois'!AF$2=0,"""",LET(
lastVal, INDEX(FILTER($B24:AF24, ISNUMBER($B24:AF24)), COUNTA(FILTER($B24:AF24, ISNUMBER($B24:AF24)))),
IFERROR(
IF('Résultats des tournois'!AF24="""", INDEX(FILTER($C24:AF24, ISNUMBER($C24:AF24)), COUNTA(FILTE"&amp;"R($C24:AF24, ISNUMBER($C24:AF24)))),
lastVal + 'K dynamique'!AF24 * ((SQRT('Résultats des tournois'!AF$2 + 1)/'Résultats des tournois'!AF24) - (1 / (1 + 10^((AF$103 - lastVal)/400)))))
)
))"),"")</f>
        <v/>
      </c>
      <c r="AH24" s="32" t="str">
        <f>IFERROR(__xludf.DUMMYFUNCTION("IF('Résultats des tournois'!AG$2=0,"""",LET(
lastVal, INDEX(FILTER($B24:AG24, ISNUMBER($B24:AG24)), COUNTA(FILTER($B24:AG24, ISNUMBER($B24:AG24)))),
IFERROR(
IF('Résultats des tournois'!AG24="""", INDEX(FILTER($C24:AG24, ISNUMBER($C24:AG24)), COUNTA(FILTE"&amp;"R($C24:AG24, ISNUMBER($C24:AG24)))),
lastVal + 'K dynamique'!AG24 * ((SQRT('Résultats des tournois'!AG$2 + 1)/'Résultats des tournois'!AG24) - (1 / (1 + 10^((AG$103 - lastVal)/400)))))
)
))"),"")</f>
        <v/>
      </c>
      <c r="AI24" s="32" t="str">
        <f>IFERROR(__xludf.DUMMYFUNCTION("IF('Résultats des tournois'!AH$2=0,"""",LET(
lastVal, INDEX(FILTER($B24:AH24, ISNUMBER($B24:AH24)), COUNTA(FILTER($B24:AH24, ISNUMBER($B24:AH24)))),
IFERROR(
IF('Résultats des tournois'!AH24="""", INDEX(FILTER($C24:AH24, ISNUMBER($C24:AH24)), COUNTA(FILTE"&amp;"R($C24:AH24, ISNUMBER($C24:AH24)))),
lastVal + 'K dynamique'!AH24 * ((SQRT('Résultats des tournois'!AH$2 + 1)/'Résultats des tournois'!AH24) - (1 / (1 + 10^((AH$103 - lastVal)/400)))))
)
))"),"")</f>
        <v/>
      </c>
      <c r="AJ24" s="32" t="str">
        <f>IFERROR(__xludf.DUMMYFUNCTION("IF('Résultats des tournois'!AI$2=0,"""",LET(
lastVal, INDEX(FILTER($B24:AI24, ISNUMBER($B24:AI24)), COUNTA(FILTER($B24:AI24, ISNUMBER($B24:AI24)))),
IFERROR(
IF('Résultats des tournois'!AI24="""", INDEX(FILTER($C24:AI24, ISNUMBER($C24:AI24)), COUNTA(FILTE"&amp;"R($C24:AI24, ISNUMBER($C24:AI24)))),
lastVal + 'K dynamique'!AI24 * ((SQRT('Résultats des tournois'!AI$2 + 1)/'Résultats des tournois'!AI24) - (1 / (1 + 10^((AI$103 - lastVal)/400)))))
)
))"),"")</f>
        <v/>
      </c>
      <c r="AK24" s="32" t="str">
        <f>IFERROR(__xludf.DUMMYFUNCTION("IF('Résultats des tournois'!AJ$2=0,"""",LET(
lastVal, INDEX(FILTER($B24:AJ24, ISNUMBER($B24:AJ24)), COUNTA(FILTER($B24:AJ24, ISNUMBER($B24:AJ24)))),
IFERROR(
IF('Résultats des tournois'!AJ24="""", INDEX(FILTER($C24:AJ24, ISNUMBER($C24:AJ24)), COUNTA(FILTE"&amp;"R($C24:AJ24, ISNUMBER($C24:AJ24)))),
lastVal + 'K dynamique'!AJ24 * ((SQRT('Résultats des tournois'!AJ$2 + 1)/'Résultats des tournois'!AJ24) - (1 / (1 + 10^((AJ$103 - lastVal)/400)))))
)
))"),"")</f>
        <v/>
      </c>
      <c r="AL24" s="32" t="str">
        <f>IFERROR(__xludf.DUMMYFUNCTION("IF('Résultats des tournois'!AK$2=0,"""",LET(
lastVal, INDEX(FILTER($B24:AK24, ISNUMBER($B24:AK24)), COUNTA(FILTER($B24:AK24, ISNUMBER($B24:AK24)))),
IFERROR(
IF('Résultats des tournois'!AK24="""", INDEX(FILTER($C24:AK24, ISNUMBER($C24:AK24)), COUNTA(FILTE"&amp;"R($C24:AK24, ISNUMBER($C24:AK24)))),
lastVal + 'K dynamique'!AK24 * ((SQRT('Résultats des tournois'!AK$2 + 1)/'Résultats des tournois'!AK24) - (1 / (1 + 10^((AK$103 - lastVal)/400)))))
)
))"),"")</f>
        <v/>
      </c>
      <c r="AM24" s="32" t="str">
        <f>IFERROR(__xludf.DUMMYFUNCTION("IF('Résultats des tournois'!AL$2=0,"""",LET(
lastVal, INDEX(FILTER($B24:AL24, ISNUMBER($B24:AL24)), COUNTA(FILTER($B24:AL24, ISNUMBER($B24:AL24)))),
IFERROR(
IF('Résultats des tournois'!AL24="""", INDEX(FILTER($C24:AL24, ISNUMBER($C24:AL24)), COUNTA(FILTE"&amp;"R($C24:AL24, ISNUMBER($C24:AL24)))),
lastVal + 'K dynamique'!AL24 * ((SQRT('Résultats des tournois'!AL$2 + 1)/'Résultats des tournois'!AL24) - (1 / (1 + 10^((AL$103 - lastVal)/400)))))
)
))"),"")</f>
        <v/>
      </c>
      <c r="AN24" s="32" t="str">
        <f>IFERROR(__xludf.DUMMYFUNCTION("IF('Résultats des tournois'!AM$2=0,"""",LET(
lastVal, INDEX(FILTER($B24:AM24, ISNUMBER($B24:AM24)), COUNTA(FILTER($B24:AM24, ISNUMBER($B24:AM24)))),
IFERROR(
IF('Résultats des tournois'!AM24="""", INDEX(FILTER($C24:AM24, ISNUMBER($C24:AM24)), COUNTA(FILTE"&amp;"R($C24:AM24, ISNUMBER($C24:AM24)))),
lastVal + 'K dynamique'!AM24 * ((SQRT('Résultats des tournois'!AM$2 + 1)/'Résultats des tournois'!AM24) - (1 / (1 + 10^((AM$103 - lastVal)/400)))))
)
))"),"")</f>
        <v/>
      </c>
      <c r="AO24" s="32" t="str">
        <f>IFERROR(__xludf.DUMMYFUNCTION("IF('Résultats des tournois'!AN$2=0,"""",LET(
lastVal, INDEX(FILTER($B24:AN24, ISNUMBER($B24:AN24)), COUNTA(FILTER($B24:AN24, ISNUMBER($B24:AN24)))),
IFERROR(
IF('Résultats des tournois'!AN24="""", INDEX(FILTER($C24:AN24, ISNUMBER($C24:AN24)), COUNTA(FILTE"&amp;"R($C24:AN24, ISNUMBER($C24:AN24)))),
lastVal + 'K dynamique'!AN24 * ((SQRT('Résultats des tournois'!AN$2 + 1)/'Résultats des tournois'!AN24) - (1 / (1 + 10^((AN$103 - lastVal)/400)))))
)
))"),"")</f>
        <v/>
      </c>
      <c r="AP24" s="32" t="str">
        <f>IFERROR(__xludf.DUMMYFUNCTION("IF('Résultats des tournois'!AO$2=0,"""",LET(
lastVal, INDEX(FILTER($B24:AO24, ISNUMBER($B24:AO24)), COUNTA(FILTER($B24:AO24, ISNUMBER($B24:AO24)))),
IFERROR(
IF('Résultats des tournois'!AO24="""", INDEX(FILTER($C24:AO24, ISNUMBER($C24:AO24)), COUNTA(FILTE"&amp;"R($C24:AO24, ISNUMBER($C24:AO24)))),
lastVal + 'K dynamique'!AO24 * ((SQRT('Résultats des tournois'!AO$2 + 1)/'Résultats des tournois'!AO24) - (1 / (1 + 10^((AO$103 - lastVal)/400)))))
)
))"),"")</f>
        <v/>
      </c>
      <c r="AQ24" s="32" t="str">
        <f>IFERROR(__xludf.DUMMYFUNCTION("IF('Résultats des tournois'!AP$2=0,"""",LET(
lastVal, INDEX(FILTER($B24:AP24, ISNUMBER($B24:AP24)), COUNTA(FILTER($B24:AP24, ISNUMBER($B24:AP24)))),
IFERROR(
IF('Résultats des tournois'!AP24="""", INDEX(FILTER($C24:AP24, ISNUMBER($C24:AP24)), COUNTA(FILTE"&amp;"R($C24:AP24, ISNUMBER($C24:AP24)))),
lastVal + 'K dynamique'!AP24 * ((SQRT('Résultats des tournois'!AP$2 + 1)/'Résultats des tournois'!AP24) - (1 / (1 + 10^((AP$103 - lastVal)/400)))))
)
))"),"")</f>
        <v/>
      </c>
      <c r="AR24" s="32" t="str">
        <f>IFERROR(__xludf.DUMMYFUNCTION("IF('Résultats des tournois'!AQ$2=0,"""",LET(
lastVal, INDEX(FILTER($B24:AQ24, ISNUMBER($B24:AQ24)), COUNTA(FILTER($B24:AQ24, ISNUMBER($B24:AQ24)))),
IFERROR(
IF('Résultats des tournois'!AQ24="""", INDEX(FILTER($C24:AQ24, ISNUMBER($C24:AQ24)), COUNTA(FILTE"&amp;"R($C24:AQ24, ISNUMBER($C24:AQ24)))),
lastVal + 'K dynamique'!AQ24 * ((SQRT('Résultats des tournois'!AQ$2 + 1)/'Résultats des tournois'!AQ24) - (1 / (1 + 10^((AQ$103 - lastVal)/400)))))
)
))"),"")</f>
        <v/>
      </c>
      <c r="AS24" s="32" t="str">
        <f>IFERROR(__xludf.DUMMYFUNCTION("IF('Résultats des tournois'!AR$2=0,"""",LET(
lastVal, INDEX(FILTER($B24:AR24, ISNUMBER($B24:AR24)), COUNTA(FILTER($B24:AR24, ISNUMBER($B24:AR24)))),
IFERROR(
IF('Résultats des tournois'!AR24="""", INDEX(FILTER($C24:AR24, ISNUMBER($C24:AR24)), COUNTA(FILTE"&amp;"R($C24:AR24, ISNUMBER($C24:AR24)))),
lastVal + 'K dynamique'!AR24 * ((SQRT('Résultats des tournois'!AR$2 + 1)/'Résultats des tournois'!AR24) - (1 / (1 + 10^((AR$103 - lastVal)/400)))))
)
))"),"")</f>
        <v/>
      </c>
      <c r="AT24" s="32" t="str">
        <f>IFERROR(__xludf.DUMMYFUNCTION("IF('Résultats des tournois'!AS$2=0,"""",LET(
lastVal, INDEX(FILTER($B24:AS24, ISNUMBER($B24:AS24)), COUNTA(FILTER($B24:AS24, ISNUMBER($B24:AS24)))),
IFERROR(
IF('Résultats des tournois'!AS24="""", INDEX(FILTER($C24:AS24, ISNUMBER($C24:AS24)), COUNTA(FILTE"&amp;"R($C24:AS24, ISNUMBER($C24:AS24)))),
lastVal + 'K dynamique'!AS24 * ((SQRT('Résultats des tournois'!AS$2 + 1)/'Résultats des tournois'!AS24) - (1 / (1 + 10^((AS$103 - lastVal)/400)))))
)
))"),"")</f>
        <v/>
      </c>
      <c r="AU24" s="32" t="str">
        <f>IFERROR(__xludf.DUMMYFUNCTION("IF('Résultats des tournois'!AT$2=0,"""",LET(
lastVal, INDEX(FILTER($B24:AT24, ISNUMBER($B24:AT24)), COUNTA(FILTER($B24:AT24, ISNUMBER($B24:AT24)))),
IFERROR(
IF('Résultats des tournois'!AT24="""", INDEX(FILTER($C24:AT24, ISNUMBER($C24:AT24)), COUNTA(FILTE"&amp;"R($C24:AT24, ISNUMBER($C24:AT24)))),
lastVal + 'K dynamique'!AT24 * ((SQRT('Résultats des tournois'!AT$2 + 1)/'Résultats des tournois'!AT24) - (1 / (1 + 10^((AT$103 - lastVal)/400)))))
)
))"),"")</f>
        <v/>
      </c>
      <c r="AV24" s="32" t="str">
        <f>IFERROR(__xludf.DUMMYFUNCTION("IF('Résultats des tournois'!AU$2=0,"""",LET(
lastVal, INDEX(FILTER($B24:AU24, ISNUMBER($B24:AU24)), COUNTA(FILTER($B24:AU24, ISNUMBER($B24:AU24)))),
IFERROR(
IF('Résultats des tournois'!AU24="""", INDEX(FILTER($C24:AU24, ISNUMBER($C24:AU24)), COUNTA(FILTE"&amp;"R($C24:AU24, ISNUMBER($C24:AU24)))),
lastVal + 'K dynamique'!AU24 * ((SQRT('Résultats des tournois'!AU$2 + 1)/'Résultats des tournois'!AU24) - (1 / (1 + 10^((AU$103 - lastVal)/400)))))
)
))"),"")</f>
        <v/>
      </c>
      <c r="AW24" s="32" t="str">
        <f>IFERROR(__xludf.DUMMYFUNCTION("IF('Résultats des tournois'!AV$2=0,"""",LET(
lastVal, INDEX(FILTER($B24:AV24, ISNUMBER($B24:AV24)), COUNTA(FILTER($B24:AV24, ISNUMBER($B24:AV24)))),
IFERROR(
IF('Résultats des tournois'!AV24="""", INDEX(FILTER($C24:AV24, ISNUMBER($C24:AV24)), COUNTA(FILTE"&amp;"R($C24:AV24, ISNUMBER($C24:AV24)))),
lastVal + 'K dynamique'!AV24 * ((SQRT('Résultats des tournois'!AV$2 + 1)/'Résultats des tournois'!AV24) - (1 / (1 + 10^((AV$103 - lastVal)/400)))))
)
))"),"")</f>
        <v/>
      </c>
      <c r="AX24" s="32" t="str">
        <f>IFERROR(__xludf.DUMMYFUNCTION("IF('Résultats des tournois'!AW$2=0,"""",LET(
lastVal, INDEX(FILTER($B24:AW24, ISNUMBER($B24:AW24)), COUNTA(FILTER($B24:AW24, ISNUMBER($B24:AW24)))),
IFERROR(
IF('Résultats des tournois'!AW24="""", INDEX(FILTER($C24:AW24, ISNUMBER($C24:AW24)), COUNTA(FILTE"&amp;"R($C24:AW24, ISNUMBER($C24:AW24)))),
lastVal + 'K dynamique'!AW24 * ((SQRT('Résultats des tournois'!AW$2 + 1)/'Résultats des tournois'!AW24) - (1 / (1 + 10^((AW$103 - lastVal)/400)))))
)
))"),"")</f>
        <v/>
      </c>
      <c r="AY24" s="32" t="str">
        <f>IFERROR(__xludf.DUMMYFUNCTION("IF('Résultats des tournois'!AX$2=0,"""",LET(
lastVal, INDEX(FILTER($B24:AX24, ISNUMBER($B24:AX24)), COUNTA(FILTER($B24:AX24, ISNUMBER($B24:AX24)))),
IFERROR(
IF('Résultats des tournois'!AX24="""", INDEX(FILTER($C24:AX24, ISNUMBER($C24:AX24)), COUNTA(FILTE"&amp;"R($C24:AX24, ISNUMBER($C24:AX24)))),
lastVal + 'K dynamique'!AX24 * ((SQRT('Résultats des tournois'!AX$2 + 1)/'Résultats des tournois'!AX24) - (1 / (1 + 10^((AX$103 - lastVal)/400)))))
)
))"),"")</f>
        <v/>
      </c>
      <c r="AZ24" s="4">
        <f t="array" ref="AZ24">IF(MAX(($C24:AY24&lt;&gt;"")*COLUMN($C24:AY24))=0,"",INDEX($C24:AY24,1,MAX(($C24:AY24&lt;&gt;"")*COLUMN($C24:AY24))-COLUMN($C24)+1))</f>
        <v>1512.766735</v>
      </c>
      <c r="BA24" s="33">
        <f t="shared" si="1"/>
        <v>15</v>
      </c>
    </row>
    <row r="25" ht="14.25" customHeight="1">
      <c r="A25" s="32" t="str">
        <f>IF('Résultats des tournois'!A25="","",'Résultats des tournois'!A25)</f>
        <v>Jerem</v>
      </c>
      <c r="B25" s="32">
        <v>1500.0</v>
      </c>
      <c r="C25" s="32" t="str">
        <f>IF('Résultats des tournois'!B25="","",B25+'K dynamique'!B25*((SQRT('Résultats des tournois'!B$2+1)/'Résultats des tournois'!B25)-(1/(1+10^((B25-B25)/400)))))</f>
        <v/>
      </c>
      <c r="D25" s="32" t="str">
        <f>IFERROR(__xludf.DUMMYFUNCTION("IF('Résultats des tournois'!C$2=0,"""",LET(
lastVal, INDEX(FILTER($B25:C25, ISNUMBER($B25:C25)), COUNTA(FILTER($B25:C25, ISNUMBER($B25:C25)))),
IFERROR(
IF('Résultats des tournois'!C25="""", INDEX(FILTER($C25:C25, ISNUMBER($C25:C25)), COUNTA(FILTER($C25:C"&amp;"25, ISNUMBER($C25:C25)))),
lastVal + 'K dynamique'!C25 * ((SQRT('Résultats des tournois'!C$2 + 1)/'Résultats des tournois'!C25) - (1 / (1 + 10^((C$103 - lastVal)/400)))))
)
))"),"")</f>
        <v/>
      </c>
      <c r="E25" s="32" t="str">
        <f>IFERROR(__xludf.DUMMYFUNCTION("IF('Résultats des tournois'!D$2=0,"""",LET(
lastVal, INDEX(FILTER($B25:D25, ISNUMBER($B25:D25)), COUNTA(FILTER($B25:D25, ISNUMBER($B25:D25)))),
IFERROR(
IF('Résultats des tournois'!D25="""", INDEX(FILTER($C25:D25, ISNUMBER($C25:D25)), COUNTA(FILTER($C25:D"&amp;"25, ISNUMBER($C25:D25)))),
lastVal + 'K dynamique'!D25 * ((SQRT('Résultats des tournois'!D$2 + 1)/'Résultats des tournois'!D25) - (1 / (1 + 10^((D$103 - lastVal)/400)))))
)
))"),"")</f>
        <v/>
      </c>
      <c r="F25" s="32" t="str">
        <f>IFERROR(__xludf.DUMMYFUNCTION("IF('Résultats des tournois'!E$2=0,"""",LET(
lastVal, INDEX(FILTER($B25:E25, ISNUMBER($B25:E25)), COUNTA(FILTER($B25:E25, ISNUMBER($B25:E25)))),
IFERROR(
IF('Résultats des tournois'!E25="""", INDEX(FILTER($C25:E25, ISNUMBER($C25:E25)), COUNTA(FILTER($C25:E"&amp;"25, ISNUMBER($C25:E25)))),
lastVal + 'K dynamique'!E25 * ((SQRT('Résultats des tournois'!E$2 + 1)/'Résultats des tournois'!E25) - (1 / (1 + 10^((E$103 - lastVal)/400)))))
)
))"),"")</f>
        <v/>
      </c>
      <c r="G25" s="32" t="str">
        <f>IFERROR(__xludf.DUMMYFUNCTION("IF('Résultats des tournois'!F$2=0,"""",LET(
lastVal, INDEX(FILTER($B25:F25, ISNUMBER($B25:F25)), COUNTA(FILTER($B25:F25, ISNUMBER($B25:F25)))),
IFERROR(
IF('Résultats des tournois'!F25="""", INDEX(FILTER($C25:F25, ISNUMBER($C25:F25)), COUNTA(FILTER($C25:F"&amp;"25, ISNUMBER($C25:F25)))),
lastVal + 'K dynamique'!F25 * ((SQRT('Résultats des tournois'!F$2 + 1)/'Résultats des tournois'!F25) - (1 / (1 + 10^((F$103 - lastVal)/400)))))
)
))"),"")</f>
        <v/>
      </c>
      <c r="H25" s="32" t="str">
        <f>IFERROR(__xludf.DUMMYFUNCTION("IF('Résultats des tournois'!G$2=0,"""",LET(
lastVal, INDEX(FILTER($B25:G25, ISNUMBER($B25:G25)), COUNTA(FILTER($B25:G25, ISNUMBER($B25:G25)))),
IFERROR(
IF('Résultats des tournois'!G25="""", INDEX(FILTER($C25:G25, ISNUMBER($C25:G25)), COUNTA(FILTER($C25:G"&amp;"25, ISNUMBER($C25:G25)))),
lastVal + 'K dynamique'!G25 * ((SQRT('Résultats des tournois'!G$2 + 1)/'Résultats des tournois'!G25) - (1 / (1 + 10^((G$103 - lastVal)/400)))))
)
))"),"")</f>
        <v/>
      </c>
      <c r="I25" s="32" t="str">
        <f>IFERROR(__xludf.DUMMYFUNCTION("IF('Résultats des tournois'!H$2=0,"""",LET(
lastVal, INDEX(FILTER($B25:H25, ISNUMBER($B25:H25)), COUNTA(FILTER($B25:H25, ISNUMBER($B25:H25)))),
IFERROR(
IF('Résultats des tournois'!H25="""", INDEX(FILTER($C25:H25, ISNUMBER($C25:H25)), COUNTA(FILTER($C25:H"&amp;"25, ISNUMBER($C25:H25)))),
lastVal + 'K dynamique'!H25 * ((SQRT('Résultats des tournois'!H$2 + 1)/'Résultats des tournois'!H25) - (1 / (1 + 10^((H$103 - lastVal)/400)))))
)
))"),"")</f>
        <v/>
      </c>
      <c r="J25" s="32" t="str">
        <f>IFERROR(__xludf.DUMMYFUNCTION("IF('Résultats des tournois'!I$2=0,"""",LET(
lastVal, INDEX(FILTER($B25:I25, ISNUMBER($B25:I25)), COUNTA(FILTER($B25:I25, ISNUMBER($B25:I25)))),
IFERROR(
IF('Résultats des tournois'!I25="""", INDEX(FILTER($C25:I25, ISNUMBER($C25:I25)), COUNTA(FILTER($C25:I"&amp;"25, ISNUMBER($C25:I25)))),
lastVal + 'K dynamique'!I25 * ((SQRT('Résultats des tournois'!I$2 + 1)/'Résultats des tournois'!I25) - (1 / (1 + 10^((I$103 - lastVal)/400)))))
)
))"),"")</f>
        <v/>
      </c>
      <c r="K25" s="32" t="str">
        <f>IFERROR(__xludf.DUMMYFUNCTION("IF('Résultats des tournois'!J$2=0,"""",LET(
lastVal, INDEX(FILTER($B25:J25, ISNUMBER($B25:J25)), COUNTA(FILTER($B25:J25, ISNUMBER($B25:J25)))),
IFERROR(
IF('Résultats des tournois'!J25="""", INDEX(FILTER($C25:J25, ISNUMBER($C25:J25)), COUNTA(FILTER($C25:J"&amp;"25, ISNUMBER($C25:J25)))),
lastVal + 'K dynamique'!J25 * ((SQRT('Résultats des tournois'!J$2 + 1)/'Résultats des tournois'!J25) - (1 / (1 + 10^((J$103 - lastVal)/400)))))
)
))"),"")</f>
        <v/>
      </c>
      <c r="L25" s="32" t="str">
        <f>IFERROR(__xludf.DUMMYFUNCTION("IF('Résultats des tournois'!K$2=0,"""",LET(
lastVal, INDEX(FILTER($B25:K25, ISNUMBER($B25:K25)), COUNTA(FILTER($B25:K25, ISNUMBER($B25:K25)))),
IFERROR(
IF('Résultats des tournois'!K25="""", INDEX(FILTER($C25:K25, ISNUMBER($C25:K25)), COUNTA(FILTER($C25:K"&amp;"25, ISNUMBER($C25:K25)))),
lastVal + 'K dynamique'!K25 * ((SQRT('Résultats des tournois'!K$2 + 1)/'Résultats des tournois'!K25) - (1 / (1 + 10^((K$103 - lastVal)/400)))))
)
))"),"")</f>
        <v/>
      </c>
      <c r="M25" s="32">
        <f>IFERROR(__xludf.DUMMYFUNCTION("IF('Résultats des tournois'!L$2=0,"""",LET(
lastVal, INDEX(FILTER($B25:L25, ISNUMBER($B25:L25)), COUNTA(FILTER($B25:L25, ISNUMBER($B25:L25)))),
IFERROR(
IF('Résultats des tournois'!L25="""", INDEX(FILTER($C25:L25, ISNUMBER($C25:L25)), COUNTA(FILTER($C25:L"&amp;"25, ISNUMBER($C25:L25)))),
lastVal + 'K dynamique'!L25 * ((SQRT('Résultats des tournois'!L$2 + 1)/'Résultats des tournois'!L25) - (1 / (1 + 10^((L$103 - lastVal)/400)))))
)
))"),1503.158440371984)</f>
        <v>1503.15844</v>
      </c>
      <c r="N25" s="32" t="str">
        <f>IFERROR(__xludf.DUMMYFUNCTION("IF('Résultats des tournois'!M$2=0,"""",LET(
lastVal, INDEX(FILTER($B25:M25, ISNUMBER($B25:M25)), COUNTA(FILTER($B25:M25, ISNUMBER($B25:M25)))),
IFERROR(
IF('Résultats des tournois'!M25="""", INDEX(FILTER($C25:M25, ISNUMBER($C25:M25)), COUNTA(FILTER($C25:M"&amp;"25, ISNUMBER($C25:M25)))),
lastVal + 'K dynamique'!M25 * ((SQRT('Résultats des tournois'!M$2 + 1)/'Résultats des tournois'!M25) - (1 / (1 + 10^((M$103 - lastVal)/400)))))
)
))"),"")</f>
        <v/>
      </c>
      <c r="O25" s="32" t="str">
        <f>IFERROR(__xludf.DUMMYFUNCTION("IF('Résultats des tournois'!N$2=0,"""",LET(
lastVal, INDEX(FILTER($B25:N25, ISNUMBER($B25:N25)), COUNTA(FILTER($B25:N25, ISNUMBER($B25:N25)))),
IFERROR(
IF('Résultats des tournois'!N25="""", INDEX(FILTER($C25:N25, ISNUMBER($C25:N25)), COUNTA(FILTER($C25:N"&amp;"25, ISNUMBER($C25:N25)))),
lastVal + 'K dynamique'!N25 * ((SQRT('Résultats des tournois'!N$2 + 1)/'Résultats des tournois'!N25) - (1 / (1 + 10^((N$103 - lastVal)/400)))))
)
))"),"")</f>
        <v/>
      </c>
      <c r="P25" s="32" t="str">
        <f>IFERROR(__xludf.DUMMYFUNCTION("IF('Résultats des tournois'!O$2=0,"""",LET(
lastVal, INDEX(FILTER($B25:O25, ISNUMBER($B25:O25)), COUNTA(FILTER($B25:O25, ISNUMBER($B25:O25)))),
IFERROR(
IF('Résultats des tournois'!O25="""", INDEX(FILTER($C25:O25, ISNUMBER($C25:O25)), COUNTA(FILTER($C25:O"&amp;"25, ISNUMBER($C25:O25)))),
lastVal + 'K dynamique'!O25 * ((SQRT('Résultats des tournois'!O$2 + 1)/'Résultats des tournois'!O25) - (1 / (1 + 10^((O$103 - lastVal)/400)))))
)
))"),"")</f>
        <v/>
      </c>
      <c r="Q25" s="32" t="str">
        <f>IFERROR(__xludf.DUMMYFUNCTION("IF('Résultats des tournois'!P$2=0,"""",LET(
lastVal, INDEX(FILTER($B25:P25, ISNUMBER($B25:P25)), COUNTA(FILTER($B25:P25, ISNUMBER($B25:P25)))),
IFERROR(
IF('Résultats des tournois'!P25="""", INDEX(FILTER($C25:P25, ISNUMBER($C25:P25)), COUNTA(FILTER($C25:P"&amp;"25, ISNUMBER($C25:P25)))),
lastVal + 'K dynamique'!P25 * ((SQRT('Résultats des tournois'!P$2 + 1)/'Résultats des tournois'!P25) - (1 / (1 + 10^((P$103 - lastVal)/400)))))
)
))"),"")</f>
        <v/>
      </c>
      <c r="R25" s="32" t="str">
        <f>IFERROR(__xludf.DUMMYFUNCTION("IF('Résultats des tournois'!Q$2=0,"""",LET(
lastVal, INDEX(FILTER($B25:Q25, ISNUMBER($B25:Q25)), COUNTA(FILTER($B25:Q25, ISNUMBER($B25:Q25)))),
IFERROR(
IF('Résultats des tournois'!Q25="""", INDEX(FILTER($C25:Q25, ISNUMBER($C25:Q25)), COUNTA(FILTER($C25:Q"&amp;"25, ISNUMBER($C25:Q25)))),
lastVal + 'K dynamique'!Q25 * ((SQRT('Résultats des tournois'!Q$2 + 1)/'Résultats des tournois'!Q25) - (1 / (1 + 10^((Q$103 - lastVal)/400)))))
)
))"),"")</f>
        <v/>
      </c>
      <c r="S25" s="32" t="str">
        <f>IFERROR(__xludf.DUMMYFUNCTION("IF('Résultats des tournois'!R$2=0,"""",LET(
lastVal, INDEX(FILTER($B25:R25, ISNUMBER($B25:R25)), COUNTA(FILTER($B25:R25, ISNUMBER($B25:R25)))),
IFERROR(
IF('Résultats des tournois'!R25="""", INDEX(FILTER($C25:R25, ISNUMBER($C25:R25)), COUNTA(FILTER($C25:R"&amp;"25, ISNUMBER($C25:R25)))),
lastVal + 'K dynamique'!R25 * ((SQRT('Résultats des tournois'!R$2 + 1)/'Résultats des tournois'!R25) - (1 / (1 + 10^((R$103 - lastVal)/400)))))
)
))"),"")</f>
        <v/>
      </c>
      <c r="T25" s="32" t="str">
        <f>IFERROR(__xludf.DUMMYFUNCTION("IF('Résultats des tournois'!S$2=0,"""",LET(
lastVal, INDEX(FILTER($B25:S25, ISNUMBER($B25:S25)), COUNTA(FILTER($B25:S25, ISNUMBER($B25:S25)))),
IFERROR(
IF('Résultats des tournois'!S25="""", INDEX(FILTER($C25:S25, ISNUMBER($C25:S25)), COUNTA(FILTER($C25:S"&amp;"25, ISNUMBER($C25:S25)))),
lastVal + 'K dynamique'!S25 * ((SQRT('Résultats des tournois'!S$2 + 1)/'Résultats des tournois'!S25) - (1 / (1 + 10^((S$103 - lastVal)/400)))))
)
))"),"")</f>
        <v/>
      </c>
      <c r="U25" s="32" t="str">
        <f>IFERROR(__xludf.DUMMYFUNCTION("IF('Résultats des tournois'!T$2=0,"""",LET(
lastVal, INDEX(FILTER($B25:T25, ISNUMBER($B25:T25)), COUNTA(FILTER($B25:T25, ISNUMBER($B25:T25)))),
IFERROR(
IF('Résultats des tournois'!T25="""", INDEX(FILTER($C25:T25, ISNUMBER($C25:T25)), COUNTA(FILTER($C25:T"&amp;"25, ISNUMBER($C25:T25)))),
lastVal + 'K dynamique'!T25 * ((SQRT('Résultats des tournois'!T$2 + 1)/'Résultats des tournois'!T25) - (1 / (1 + 10^((T$103 - lastVal)/400)))))
)
))"),"")</f>
        <v/>
      </c>
      <c r="V25" s="32" t="str">
        <f>IFERROR(__xludf.DUMMYFUNCTION("IF('Résultats des tournois'!U$2=0,"""",LET(
lastVal, INDEX(FILTER($B25:U25, ISNUMBER($B25:U25)), COUNTA(FILTER($B25:U25, ISNUMBER($B25:U25)))),
IFERROR(
IF('Résultats des tournois'!U25="""", INDEX(FILTER($C25:U25, ISNUMBER($C25:U25)), COUNTA(FILTER($C25:U"&amp;"25, ISNUMBER($C25:U25)))),
lastVal + 'K dynamique'!U25 * ((SQRT('Résultats des tournois'!U$2 + 1)/'Résultats des tournois'!U25) - (1 / (1 + 10^((U$103 - lastVal)/400)))))
)
))"),"")</f>
        <v/>
      </c>
      <c r="W25" s="32" t="str">
        <f>IFERROR(__xludf.DUMMYFUNCTION("IF('Résultats des tournois'!V$2=0,"""",LET(
lastVal, INDEX(FILTER($B25:V25, ISNUMBER($B25:V25)), COUNTA(FILTER($B25:V25, ISNUMBER($B25:V25)))),
IFERROR(
IF('Résultats des tournois'!V25="""", INDEX(FILTER($C25:V25, ISNUMBER($C25:V25)), COUNTA(FILTER($C25:V"&amp;"25, ISNUMBER($C25:V25)))),
lastVal + 'K dynamique'!V25 * ((SQRT('Résultats des tournois'!V$2 + 1)/'Résultats des tournois'!V25) - (1 / (1 + 10^((V$103 - lastVal)/400)))))
)
))"),"")</f>
        <v/>
      </c>
      <c r="X25" s="32" t="str">
        <f>IFERROR(__xludf.DUMMYFUNCTION("IF('Résultats des tournois'!W$2=0,"""",LET(
lastVal, INDEX(FILTER($B25:W25, ISNUMBER($B25:W25)), COUNTA(FILTER($B25:W25, ISNUMBER($B25:W25)))),
IFERROR(
IF('Résultats des tournois'!W25="""", INDEX(FILTER($C25:W25, ISNUMBER($C25:W25)), COUNTA(FILTER($C25:W"&amp;"25, ISNUMBER($C25:W25)))),
lastVal + 'K dynamique'!W25 * ((SQRT('Résultats des tournois'!W$2 + 1)/'Résultats des tournois'!W25) - (1 / (1 + 10^((W$103 - lastVal)/400)))))
)
))"),"")</f>
        <v/>
      </c>
      <c r="Y25" s="32" t="str">
        <f>IFERROR(__xludf.DUMMYFUNCTION("IF('Résultats des tournois'!X$2=0,"""",LET(
lastVal, INDEX(FILTER($B25:X25, ISNUMBER($B25:X25)), COUNTA(FILTER($B25:X25, ISNUMBER($B25:X25)))),
IFERROR(
IF('Résultats des tournois'!X25="""", INDEX(FILTER($C25:X25, ISNUMBER($C25:X25)), COUNTA(FILTER($C25:X"&amp;"25, ISNUMBER($C25:X25)))),
lastVal + 'K dynamique'!X25 * ((SQRT('Résultats des tournois'!X$2 + 1)/'Résultats des tournois'!X25) - (1 / (1 + 10^((X$103 - lastVal)/400)))))
)
))"),"")</f>
        <v/>
      </c>
      <c r="Z25" s="32" t="str">
        <f>IFERROR(__xludf.DUMMYFUNCTION("IF('Résultats des tournois'!Y$2=0,"""",LET(
lastVal, INDEX(FILTER($B25:Y25, ISNUMBER($B25:Y25)), COUNTA(FILTER($B25:Y25, ISNUMBER($B25:Y25)))),
IFERROR(
IF('Résultats des tournois'!Y25="""", INDEX(FILTER($C25:Y25, ISNUMBER($C25:Y25)), COUNTA(FILTER($C25:Y"&amp;"25, ISNUMBER($C25:Y25)))),
lastVal + 'K dynamique'!Y25 * ((SQRT('Résultats des tournois'!Y$2 + 1)/'Résultats des tournois'!Y25) - (1 / (1 + 10^((Y$103 - lastVal)/400)))))
)
))"),"")</f>
        <v/>
      </c>
      <c r="AA25" s="32" t="str">
        <f>IFERROR(__xludf.DUMMYFUNCTION("IF('Résultats des tournois'!Z$2=0,"""",LET(
lastVal, INDEX(FILTER($B25:Z25, ISNUMBER($B25:Z25)), COUNTA(FILTER($B25:Z25, ISNUMBER($B25:Z25)))),
IFERROR(
IF('Résultats des tournois'!Z25="""", INDEX(FILTER($C25:Z25, ISNUMBER($C25:Z25)), COUNTA(FILTER($C25:Z"&amp;"25, ISNUMBER($C25:Z25)))),
lastVal + 'K dynamique'!Z25 * ((SQRT('Résultats des tournois'!Z$2 + 1)/'Résultats des tournois'!Z25) - (1 / (1 + 10^((Z$103 - lastVal)/400)))))
)
))"),"")</f>
        <v/>
      </c>
      <c r="AB25" s="32" t="str">
        <f>IFERROR(__xludf.DUMMYFUNCTION("IF('Résultats des tournois'!AA$2=0,"""",LET(
lastVal, INDEX(FILTER($B25:AA25, ISNUMBER($B25:AA25)), COUNTA(FILTER($B25:AA25, ISNUMBER($B25:AA25)))),
IFERROR(
IF('Résultats des tournois'!AA25="""", INDEX(FILTER($C25:AA25, ISNUMBER($C25:AA25)), COUNTA(FILTE"&amp;"R($C25:AA25, ISNUMBER($C25:AA25)))),
lastVal + 'K dynamique'!AA25 * ((SQRT('Résultats des tournois'!AA$2 + 1)/'Résultats des tournois'!AA25) - (1 / (1 + 10^((AA$103 - lastVal)/400)))))
)
))"),"")</f>
        <v/>
      </c>
      <c r="AC25" s="32" t="str">
        <f>IFERROR(__xludf.DUMMYFUNCTION("IF('Résultats des tournois'!AB$2=0,"""",LET(
lastVal, INDEX(FILTER($B25:AB25, ISNUMBER($B25:AB25)), COUNTA(FILTER($B25:AB25, ISNUMBER($B25:AB25)))),
IFERROR(
IF('Résultats des tournois'!AB25="""", INDEX(FILTER($C25:AB25, ISNUMBER($C25:AB25)), COUNTA(FILTE"&amp;"R($C25:AB25, ISNUMBER($C25:AB25)))),
lastVal + 'K dynamique'!AB25 * ((SQRT('Résultats des tournois'!AB$2 + 1)/'Résultats des tournois'!AB25) - (1 / (1 + 10^((AB$103 - lastVal)/400)))))
)
))"),"")</f>
        <v/>
      </c>
      <c r="AD25" s="32" t="str">
        <f>IFERROR(__xludf.DUMMYFUNCTION("IF('Résultats des tournois'!AC$2=0,"""",LET(
lastVal, INDEX(FILTER($B25:AC25, ISNUMBER($B25:AC25)), COUNTA(FILTER($B25:AC25, ISNUMBER($B25:AC25)))),
IFERROR(
IF('Résultats des tournois'!AC25="""", INDEX(FILTER($C25:AC25, ISNUMBER($C25:AC25)), COUNTA(FILTE"&amp;"R($C25:AC25, ISNUMBER($C25:AC25)))),
lastVal + 'K dynamique'!AC25 * ((SQRT('Résultats des tournois'!AC$2 + 1)/'Résultats des tournois'!AC25) - (1 / (1 + 10^((AC$103 - lastVal)/400)))))
)
))"),"")</f>
        <v/>
      </c>
      <c r="AE25" s="32" t="str">
        <f>IFERROR(__xludf.DUMMYFUNCTION("IF('Résultats des tournois'!AD$2=0,"""",LET(
lastVal, INDEX(FILTER($B25:AD25, ISNUMBER($B25:AD25)), COUNTA(FILTER($B25:AD25, ISNUMBER($B25:AD25)))),
IFERROR(
IF('Résultats des tournois'!AD25="""", INDEX(FILTER($C25:AD25, ISNUMBER($C25:AD25)), COUNTA(FILTE"&amp;"R($C25:AD25, ISNUMBER($C25:AD25)))),
lastVal + 'K dynamique'!AD25 * ((SQRT('Résultats des tournois'!AD$2 + 1)/'Résultats des tournois'!AD25) - (1 / (1 + 10^((AD$103 - lastVal)/400)))))
)
))"),"")</f>
        <v/>
      </c>
      <c r="AF25" s="32" t="str">
        <f>IFERROR(__xludf.DUMMYFUNCTION("IF('Résultats des tournois'!AE$2=0,"""",LET(
lastVal, INDEX(FILTER($B25:AE25, ISNUMBER($B25:AE25)), COUNTA(FILTER($B25:AE25, ISNUMBER($B25:AE25)))),
IFERROR(
IF('Résultats des tournois'!AE25="""", INDEX(FILTER($C25:AE25, ISNUMBER($C25:AE25)), COUNTA(FILTE"&amp;"R($C25:AE25, ISNUMBER($C25:AE25)))),
lastVal + 'K dynamique'!AE25 * ((SQRT('Résultats des tournois'!AE$2 + 1)/'Résultats des tournois'!AE25) - (1 / (1 + 10^((AE$103 - lastVal)/400)))))
)
))"),"")</f>
        <v/>
      </c>
      <c r="AG25" s="32" t="str">
        <f>IFERROR(__xludf.DUMMYFUNCTION("IF('Résultats des tournois'!AF$2=0,"""",LET(
lastVal, INDEX(FILTER($B25:AF25, ISNUMBER($B25:AF25)), COUNTA(FILTER($B25:AF25, ISNUMBER($B25:AF25)))),
IFERROR(
IF('Résultats des tournois'!AF25="""", INDEX(FILTER($C25:AF25, ISNUMBER($C25:AF25)), COUNTA(FILTE"&amp;"R($C25:AF25, ISNUMBER($C25:AF25)))),
lastVal + 'K dynamique'!AF25 * ((SQRT('Résultats des tournois'!AF$2 + 1)/'Résultats des tournois'!AF25) - (1 / (1 + 10^((AF$103 - lastVal)/400)))))
)
))"),"")</f>
        <v/>
      </c>
      <c r="AH25" s="32" t="str">
        <f>IFERROR(__xludf.DUMMYFUNCTION("IF('Résultats des tournois'!AG$2=0,"""",LET(
lastVal, INDEX(FILTER($B25:AG25, ISNUMBER($B25:AG25)), COUNTA(FILTER($B25:AG25, ISNUMBER($B25:AG25)))),
IFERROR(
IF('Résultats des tournois'!AG25="""", INDEX(FILTER($C25:AG25, ISNUMBER($C25:AG25)), COUNTA(FILTE"&amp;"R($C25:AG25, ISNUMBER($C25:AG25)))),
lastVal + 'K dynamique'!AG25 * ((SQRT('Résultats des tournois'!AG$2 + 1)/'Résultats des tournois'!AG25) - (1 / (1 + 10^((AG$103 - lastVal)/400)))))
)
))"),"")</f>
        <v/>
      </c>
      <c r="AI25" s="32" t="str">
        <f>IFERROR(__xludf.DUMMYFUNCTION("IF('Résultats des tournois'!AH$2=0,"""",LET(
lastVal, INDEX(FILTER($B25:AH25, ISNUMBER($B25:AH25)), COUNTA(FILTER($B25:AH25, ISNUMBER($B25:AH25)))),
IFERROR(
IF('Résultats des tournois'!AH25="""", INDEX(FILTER($C25:AH25, ISNUMBER($C25:AH25)), COUNTA(FILTE"&amp;"R($C25:AH25, ISNUMBER($C25:AH25)))),
lastVal + 'K dynamique'!AH25 * ((SQRT('Résultats des tournois'!AH$2 + 1)/'Résultats des tournois'!AH25) - (1 / (1 + 10^((AH$103 - lastVal)/400)))))
)
))"),"")</f>
        <v/>
      </c>
      <c r="AJ25" s="32" t="str">
        <f>IFERROR(__xludf.DUMMYFUNCTION("IF('Résultats des tournois'!AI$2=0,"""",LET(
lastVal, INDEX(FILTER($B25:AI25, ISNUMBER($B25:AI25)), COUNTA(FILTER($B25:AI25, ISNUMBER($B25:AI25)))),
IFERROR(
IF('Résultats des tournois'!AI25="""", INDEX(FILTER($C25:AI25, ISNUMBER($C25:AI25)), COUNTA(FILTE"&amp;"R($C25:AI25, ISNUMBER($C25:AI25)))),
lastVal + 'K dynamique'!AI25 * ((SQRT('Résultats des tournois'!AI$2 + 1)/'Résultats des tournois'!AI25) - (1 / (1 + 10^((AI$103 - lastVal)/400)))))
)
))"),"")</f>
        <v/>
      </c>
      <c r="AK25" s="32" t="str">
        <f>IFERROR(__xludf.DUMMYFUNCTION("IF('Résultats des tournois'!AJ$2=0,"""",LET(
lastVal, INDEX(FILTER($B25:AJ25, ISNUMBER($B25:AJ25)), COUNTA(FILTER($B25:AJ25, ISNUMBER($B25:AJ25)))),
IFERROR(
IF('Résultats des tournois'!AJ25="""", INDEX(FILTER($C25:AJ25, ISNUMBER($C25:AJ25)), COUNTA(FILTE"&amp;"R($C25:AJ25, ISNUMBER($C25:AJ25)))),
lastVal + 'K dynamique'!AJ25 * ((SQRT('Résultats des tournois'!AJ$2 + 1)/'Résultats des tournois'!AJ25) - (1 / (1 + 10^((AJ$103 - lastVal)/400)))))
)
))"),"")</f>
        <v/>
      </c>
      <c r="AL25" s="32" t="str">
        <f>IFERROR(__xludf.DUMMYFUNCTION("IF('Résultats des tournois'!AK$2=0,"""",LET(
lastVal, INDEX(FILTER($B25:AK25, ISNUMBER($B25:AK25)), COUNTA(FILTER($B25:AK25, ISNUMBER($B25:AK25)))),
IFERROR(
IF('Résultats des tournois'!AK25="""", INDEX(FILTER($C25:AK25, ISNUMBER($C25:AK25)), COUNTA(FILTE"&amp;"R($C25:AK25, ISNUMBER($C25:AK25)))),
lastVal + 'K dynamique'!AK25 * ((SQRT('Résultats des tournois'!AK$2 + 1)/'Résultats des tournois'!AK25) - (1 / (1 + 10^((AK$103 - lastVal)/400)))))
)
))"),"")</f>
        <v/>
      </c>
      <c r="AM25" s="32" t="str">
        <f>IFERROR(__xludf.DUMMYFUNCTION("IF('Résultats des tournois'!AL$2=0,"""",LET(
lastVal, INDEX(FILTER($B25:AL25, ISNUMBER($B25:AL25)), COUNTA(FILTER($B25:AL25, ISNUMBER($B25:AL25)))),
IFERROR(
IF('Résultats des tournois'!AL25="""", INDEX(FILTER($C25:AL25, ISNUMBER($C25:AL25)), COUNTA(FILTE"&amp;"R($C25:AL25, ISNUMBER($C25:AL25)))),
lastVal + 'K dynamique'!AL25 * ((SQRT('Résultats des tournois'!AL$2 + 1)/'Résultats des tournois'!AL25) - (1 / (1 + 10^((AL$103 - lastVal)/400)))))
)
))"),"")</f>
        <v/>
      </c>
      <c r="AN25" s="32" t="str">
        <f>IFERROR(__xludf.DUMMYFUNCTION("IF('Résultats des tournois'!AM$2=0,"""",LET(
lastVal, INDEX(FILTER($B25:AM25, ISNUMBER($B25:AM25)), COUNTA(FILTER($B25:AM25, ISNUMBER($B25:AM25)))),
IFERROR(
IF('Résultats des tournois'!AM25="""", INDEX(FILTER($C25:AM25, ISNUMBER($C25:AM25)), COUNTA(FILTE"&amp;"R($C25:AM25, ISNUMBER($C25:AM25)))),
lastVal + 'K dynamique'!AM25 * ((SQRT('Résultats des tournois'!AM$2 + 1)/'Résultats des tournois'!AM25) - (1 / (1 + 10^((AM$103 - lastVal)/400)))))
)
))"),"")</f>
        <v/>
      </c>
      <c r="AO25" s="32" t="str">
        <f>IFERROR(__xludf.DUMMYFUNCTION("IF('Résultats des tournois'!AN$2=0,"""",LET(
lastVal, INDEX(FILTER($B25:AN25, ISNUMBER($B25:AN25)), COUNTA(FILTER($B25:AN25, ISNUMBER($B25:AN25)))),
IFERROR(
IF('Résultats des tournois'!AN25="""", INDEX(FILTER($C25:AN25, ISNUMBER($C25:AN25)), COUNTA(FILTE"&amp;"R($C25:AN25, ISNUMBER($C25:AN25)))),
lastVal + 'K dynamique'!AN25 * ((SQRT('Résultats des tournois'!AN$2 + 1)/'Résultats des tournois'!AN25) - (1 / (1 + 10^((AN$103 - lastVal)/400)))))
)
))"),"")</f>
        <v/>
      </c>
      <c r="AP25" s="32" t="str">
        <f>IFERROR(__xludf.DUMMYFUNCTION("IF('Résultats des tournois'!AO$2=0,"""",LET(
lastVal, INDEX(FILTER($B25:AO25, ISNUMBER($B25:AO25)), COUNTA(FILTER($B25:AO25, ISNUMBER($B25:AO25)))),
IFERROR(
IF('Résultats des tournois'!AO25="""", INDEX(FILTER($C25:AO25, ISNUMBER($C25:AO25)), COUNTA(FILTE"&amp;"R($C25:AO25, ISNUMBER($C25:AO25)))),
lastVal + 'K dynamique'!AO25 * ((SQRT('Résultats des tournois'!AO$2 + 1)/'Résultats des tournois'!AO25) - (1 / (1 + 10^((AO$103 - lastVal)/400)))))
)
))"),"")</f>
        <v/>
      </c>
      <c r="AQ25" s="32" t="str">
        <f>IFERROR(__xludf.DUMMYFUNCTION("IF('Résultats des tournois'!AP$2=0,"""",LET(
lastVal, INDEX(FILTER($B25:AP25, ISNUMBER($B25:AP25)), COUNTA(FILTER($B25:AP25, ISNUMBER($B25:AP25)))),
IFERROR(
IF('Résultats des tournois'!AP25="""", INDEX(FILTER($C25:AP25, ISNUMBER($C25:AP25)), COUNTA(FILTE"&amp;"R($C25:AP25, ISNUMBER($C25:AP25)))),
lastVal + 'K dynamique'!AP25 * ((SQRT('Résultats des tournois'!AP$2 + 1)/'Résultats des tournois'!AP25) - (1 / (1 + 10^((AP$103 - lastVal)/400)))))
)
))"),"")</f>
        <v/>
      </c>
      <c r="AR25" s="32" t="str">
        <f>IFERROR(__xludf.DUMMYFUNCTION("IF('Résultats des tournois'!AQ$2=0,"""",LET(
lastVal, INDEX(FILTER($B25:AQ25, ISNUMBER($B25:AQ25)), COUNTA(FILTER($B25:AQ25, ISNUMBER($B25:AQ25)))),
IFERROR(
IF('Résultats des tournois'!AQ25="""", INDEX(FILTER($C25:AQ25, ISNUMBER($C25:AQ25)), COUNTA(FILTE"&amp;"R($C25:AQ25, ISNUMBER($C25:AQ25)))),
lastVal + 'K dynamique'!AQ25 * ((SQRT('Résultats des tournois'!AQ$2 + 1)/'Résultats des tournois'!AQ25) - (1 / (1 + 10^((AQ$103 - lastVal)/400)))))
)
))"),"")</f>
        <v/>
      </c>
      <c r="AS25" s="32" t="str">
        <f>IFERROR(__xludf.DUMMYFUNCTION("IF('Résultats des tournois'!AR$2=0,"""",LET(
lastVal, INDEX(FILTER($B25:AR25, ISNUMBER($B25:AR25)), COUNTA(FILTER($B25:AR25, ISNUMBER($B25:AR25)))),
IFERROR(
IF('Résultats des tournois'!AR25="""", INDEX(FILTER($C25:AR25, ISNUMBER($C25:AR25)), COUNTA(FILTE"&amp;"R($C25:AR25, ISNUMBER($C25:AR25)))),
lastVal + 'K dynamique'!AR25 * ((SQRT('Résultats des tournois'!AR$2 + 1)/'Résultats des tournois'!AR25) - (1 / (1 + 10^((AR$103 - lastVal)/400)))))
)
))"),"")</f>
        <v/>
      </c>
      <c r="AT25" s="32" t="str">
        <f>IFERROR(__xludf.DUMMYFUNCTION("IF('Résultats des tournois'!AS$2=0,"""",LET(
lastVal, INDEX(FILTER($B25:AS25, ISNUMBER($B25:AS25)), COUNTA(FILTER($B25:AS25, ISNUMBER($B25:AS25)))),
IFERROR(
IF('Résultats des tournois'!AS25="""", INDEX(FILTER($C25:AS25, ISNUMBER($C25:AS25)), COUNTA(FILTE"&amp;"R($C25:AS25, ISNUMBER($C25:AS25)))),
lastVal + 'K dynamique'!AS25 * ((SQRT('Résultats des tournois'!AS$2 + 1)/'Résultats des tournois'!AS25) - (1 / (1 + 10^((AS$103 - lastVal)/400)))))
)
))"),"")</f>
        <v/>
      </c>
      <c r="AU25" s="32" t="str">
        <f>IFERROR(__xludf.DUMMYFUNCTION("IF('Résultats des tournois'!AT$2=0,"""",LET(
lastVal, INDEX(FILTER($B25:AT25, ISNUMBER($B25:AT25)), COUNTA(FILTER($B25:AT25, ISNUMBER($B25:AT25)))),
IFERROR(
IF('Résultats des tournois'!AT25="""", INDEX(FILTER($C25:AT25, ISNUMBER($C25:AT25)), COUNTA(FILTE"&amp;"R($C25:AT25, ISNUMBER($C25:AT25)))),
lastVal + 'K dynamique'!AT25 * ((SQRT('Résultats des tournois'!AT$2 + 1)/'Résultats des tournois'!AT25) - (1 / (1 + 10^((AT$103 - lastVal)/400)))))
)
))"),"")</f>
        <v/>
      </c>
      <c r="AV25" s="32" t="str">
        <f>IFERROR(__xludf.DUMMYFUNCTION("IF('Résultats des tournois'!AU$2=0,"""",LET(
lastVal, INDEX(FILTER($B25:AU25, ISNUMBER($B25:AU25)), COUNTA(FILTER($B25:AU25, ISNUMBER($B25:AU25)))),
IFERROR(
IF('Résultats des tournois'!AU25="""", INDEX(FILTER($C25:AU25, ISNUMBER($C25:AU25)), COUNTA(FILTE"&amp;"R($C25:AU25, ISNUMBER($C25:AU25)))),
lastVal + 'K dynamique'!AU25 * ((SQRT('Résultats des tournois'!AU$2 + 1)/'Résultats des tournois'!AU25) - (1 / (1 + 10^((AU$103 - lastVal)/400)))))
)
))"),"")</f>
        <v/>
      </c>
      <c r="AW25" s="32" t="str">
        <f>IFERROR(__xludf.DUMMYFUNCTION("IF('Résultats des tournois'!AV$2=0,"""",LET(
lastVal, INDEX(FILTER($B25:AV25, ISNUMBER($B25:AV25)), COUNTA(FILTER($B25:AV25, ISNUMBER($B25:AV25)))),
IFERROR(
IF('Résultats des tournois'!AV25="""", INDEX(FILTER($C25:AV25, ISNUMBER($C25:AV25)), COUNTA(FILTE"&amp;"R($C25:AV25, ISNUMBER($C25:AV25)))),
lastVal + 'K dynamique'!AV25 * ((SQRT('Résultats des tournois'!AV$2 + 1)/'Résultats des tournois'!AV25) - (1 / (1 + 10^((AV$103 - lastVal)/400)))))
)
))"),"")</f>
        <v/>
      </c>
      <c r="AX25" s="32" t="str">
        <f>IFERROR(__xludf.DUMMYFUNCTION("IF('Résultats des tournois'!AW$2=0,"""",LET(
lastVal, INDEX(FILTER($B25:AW25, ISNUMBER($B25:AW25)), COUNTA(FILTER($B25:AW25, ISNUMBER($B25:AW25)))),
IFERROR(
IF('Résultats des tournois'!AW25="""", INDEX(FILTER($C25:AW25, ISNUMBER($C25:AW25)), COUNTA(FILTE"&amp;"R($C25:AW25, ISNUMBER($C25:AW25)))),
lastVal + 'K dynamique'!AW25 * ((SQRT('Résultats des tournois'!AW$2 + 1)/'Résultats des tournois'!AW25) - (1 / (1 + 10^((AW$103 - lastVal)/400)))))
)
))"),"")</f>
        <v/>
      </c>
      <c r="AY25" s="32" t="str">
        <f>IFERROR(__xludf.DUMMYFUNCTION("IF('Résultats des tournois'!AX$2=0,"""",LET(
lastVal, INDEX(FILTER($B25:AX25, ISNUMBER($B25:AX25)), COUNTA(FILTER($B25:AX25, ISNUMBER($B25:AX25)))),
IFERROR(
IF('Résultats des tournois'!AX25="""", INDEX(FILTER($C25:AX25, ISNUMBER($C25:AX25)), COUNTA(FILTE"&amp;"R($C25:AX25, ISNUMBER($C25:AX25)))),
lastVal + 'K dynamique'!AX25 * ((SQRT('Résultats des tournois'!AX$2 + 1)/'Résultats des tournois'!AX25) - (1 / (1 + 10^((AX$103 - lastVal)/400)))))
)
))"),"")</f>
        <v/>
      </c>
      <c r="AZ25" s="4">
        <f t="array" ref="AZ25">IF(MAX(($C25:AY25&lt;&gt;"")*COLUMN($C25:AY25))=0,"",INDEX($C25:AY25,1,MAX(($C25:AY25&lt;&gt;"")*COLUMN($C25:AY25))-COLUMN($C25)+1))</f>
        <v>1503.15844</v>
      </c>
      <c r="BA25" s="33">
        <f t="shared" si="1"/>
        <v>20</v>
      </c>
    </row>
    <row r="26" ht="14.25" customHeight="1">
      <c r="A26" s="32" t="str">
        <f>IF('Résultats des tournois'!A26="","",'Résultats des tournois'!A26)</f>
        <v/>
      </c>
      <c r="B26" s="32">
        <v>1500.0</v>
      </c>
      <c r="C26" s="32" t="str">
        <f>IF('Résultats des tournois'!B26="","",B26+'K dynamique'!B26*((SQRT('Résultats des tournois'!B$2+1)/'Résultats des tournois'!B26)-(1/(1+10^((B26-B26)/400)))))</f>
        <v/>
      </c>
      <c r="D26" s="32" t="str">
        <f>IFERROR(__xludf.DUMMYFUNCTION("IF('Résultats des tournois'!C$2=0,"""",LET(
lastVal, INDEX(FILTER($B26:C26, ISNUMBER($B26:C26)), COUNTA(FILTER($B26:C26, ISNUMBER($B26:C26)))),
IFERROR(
IF('Résultats des tournois'!C26="""", INDEX(FILTER($C26:C26, ISNUMBER($C26:C26)), COUNTA(FILTER($C26:C"&amp;"26, ISNUMBER($C26:C26)))),
lastVal + 'K dynamique'!C26 * ((SQRT('Résultats des tournois'!C$2 + 1)/'Résultats des tournois'!C26) - (1 / (1 + 10^((C$103 - lastVal)/400)))))
)
))"),"")</f>
        <v/>
      </c>
      <c r="E26" s="32" t="str">
        <f>IFERROR(__xludf.DUMMYFUNCTION("IF('Résultats des tournois'!D$2=0,"""",LET(
lastVal, INDEX(FILTER($B26:D26, ISNUMBER($B26:D26)), COUNTA(FILTER($B26:D26, ISNUMBER($B26:D26)))),
IFERROR(
IF('Résultats des tournois'!D26="""", INDEX(FILTER($C26:D26, ISNUMBER($C26:D26)), COUNTA(FILTER($C26:D"&amp;"26, ISNUMBER($C26:D26)))),
lastVal + 'K dynamique'!D26 * ((SQRT('Résultats des tournois'!D$2 + 1)/'Résultats des tournois'!D26) - (1 / (1 + 10^((D$103 - lastVal)/400)))))
)
))"),"")</f>
        <v/>
      </c>
      <c r="F26" s="32" t="str">
        <f>IFERROR(__xludf.DUMMYFUNCTION("IF('Résultats des tournois'!E$2=0,"""",LET(
lastVal, INDEX(FILTER($B26:E26, ISNUMBER($B26:E26)), COUNTA(FILTER($B26:E26, ISNUMBER($B26:E26)))),
IFERROR(
IF('Résultats des tournois'!E26="""", INDEX(FILTER($C26:E26, ISNUMBER($C26:E26)), COUNTA(FILTER($C26:E"&amp;"26, ISNUMBER($C26:E26)))),
lastVal + 'K dynamique'!E26 * ((SQRT('Résultats des tournois'!E$2 + 1)/'Résultats des tournois'!E26) - (1 / (1 + 10^((E$103 - lastVal)/400)))))
)
))"),"")</f>
        <v/>
      </c>
      <c r="G26" s="32" t="str">
        <f>IFERROR(__xludf.DUMMYFUNCTION("IF('Résultats des tournois'!F$2=0,"""",LET(
lastVal, INDEX(FILTER($B26:F26, ISNUMBER($B26:F26)), COUNTA(FILTER($B26:F26, ISNUMBER($B26:F26)))),
IFERROR(
IF('Résultats des tournois'!F26="""", INDEX(FILTER($C26:F26, ISNUMBER($C26:F26)), COUNTA(FILTER($C26:F"&amp;"26, ISNUMBER($C26:F26)))),
lastVal + 'K dynamique'!F26 * ((SQRT('Résultats des tournois'!F$2 + 1)/'Résultats des tournois'!F26) - (1 / (1 + 10^((F$103 - lastVal)/400)))))
)
))"),"")</f>
        <v/>
      </c>
      <c r="H26" s="32" t="str">
        <f>IFERROR(__xludf.DUMMYFUNCTION("IF('Résultats des tournois'!G$2=0,"""",LET(
lastVal, INDEX(FILTER($B26:G26, ISNUMBER($B26:G26)), COUNTA(FILTER($B26:G26, ISNUMBER($B26:G26)))),
IFERROR(
IF('Résultats des tournois'!G26="""", INDEX(FILTER($C26:G26, ISNUMBER($C26:G26)), COUNTA(FILTER($C26:G"&amp;"26, ISNUMBER($C26:G26)))),
lastVal + 'K dynamique'!G26 * ((SQRT('Résultats des tournois'!G$2 + 1)/'Résultats des tournois'!G26) - (1 / (1 + 10^((G$103 - lastVal)/400)))))
)
))"),"")</f>
        <v/>
      </c>
      <c r="I26" s="32" t="str">
        <f>IFERROR(__xludf.DUMMYFUNCTION("IF('Résultats des tournois'!H$2=0,"""",LET(
lastVal, INDEX(FILTER($B26:H26, ISNUMBER($B26:H26)), COUNTA(FILTER($B26:H26, ISNUMBER($B26:H26)))),
IFERROR(
IF('Résultats des tournois'!H26="""", INDEX(FILTER($C26:H26, ISNUMBER($C26:H26)), COUNTA(FILTER($C26:H"&amp;"26, ISNUMBER($C26:H26)))),
lastVal + 'K dynamique'!H26 * ((SQRT('Résultats des tournois'!H$2 + 1)/'Résultats des tournois'!H26) - (1 / (1 + 10^((H$103 - lastVal)/400)))))
)
))"),"")</f>
        <v/>
      </c>
      <c r="J26" s="32" t="str">
        <f>IFERROR(__xludf.DUMMYFUNCTION("IF('Résultats des tournois'!I$2=0,"""",LET(
lastVal, INDEX(FILTER($B26:I26, ISNUMBER($B26:I26)), COUNTA(FILTER($B26:I26, ISNUMBER($B26:I26)))),
IFERROR(
IF('Résultats des tournois'!I26="""", INDEX(FILTER($C26:I26, ISNUMBER($C26:I26)), COUNTA(FILTER($C26:I"&amp;"26, ISNUMBER($C26:I26)))),
lastVal + 'K dynamique'!I26 * ((SQRT('Résultats des tournois'!I$2 + 1)/'Résultats des tournois'!I26) - (1 / (1 + 10^((I$103 - lastVal)/400)))))
)
))"),"")</f>
        <v/>
      </c>
      <c r="K26" s="32" t="str">
        <f>IFERROR(__xludf.DUMMYFUNCTION("IF('Résultats des tournois'!J$2=0,"""",LET(
lastVal, INDEX(FILTER($B26:J26, ISNUMBER($B26:J26)), COUNTA(FILTER($B26:J26, ISNUMBER($B26:J26)))),
IFERROR(
IF('Résultats des tournois'!J26="""", INDEX(FILTER($C26:J26, ISNUMBER($C26:J26)), COUNTA(FILTER($C26:J"&amp;"26, ISNUMBER($C26:J26)))),
lastVal + 'K dynamique'!J26 * ((SQRT('Résultats des tournois'!J$2 + 1)/'Résultats des tournois'!J26) - (1 / (1 + 10^((J$103 - lastVal)/400)))))
)
))"),"")</f>
        <v/>
      </c>
      <c r="L26" s="32" t="str">
        <f>IFERROR(__xludf.DUMMYFUNCTION("IF('Résultats des tournois'!K$2=0,"""",LET(
lastVal, INDEX(FILTER($B26:K26, ISNUMBER($B26:K26)), COUNTA(FILTER($B26:K26, ISNUMBER($B26:K26)))),
IFERROR(
IF('Résultats des tournois'!K26="""", INDEX(FILTER($C26:K26, ISNUMBER($C26:K26)), COUNTA(FILTER($C26:K"&amp;"26, ISNUMBER($C26:K26)))),
lastVal + 'K dynamique'!K26 * ((SQRT('Résultats des tournois'!K$2 + 1)/'Résultats des tournois'!K26) - (1 / (1 + 10^((K$103 - lastVal)/400)))))
)
))"),"")</f>
        <v/>
      </c>
      <c r="M26" s="32" t="str">
        <f>IFERROR(__xludf.DUMMYFUNCTION("IF('Résultats des tournois'!L$2=0,"""",LET(
lastVal, INDEX(FILTER($B26:L26, ISNUMBER($B26:L26)), COUNTA(FILTER($B26:L26, ISNUMBER($B26:L26)))),
IFERROR(
IF('Résultats des tournois'!L26="""", INDEX(FILTER($C26:L26, ISNUMBER($C26:L26)), COUNTA(FILTER($C26:L"&amp;"26, ISNUMBER($C26:L26)))),
lastVal + 'K dynamique'!L26 * ((SQRT('Résultats des tournois'!L$2 + 1)/'Résultats des tournois'!L26) - (1 / (1 + 10^((L$103 - lastVal)/400)))))
)
))"),"")</f>
        <v/>
      </c>
      <c r="N26" s="32" t="str">
        <f>IFERROR(__xludf.DUMMYFUNCTION("IF('Résultats des tournois'!M$2=0,"""",LET(
lastVal, INDEX(FILTER($B26:M26, ISNUMBER($B26:M26)), COUNTA(FILTER($B26:M26, ISNUMBER($B26:M26)))),
IFERROR(
IF('Résultats des tournois'!M26="""", INDEX(FILTER($C26:M26, ISNUMBER($C26:M26)), COUNTA(FILTER($C26:M"&amp;"26, ISNUMBER($C26:M26)))),
lastVal + 'K dynamique'!M26 * ((SQRT('Résultats des tournois'!M$2 + 1)/'Résultats des tournois'!M26) - (1 / (1 + 10^((M$103 - lastVal)/400)))))
)
))"),"")</f>
        <v/>
      </c>
      <c r="O26" s="32" t="str">
        <f>IFERROR(__xludf.DUMMYFUNCTION("IF('Résultats des tournois'!N$2=0,"""",LET(
lastVal, INDEX(FILTER($B26:N26, ISNUMBER($B26:N26)), COUNTA(FILTER($B26:N26, ISNUMBER($B26:N26)))),
IFERROR(
IF('Résultats des tournois'!N26="""", INDEX(FILTER($C26:N26, ISNUMBER($C26:N26)), COUNTA(FILTER($C26:N"&amp;"26, ISNUMBER($C26:N26)))),
lastVal + 'K dynamique'!N26 * ((SQRT('Résultats des tournois'!N$2 + 1)/'Résultats des tournois'!N26) - (1 / (1 + 10^((N$103 - lastVal)/400)))))
)
))"),"")</f>
        <v/>
      </c>
      <c r="P26" s="32" t="str">
        <f>IFERROR(__xludf.DUMMYFUNCTION("IF('Résultats des tournois'!O$2=0,"""",LET(
lastVal, INDEX(FILTER($B26:O26, ISNUMBER($B26:O26)), COUNTA(FILTER($B26:O26, ISNUMBER($B26:O26)))),
IFERROR(
IF('Résultats des tournois'!O26="""", INDEX(FILTER($C26:O26, ISNUMBER($C26:O26)), COUNTA(FILTER($C26:O"&amp;"26, ISNUMBER($C26:O26)))),
lastVal + 'K dynamique'!O26 * ((SQRT('Résultats des tournois'!O$2 + 1)/'Résultats des tournois'!O26) - (1 / (1 + 10^((O$103 - lastVal)/400)))))
)
))"),"")</f>
        <v/>
      </c>
      <c r="Q26" s="32" t="str">
        <f>IFERROR(__xludf.DUMMYFUNCTION("IF('Résultats des tournois'!P$2=0,"""",LET(
lastVal, INDEX(FILTER($B26:P26, ISNUMBER($B26:P26)), COUNTA(FILTER($B26:P26, ISNUMBER($B26:P26)))),
IFERROR(
IF('Résultats des tournois'!P26="""", INDEX(FILTER($C26:P26, ISNUMBER($C26:P26)), COUNTA(FILTER($C26:P"&amp;"26, ISNUMBER($C26:P26)))),
lastVal + 'K dynamique'!P26 * ((SQRT('Résultats des tournois'!P$2 + 1)/'Résultats des tournois'!P26) - (1 / (1 + 10^((P$103 - lastVal)/400)))))
)
))"),"")</f>
        <v/>
      </c>
      <c r="R26" s="32" t="str">
        <f>IFERROR(__xludf.DUMMYFUNCTION("IF('Résultats des tournois'!Q$2=0,"""",LET(
lastVal, INDEX(FILTER($B26:Q26, ISNUMBER($B26:Q26)), COUNTA(FILTER($B26:Q26, ISNUMBER($B26:Q26)))),
IFERROR(
IF('Résultats des tournois'!Q26="""", INDEX(FILTER($C26:Q26, ISNUMBER($C26:Q26)), COUNTA(FILTER($C26:Q"&amp;"26, ISNUMBER($C26:Q26)))),
lastVal + 'K dynamique'!Q26 * ((SQRT('Résultats des tournois'!Q$2 + 1)/'Résultats des tournois'!Q26) - (1 / (1 + 10^((Q$103 - lastVal)/400)))))
)
))"),"")</f>
        <v/>
      </c>
      <c r="S26" s="32" t="str">
        <f>IFERROR(__xludf.DUMMYFUNCTION("IF('Résultats des tournois'!R$2=0,"""",LET(
lastVal, INDEX(FILTER($B26:R26, ISNUMBER($B26:R26)), COUNTA(FILTER($B26:R26, ISNUMBER($B26:R26)))),
IFERROR(
IF('Résultats des tournois'!R26="""", INDEX(FILTER($C26:R26, ISNUMBER($C26:R26)), COUNTA(FILTER($C26:R"&amp;"26, ISNUMBER($C26:R26)))),
lastVal + 'K dynamique'!R26 * ((SQRT('Résultats des tournois'!R$2 + 1)/'Résultats des tournois'!R26) - (1 / (1 + 10^((R$103 - lastVal)/400)))))
)
))"),"")</f>
        <v/>
      </c>
      <c r="T26" s="32" t="str">
        <f>IFERROR(__xludf.DUMMYFUNCTION("IF('Résultats des tournois'!S$2=0,"""",LET(
lastVal, INDEX(FILTER($B26:S26, ISNUMBER($B26:S26)), COUNTA(FILTER($B26:S26, ISNUMBER($B26:S26)))),
IFERROR(
IF('Résultats des tournois'!S26="""", INDEX(FILTER($C26:S26, ISNUMBER($C26:S26)), COUNTA(FILTER($C26:S"&amp;"26, ISNUMBER($C26:S26)))),
lastVal + 'K dynamique'!S26 * ((SQRT('Résultats des tournois'!S$2 + 1)/'Résultats des tournois'!S26) - (1 / (1 + 10^((S$103 - lastVal)/400)))))
)
))"),"")</f>
        <v/>
      </c>
      <c r="U26" s="32" t="str">
        <f>IFERROR(__xludf.DUMMYFUNCTION("IF('Résultats des tournois'!T$2=0,"""",LET(
lastVal, INDEX(FILTER($B26:T26, ISNUMBER($B26:T26)), COUNTA(FILTER($B26:T26, ISNUMBER($B26:T26)))),
IFERROR(
IF('Résultats des tournois'!T26="""", INDEX(FILTER($C26:T26, ISNUMBER($C26:T26)), COUNTA(FILTER($C26:T"&amp;"26, ISNUMBER($C26:T26)))),
lastVal + 'K dynamique'!T26 * ((SQRT('Résultats des tournois'!T$2 + 1)/'Résultats des tournois'!T26) - (1 / (1 + 10^((T$103 - lastVal)/400)))))
)
))"),"")</f>
        <v/>
      </c>
      <c r="V26" s="32" t="str">
        <f>IFERROR(__xludf.DUMMYFUNCTION("IF('Résultats des tournois'!U$2=0,"""",LET(
lastVal, INDEX(FILTER($B26:U26, ISNUMBER($B26:U26)), COUNTA(FILTER($B26:U26, ISNUMBER($B26:U26)))),
IFERROR(
IF('Résultats des tournois'!U26="""", INDEX(FILTER($C26:U26, ISNUMBER($C26:U26)), COUNTA(FILTER($C26:U"&amp;"26, ISNUMBER($C26:U26)))),
lastVal + 'K dynamique'!U26 * ((SQRT('Résultats des tournois'!U$2 + 1)/'Résultats des tournois'!U26) - (1 / (1 + 10^((U$103 - lastVal)/400)))))
)
))"),"")</f>
        <v/>
      </c>
      <c r="W26" s="32" t="str">
        <f>IFERROR(__xludf.DUMMYFUNCTION("IF('Résultats des tournois'!V$2=0,"""",LET(
lastVal, INDEX(FILTER($B26:V26, ISNUMBER($B26:V26)), COUNTA(FILTER($B26:V26, ISNUMBER($B26:V26)))),
IFERROR(
IF('Résultats des tournois'!V26="""", INDEX(FILTER($C26:V26, ISNUMBER($C26:V26)), COUNTA(FILTER($C26:V"&amp;"26, ISNUMBER($C26:V26)))),
lastVal + 'K dynamique'!V26 * ((SQRT('Résultats des tournois'!V$2 + 1)/'Résultats des tournois'!V26) - (1 / (1 + 10^((V$103 - lastVal)/400)))))
)
))"),"")</f>
        <v/>
      </c>
      <c r="X26" s="32" t="str">
        <f>IFERROR(__xludf.DUMMYFUNCTION("IF('Résultats des tournois'!W$2=0,"""",LET(
lastVal, INDEX(FILTER($B26:W26, ISNUMBER($B26:W26)), COUNTA(FILTER($B26:W26, ISNUMBER($B26:W26)))),
IFERROR(
IF('Résultats des tournois'!W26="""", INDEX(FILTER($C26:W26, ISNUMBER($C26:W26)), COUNTA(FILTER($C26:W"&amp;"26, ISNUMBER($C26:W26)))),
lastVal + 'K dynamique'!W26 * ((SQRT('Résultats des tournois'!W$2 + 1)/'Résultats des tournois'!W26) - (1 / (1 + 10^((W$103 - lastVal)/400)))))
)
))"),"")</f>
        <v/>
      </c>
      <c r="Y26" s="32" t="str">
        <f>IFERROR(__xludf.DUMMYFUNCTION("IF('Résultats des tournois'!X$2=0,"""",LET(
lastVal, INDEX(FILTER($B26:X26, ISNUMBER($B26:X26)), COUNTA(FILTER($B26:X26, ISNUMBER($B26:X26)))),
IFERROR(
IF('Résultats des tournois'!X26="""", INDEX(FILTER($C26:X26, ISNUMBER($C26:X26)), COUNTA(FILTER($C26:X"&amp;"26, ISNUMBER($C26:X26)))),
lastVal + 'K dynamique'!X26 * ((SQRT('Résultats des tournois'!X$2 + 1)/'Résultats des tournois'!X26) - (1 / (1 + 10^((X$103 - lastVal)/400)))))
)
))"),"")</f>
        <v/>
      </c>
      <c r="Z26" s="32" t="str">
        <f>IFERROR(__xludf.DUMMYFUNCTION("IF('Résultats des tournois'!Y$2=0,"""",LET(
lastVal, INDEX(FILTER($B26:Y26, ISNUMBER($B26:Y26)), COUNTA(FILTER($B26:Y26, ISNUMBER($B26:Y26)))),
IFERROR(
IF('Résultats des tournois'!Y26="""", INDEX(FILTER($C26:Y26, ISNUMBER($C26:Y26)), COUNTA(FILTER($C26:Y"&amp;"26, ISNUMBER($C26:Y26)))),
lastVal + 'K dynamique'!Y26 * ((SQRT('Résultats des tournois'!Y$2 + 1)/'Résultats des tournois'!Y26) - (1 / (1 + 10^((Y$103 - lastVal)/400)))))
)
))"),"")</f>
        <v/>
      </c>
      <c r="AA26" s="32" t="str">
        <f>IFERROR(__xludf.DUMMYFUNCTION("IF('Résultats des tournois'!Z$2=0,"""",LET(
lastVal, INDEX(FILTER($B26:Z26, ISNUMBER($B26:Z26)), COUNTA(FILTER($B26:Z26, ISNUMBER($B26:Z26)))),
IFERROR(
IF('Résultats des tournois'!Z26="""", INDEX(FILTER($C26:Z26, ISNUMBER($C26:Z26)), COUNTA(FILTER($C26:Z"&amp;"26, ISNUMBER($C26:Z26)))),
lastVal + 'K dynamique'!Z26 * ((SQRT('Résultats des tournois'!Z$2 + 1)/'Résultats des tournois'!Z26) - (1 / (1 + 10^((Z$103 - lastVal)/400)))))
)
))"),"")</f>
        <v/>
      </c>
      <c r="AB26" s="32" t="str">
        <f>IFERROR(__xludf.DUMMYFUNCTION("IF('Résultats des tournois'!AA$2=0,"""",LET(
lastVal, INDEX(FILTER($B26:AA26, ISNUMBER($B26:AA26)), COUNTA(FILTER($B26:AA26, ISNUMBER($B26:AA26)))),
IFERROR(
IF('Résultats des tournois'!AA26="""", INDEX(FILTER($C26:AA26, ISNUMBER($C26:AA26)), COUNTA(FILTE"&amp;"R($C26:AA26, ISNUMBER($C26:AA26)))),
lastVal + 'K dynamique'!AA26 * ((SQRT('Résultats des tournois'!AA$2 + 1)/'Résultats des tournois'!AA26) - (1 / (1 + 10^((AA$103 - lastVal)/400)))))
)
))"),"")</f>
        <v/>
      </c>
      <c r="AC26" s="32" t="str">
        <f>IFERROR(__xludf.DUMMYFUNCTION("IF('Résultats des tournois'!AB$2=0,"""",LET(
lastVal, INDEX(FILTER($B26:AB26, ISNUMBER($B26:AB26)), COUNTA(FILTER($B26:AB26, ISNUMBER($B26:AB26)))),
IFERROR(
IF('Résultats des tournois'!AB26="""", INDEX(FILTER($C26:AB26, ISNUMBER($C26:AB26)), COUNTA(FILTE"&amp;"R($C26:AB26, ISNUMBER($C26:AB26)))),
lastVal + 'K dynamique'!AB26 * ((SQRT('Résultats des tournois'!AB$2 + 1)/'Résultats des tournois'!AB26) - (1 / (1 + 10^((AB$103 - lastVal)/400)))))
)
))"),"")</f>
        <v/>
      </c>
      <c r="AD26" s="32" t="str">
        <f>IFERROR(__xludf.DUMMYFUNCTION("IF('Résultats des tournois'!AC$2=0,"""",LET(
lastVal, INDEX(FILTER($B26:AC26, ISNUMBER($B26:AC26)), COUNTA(FILTER($B26:AC26, ISNUMBER($B26:AC26)))),
IFERROR(
IF('Résultats des tournois'!AC26="""", INDEX(FILTER($C26:AC26, ISNUMBER($C26:AC26)), COUNTA(FILTE"&amp;"R($C26:AC26, ISNUMBER($C26:AC26)))),
lastVal + 'K dynamique'!AC26 * ((SQRT('Résultats des tournois'!AC$2 + 1)/'Résultats des tournois'!AC26) - (1 / (1 + 10^((AC$103 - lastVal)/400)))))
)
))"),"")</f>
        <v/>
      </c>
      <c r="AE26" s="32" t="str">
        <f>IFERROR(__xludf.DUMMYFUNCTION("IF('Résultats des tournois'!AD$2=0,"""",LET(
lastVal, INDEX(FILTER($B26:AD26, ISNUMBER($B26:AD26)), COUNTA(FILTER($B26:AD26, ISNUMBER($B26:AD26)))),
IFERROR(
IF('Résultats des tournois'!AD26="""", INDEX(FILTER($C26:AD26, ISNUMBER($C26:AD26)), COUNTA(FILTE"&amp;"R($C26:AD26, ISNUMBER($C26:AD26)))),
lastVal + 'K dynamique'!AD26 * ((SQRT('Résultats des tournois'!AD$2 + 1)/'Résultats des tournois'!AD26) - (1 / (1 + 10^((AD$103 - lastVal)/400)))))
)
))"),"")</f>
        <v/>
      </c>
      <c r="AF26" s="32" t="str">
        <f>IFERROR(__xludf.DUMMYFUNCTION("IF('Résultats des tournois'!AE$2=0,"""",LET(
lastVal, INDEX(FILTER($B26:AE26, ISNUMBER($B26:AE26)), COUNTA(FILTER($B26:AE26, ISNUMBER($B26:AE26)))),
IFERROR(
IF('Résultats des tournois'!AE26="""", INDEX(FILTER($C26:AE26, ISNUMBER($C26:AE26)), COUNTA(FILTE"&amp;"R($C26:AE26, ISNUMBER($C26:AE26)))),
lastVal + 'K dynamique'!AE26 * ((SQRT('Résultats des tournois'!AE$2 + 1)/'Résultats des tournois'!AE26) - (1 / (1 + 10^((AE$103 - lastVal)/400)))))
)
))"),"")</f>
        <v/>
      </c>
      <c r="AG26" s="32" t="str">
        <f>IFERROR(__xludf.DUMMYFUNCTION("IF('Résultats des tournois'!AF$2=0,"""",LET(
lastVal, INDEX(FILTER($B26:AF26, ISNUMBER($B26:AF26)), COUNTA(FILTER($B26:AF26, ISNUMBER($B26:AF26)))),
IFERROR(
IF('Résultats des tournois'!AF26="""", INDEX(FILTER($C26:AF26, ISNUMBER($C26:AF26)), COUNTA(FILTE"&amp;"R($C26:AF26, ISNUMBER($C26:AF26)))),
lastVal + 'K dynamique'!AF26 * ((SQRT('Résultats des tournois'!AF$2 + 1)/'Résultats des tournois'!AF26) - (1 / (1 + 10^((AF$103 - lastVal)/400)))))
)
))"),"")</f>
        <v/>
      </c>
      <c r="AH26" s="32" t="str">
        <f>IFERROR(__xludf.DUMMYFUNCTION("IF('Résultats des tournois'!AG$2=0,"""",LET(
lastVal, INDEX(FILTER($B26:AG26, ISNUMBER($B26:AG26)), COUNTA(FILTER($B26:AG26, ISNUMBER($B26:AG26)))),
IFERROR(
IF('Résultats des tournois'!AG26="""", INDEX(FILTER($C26:AG26, ISNUMBER($C26:AG26)), COUNTA(FILTE"&amp;"R($C26:AG26, ISNUMBER($C26:AG26)))),
lastVal + 'K dynamique'!AG26 * ((SQRT('Résultats des tournois'!AG$2 + 1)/'Résultats des tournois'!AG26) - (1 / (1 + 10^((AG$103 - lastVal)/400)))))
)
))"),"")</f>
        <v/>
      </c>
      <c r="AI26" s="32" t="str">
        <f>IFERROR(__xludf.DUMMYFUNCTION("IF('Résultats des tournois'!AH$2=0,"""",LET(
lastVal, INDEX(FILTER($B26:AH26, ISNUMBER($B26:AH26)), COUNTA(FILTER($B26:AH26, ISNUMBER($B26:AH26)))),
IFERROR(
IF('Résultats des tournois'!AH26="""", INDEX(FILTER($C26:AH26, ISNUMBER($C26:AH26)), COUNTA(FILTE"&amp;"R($C26:AH26, ISNUMBER($C26:AH26)))),
lastVal + 'K dynamique'!AH26 * ((SQRT('Résultats des tournois'!AH$2 + 1)/'Résultats des tournois'!AH26) - (1 / (1 + 10^((AH$103 - lastVal)/400)))))
)
))"),"")</f>
        <v/>
      </c>
      <c r="AJ26" s="32" t="str">
        <f>IFERROR(__xludf.DUMMYFUNCTION("IF('Résultats des tournois'!AI$2=0,"""",LET(
lastVal, INDEX(FILTER($B26:AI26, ISNUMBER($B26:AI26)), COUNTA(FILTER($B26:AI26, ISNUMBER($B26:AI26)))),
IFERROR(
IF('Résultats des tournois'!AI26="""", INDEX(FILTER($C26:AI26, ISNUMBER($C26:AI26)), COUNTA(FILTE"&amp;"R($C26:AI26, ISNUMBER($C26:AI26)))),
lastVal + 'K dynamique'!AI26 * ((SQRT('Résultats des tournois'!AI$2 + 1)/'Résultats des tournois'!AI26) - (1 / (1 + 10^((AI$103 - lastVal)/400)))))
)
))"),"")</f>
        <v/>
      </c>
      <c r="AK26" s="32" t="str">
        <f>IFERROR(__xludf.DUMMYFUNCTION("IF('Résultats des tournois'!AJ$2=0,"""",LET(
lastVal, INDEX(FILTER($B26:AJ26, ISNUMBER($B26:AJ26)), COUNTA(FILTER($B26:AJ26, ISNUMBER($B26:AJ26)))),
IFERROR(
IF('Résultats des tournois'!AJ26="""", INDEX(FILTER($C26:AJ26, ISNUMBER($C26:AJ26)), COUNTA(FILTE"&amp;"R($C26:AJ26, ISNUMBER($C26:AJ26)))),
lastVal + 'K dynamique'!AJ26 * ((SQRT('Résultats des tournois'!AJ$2 + 1)/'Résultats des tournois'!AJ26) - (1 / (1 + 10^((AJ$103 - lastVal)/400)))))
)
))"),"")</f>
        <v/>
      </c>
      <c r="AL26" s="32" t="str">
        <f>IFERROR(__xludf.DUMMYFUNCTION("IF('Résultats des tournois'!AK$2=0,"""",LET(
lastVal, INDEX(FILTER($B26:AK26, ISNUMBER($B26:AK26)), COUNTA(FILTER($B26:AK26, ISNUMBER($B26:AK26)))),
IFERROR(
IF('Résultats des tournois'!AK26="""", INDEX(FILTER($C26:AK26, ISNUMBER($C26:AK26)), COUNTA(FILTE"&amp;"R($C26:AK26, ISNUMBER($C26:AK26)))),
lastVal + 'K dynamique'!AK26 * ((SQRT('Résultats des tournois'!AK$2 + 1)/'Résultats des tournois'!AK26) - (1 / (1 + 10^((AK$103 - lastVal)/400)))))
)
))"),"")</f>
        <v/>
      </c>
      <c r="AM26" s="32" t="str">
        <f>IFERROR(__xludf.DUMMYFUNCTION("IF('Résultats des tournois'!AL$2=0,"""",LET(
lastVal, INDEX(FILTER($B26:AL26, ISNUMBER($B26:AL26)), COUNTA(FILTER($B26:AL26, ISNUMBER($B26:AL26)))),
IFERROR(
IF('Résultats des tournois'!AL26="""", INDEX(FILTER($C26:AL26, ISNUMBER($C26:AL26)), COUNTA(FILTE"&amp;"R($C26:AL26, ISNUMBER($C26:AL26)))),
lastVal + 'K dynamique'!AL26 * ((SQRT('Résultats des tournois'!AL$2 + 1)/'Résultats des tournois'!AL26) - (1 / (1 + 10^((AL$103 - lastVal)/400)))))
)
))"),"")</f>
        <v/>
      </c>
      <c r="AN26" s="32" t="str">
        <f>IFERROR(__xludf.DUMMYFUNCTION("IF('Résultats des tournois'!AM$2=0,"""",LET(
lastVal, INDEX(FILTER($B26:AM26, ISNUMBER($B26:AM26)), COUNTA(FILTER($B26:AM26, ISNUMBER($B26:AM26)))),
IFERROR(
IF('Résultats des tournois'!AM26="""", INDEX(FILTER($C26:AM26, ISNUMBER($C26:AM26)), COUNTA(FILTE"&amp;"R($C26:AM26, ISNUMBER($C26:AM26)))),
lastVal + 'K dynamique'!AM26 * ((SQRT('Résultats des tournois'!AM$2 + 1)/'Résultats des tournois'!AM26) - (1 / (1 + 10^((AM$103 - lastVal)/400)))))
)
))"),"")</f>
        <v/>
      </c>
      <c r="AO26" s="32" t="str">
        <f>IFERROR(__xludf.DUMMYFUNCTION("IF('Résultats des tournois'!AN$2=0,"""",LET(
lastVal, INDEX(FILTER($B26:AN26, ISNUMBER($B26:AN26)), COUNTA(FILTER($B26:AN26, ISNUMBER($B26:AN26)))),
IFERROR(
IF('Résultats des tournois'!AN26="""", INDEX(FILTER($C26:AN26, ISNUMBER($C26:AN26)), COUNTA(FILTE"&amp;"R($C26:AN26, ISNUMBER($C26:AN26)))),
lastVal + 'K dynamique'!AN26 * ((SQRT('Résultats des tournois'!AN$2 + 1)/'Résultats des tournois'!AN26) - (1 / (1 + 10^((AN$103 - lastVal)/400)))))
)
))"),"")</f>
        <v/>
      </c>
      <c r="AP26" s="32" t="str">
        <f>IFERROR(__xludf.DUMMYFUNCTION("IF('Résultats des tournois'!AO$2=0,"""",LET(
lastVal, INDEX(FILTER($B26:AO26, ISNUMBER($B26:AO26)), COUNTA(FILTER($B26:AO26, ISNUMBER($B26:AO26)))),
IFERROR(
IF('Résultats des tournois'!AO26="""", INDEX(FILTER($C26:AO26, ISNUMBER($C26:AO26)), COUNTA(FILTE"&amp;"R($C26:AO26, ISNUMBER($C26:AO26)))),
lastVal + 'K dynamique'!AO26 * ((SQRT('Résultats des tournois'!AO$2 + 1)/'Résultats des tournois'!AO26) - (1 / (1 + 10^((AO$103 - lastVal)/400)))))
)
))"),"")</f>
        <v/>
      </c>
      <c r="AQ26" s="32" t="str">
        <f>IFERROR(__xludf.DUMMYFUNCTION("IF('Résultats des tournois'!AP$2=0,"""",LET(
lastVal, INDEX(FILTER($B26:AP26, ISNUMBER($B26:AP26)), COUNTA(FILTER($B26:AP26, ISNUMBER($B26:AP26)))),
IFERROR(
IF('Résultats des tournois'!AP26="""", INDEX(FILTER($C26:AP26, ISNUMBER($C26:AP26)), COUNTA(FILTE"&amp;"R($C26:AP26, ISNUMBER($C26:AP26)))),
lastVal + 'K dynamique'!AP26 * ((SQRT('Résultats des tournois'!AP$2 + 1)/'Résultats des tournois'!AP26) - (1 / (1 + 10^((AP$103 - lastVal)/400)))))
)
))"),"")</f>
        <v/>
      </c>
      <c r="AR26" s="32" t="str">
        <f>IFERROR(__xludf.DUMMYFUNCTION("IF('Résultats des tournois'!AQ$2=0,"""",LET(
lastVal, INDEX(FILTER($B26:AQ26, ISNUMBER($B26:AQ26)), COUNTA(FILTER($B26:AQ26, ISNUMBER($B26:AQ26)))),
IFERROR(
IF('Résultats des tournois'!AQ26="""", INDEX(FILTER($C26:AQ26, ISNUMBER($C26:AQ26)), COUNTA(FILTE"&amp;"R($C26:AQ26, ISNUMBER($C26:AQ26)))),
lastVal + 'K dynamique'!AQ26 * ((SQRT('Résultats des tournois'!AQ$2 + 1)/'Résultats des tournois'!AQ26) - (1 / (1 + 10^((AQ$103 - lastVal)/400)))))
)
))"),"")</f>
        <v/>
      </c>
      <c r="AS26" s="32" t="str">
        <f>IFERROR(__xludf.DUMMYFUNCTION("IF('Résultats des tournois'!AR$2=0,"""",LET(
lastVal, INDEX(FILTER($B26:AR26, ISNUMBER($B26:AR26)), COUNTA(FILTER($B26:AR26, ISNUMBER($B26:AR26)))),
IFERROR(
IF('Résultats des tournois'!AR26="""", INDEX(FILTER($C26:AR26, ISNUMBER($C26:AR26)), COUNTA(FILTE"&amp;"R($C26:AR26, ISNUMBER($C26:AR26)))),
lastVal + 'K dynamique'!AR26 * ((SQRT('Résultats des tournois'!AR$2 + 1)/'Résultats des tournois'!AR26) - (1 / (1 + 10^((AR$103 - lastVal)/400)))))
)
))"),"")</f>
        <v/>
      </c>
      <c r="AT26" s="32" t="str">
        <f>IFERROR(__xludf.DUMMYFUNCTION("IF('Résultats des tournois'!AS$2=0,"""",LET(
lastVal, INDEX(FILTER($B26:AS26, ISNUMBER($B26:AS26)), COUNTA(FILTER($B26:AS26, ISNUMBER($B26:AS26)))),
IFERROR(
IF('Résultats des tournois'!AS26="""", INDEX(FILTER($C26:AS26, ISNUMBER($C26:AS26)), COUNTA(FILTE"&amp;"R($C26:AS26, ISNUMBER($C26:AS26)))),
lastVal + 'K dynamique'!AS26 * ((SQRT('Résultats des tournois'!AS$2 + 1)/'Résultats des tournois'!AS26) - (1 / (1 + 10^((AS$103 - lastVal)/400)))))
)
))"),"")</f>
        <v/>
      </c>
      <c r="AU26" s="32" t="str">
        <f>IFERROR(__xludf.DUMMYFUNCTION("IF('Résultats des tournois'!AT$2=0,"""",LET(
lastVal, INDEX(FILTER($B26:AT26, ISNUMBER($B26:AT26)), COUNTA(FILTER($B26:AT26, ISNUMBER($B26:AT26)))),
IFERROR(
IF('Résultats des tournois'!AT26="""", INDEX(FILTER($C26:AT26, ISNUMBER($C26:AT26)), COUNTA(FILTE"&amp;"R($C26:AT26, ISNUMBER($C26:AT26)))),
lastVal + 'K dynamique'!AT26 * ((SQRT('Résultats des tournois'!AT$2 + 1)/'Résultats des tournois'!AT26) - (1 / (1 + 10^((AT$103 - lastVal)/400)))))
)
))"),"")</f>
        <v/>
      </c>
      <c r="AV26" s="32" t="str">
        <f>IFERROR(__xludf.DUMMYFUNCTION("IF('Résultats des tournois'!AU$2=0,"""",LET(
lastVal, INDEX(FILTER($B26:AU26, ISNUMBER($B26:AU26)), COUNTA(FILTER($B26:AU26, ISNUMBER($B26:AU26)))),
IFERROR(
IF('Résultats des tournois'!AU26="""", INDEX(FILTER($C26:AU26, ISNUMBER($C26:AU26)), COUNTA(FILTE"&amp;"R($C26:AU26, ISNUMBER($C26:AU26)))),
lastVal + 'K dynamique'!AU26 * ((SQRT('Résultats des tournois'!AU$2 + 1)/'Résultats des tournois'!AU26) - (1 / (1 + 10^((AU$103 - lastVal)/400)))))
)
))"),"")</f>
        <v/>
      </c>
      <c r="AW26" s="32" t="str">
        <f>IFERROR(__xludf.DUMMYFUNCTION("IF('Résultats des tournois'!AV$2=0,"""",LET(
lastVal, INDEX(FILTER($B26:AV26, ISNUMBER($B26:AV26)), COUNTA(FILTER($B26:AV26, ISNUMBER($B26:AV26)))),
IFERROR(
IF('Résultats des tournois'!AV26="""", INDEX(FILTER($C26:AV26, ISNUMBER($C26:AV26)), COUNTA(FILTE"&amp;"R($C26:AV26, ISNUMBER($C26:AV26)))),
lastVal + 'K dynamique'!AV26 * ((SQRT('Résultats des tournois'!AV$2 + 1)/'Résultats des tournois'!AV26) - (1 / (1 + 10^((AV$103 - lastVal)/400)))))
)
))"),"")</f>
        <v/>
      </c>
      <c r="AX26" s="32" t="str">
        <f>IFERROR(__xludf.DUMMYFUNCTION("IF('Résultats des tournois'!AW$2=0,"""",LET(
lastVal, INDEX(FILTER($B26:AW26, ISNUMBER($B26:AW26)), COUNTA(FILTER($B26:AW26, ISNUMBER($B26:AW26)))),
IFERROR(
IF('Résultats des tournois'!AW26="""", INDEX(FILTER($C26:AW26, ISNUMBER($C26:AW26)), COUNTA(FILTE"&amp;"R($C26:AW26, ISNUMBER($C26:AW26)))),
lastVal + 'K dynamique'!AW26 * ((SQRT('Résultats des tournois'!AW$2 + 1)/'Résultats des tournois'!AW26) - (1 / (1 + 10^((AW$103 - lastVal)/400)))))
)
))"),"")</f>
        <v/>
      </c>
      <c r="AY26" s="32" t="str">
        <f>IFERROR(__xludf.DUMMYFUNCTION("IF('Résultats des tournois'!AX$2=0,"""",LET(
lastVal, INDEX(FILTER($B26:AX26, ISNUMBER($B26:AX26)), COUNTA(FILTER($B26:AX26, ISNUMBER($B26:AX26)))),
IFERROR(
IF('Résultats des tournois'!AX26="""", INDEX(FILTER($C26:AX26, ISNUMBER($C26:AX26)), COUNTA(FILTE"&amp;"R($C26:AX26, ISNUMBER($C26:AX26)))),
lastVal + 'K dynamique'!AX26 * ((SQRT('Résultats des tournois'!AX$2 + 1)/'Résultats des tournois'!AX26) - (1 / (1 + 10^((AX$103 - lastVal)/400)))))
)
))"),"")</f>
        <v/>
      </c>
      <c r="AZ26" s="4" t="str">
        <f t="array" ref="AZ26">IF(MAX(($C26:AY26&lt;&gt;"")*COLUMN($C26:AY26))=0,"",INDEX($C26:AY26,1,MAX(($C26:AY26&lt;&gt;"")*COLUMN($C26:AY26))-COLUMN($C26)+1))</f>
        <v/>
      </c>
      <c r="BA26" s="33" t="str">
        <f t="shared" si="1"/>
        <v/>
      </c>
    </row>
    <row r="27" ht="14.25" customHeight="1">
      <c r="A27" s="32" t="str">
        <f>IF('Résultats des tournois'!A27="","",'Résultats des tournois'!A27)</f>
        <v/>
      </c>
      <c r="B27" s="32">
        <v>1500.0</v>
      </c>
      <c r="C27" s="32" t="str">
        <f>IF('Résultats des tournois'!B27="","",B27+'K dynamique'!B27*((SQRT('Résultats des tournois'!B$2+1)/'Résultats des tournois'!B27)-(1/(1+10^((B27-B27)/400)))))</f>
        <v/>
      </c>
      <c r="D27" s="32" t="str">
        <f>IFERROR(__xludf.DUMMYFUNCTION("IF('Résultats des tournois'!C$2=0,"""",LET(
lastVal, INDEX(FILTER($B27:C27, ISNUMBER($B27:C27)), COUNTA(FILTER($B27:C27, ISNUMBER($B27:C27)))),
IFERROR(
IF('Résultats des tournois'!C27="""", INDEX(FILTER($C27:C27, ISNUMBER($C27:C27)), COUNTA(FILTER($C27:C"&amp;"27, ISNUMBER($C27:C27)))),
lastVal + 'K dynamique'!C27 * ((SQRT('Résultats des tournois'!C$2 + 1)/'Résultats des tournois'!C27) - (1 / (1 + 10^((C$103 - lastVal)/400)))))
)
))"),"")</f>
        <v/>
      </c>
      <c r="E27" s="32" t="str">
        <f>IFERROR(__xludf.DUMMYFUNCTION("IF('Résultats des tournois'!D$2=0,"""",LET(
lastVal, INDEX(FILTER($B27:D27, ISNUMBER($B27:D27)), COUNTA(FILTER($B27:D27, ISNUMBER($B27:D27)))),
IFERROR(
IF('Résultats des tournois'!D27="""", INDEX(FILTER($C27:D27, ISNUMBER($C27:D27)), COUNTA(FILTER($C27:D"&amp;"27, ISNUMBER($C27:D27)))),
lastVal + 'K dynamique'!D27 * ((SQRT('Résultats des tournois'!D$2 + 1)/'Résultats des tournois'!D27) - (1 / (1 + 10^((D$103 - lastVal)/400)))))
)
))"),"")</f>
        <v/>
      </c>
      <c r="F27" s="32" t="str">
        <f>IFERROR(__xludf.DUMMYFUNCTION("IF('Résultats des tournois'!E$2=0,"""",LET(
lastVal, INDEX(FILTER($B27:E27, ISNUMBER($B27:E27)), COUNTA(FILTER($B27:E27, ISNUMBER($B27:E27)))),
IFERROR(
IF('Résultats des tournois'!E27="""", INDEX(FILTER($C27:E27, ISNUMBER($C27:E27)), COUNTA(FILTER($C27:E"&amp;"27, ISNUMBER($C27:E27)))),
lastVal + 'K dynamique'!E27 * ((SQRT('Résultats des tournois'!E$2 + 1)/'Résultats des tournois'!E27) - (1 / (1 + 10^((E$103 - lastVal)/400)))))
)
))"),"")</f>
        <v/>
      </c>
      <c r="G27" s="32" t="str">
        <f>IFERROR(__xludf.DUMMYFUNCTION("IF('Résultats des tournois'!F$2=0,"""",LET(
lastVal, INDEX(FILTER($B27:F27, ISNUMBER($B27:F27)), COUNTA(FILTER($B27:F27, ISNUMBER($B27:F27)))),
IFERROR(
IF('Résultats des tournois'!F27="""", INDEX(FILTER($C27:F27, ISNUMBER($C27:F27)), COUNTA(FILTER($C27:F"&amp;"27, ISNUMBER($C27:F27)))),
lastVal + 'K dynamique'!F27 * ((SQRT('Résultats des tournois'!F$2 + 1)/'Résultats des tournois'!F27) - (1 / (1 + 10^((F$103 - lastVal)/400)))))
)
))"),"")</f>
        <v/>
      </c>
      <c r="H27" s="32" t="str">
        <f>IFERROR(__xludf.DUMMYFUNCTION("IF('Résultats des tournois'!G$2=0,"""",LET(
lastVal, INDEX(FILTER($B27:G27, ISNUMBER($B27:G27)), COUNTA(FILTER($B27:G27, ISNUMBER($B27:G27)))),
IFERROR(
IF('Résultats des tournois'!G27="""", INDEX(FILTER($C27:G27, ISNUMBER($C27:G27)), COUNTA(FILTER($C27:G"&amp;"27, ISNUMBER($C27:G27)))),
lastVal + 'K dynamique'!G27 * ((SQRT('Résultats des tournois'!G$2 + 1)/'Résultats des tournois'!G27) - (1 / (1 + 10^((G$103 - lastVal)/400)))))
)
))"),"")</f>
        <v/>
      </c>
      <c r="I27" s="32" t="str">
        <f>IFERROR(__xludf.DUMMYFUNCTION("IF('Résultats des tournois'!H$2=0,"""",LET(
lastVal, INDEX(FILTER($B27:H27, ISNUMBER($B27:H27)), COUNTA(FILTER($B27:H27, ISNUMBER($B27:H27)))),
IFERROR(
IF('Résultats des tournois'!H27="""", INDEX(FILTER($C27:H27, ISNUMBER($C27:H27)), COUNTA(FILTER($C27:H"&amp;"27, ISNUMBER($C27:H27)))),
lastVal + 'K dynamique'!H27 * ((SQRT('Résultats des tournois'!H$2 + 1)/'Résultats des tournois'!H27) - (1 / (1 + 10^((H$103 - lastVal)/400)))))
)
))"),"")</f>
        <v/>
      </c>
      <c r="J27" s="32" t="str">
        <f>IFERROR(__xludf.DUMMYFUNCTION("IF('Résultats des tournois'!I$2=0,"""",LET(
lastVal, INDEX(FILTER($B27:I27, ISNUMBER($B27:I27)), COUNTA(FILTER($B27:I27, ISNUMBER($B27:I27)))),
IFERROR(
IF('Résultats des tournois'!I27="""", INDEX(FILTER($C27:I27, ISNUMBER($C27:I27)), COUNTA(FILTER($C27:I"&amp;"27, ISNUMBER($C27:I27)))),
lastVal + 'K dynamique'!I27 * ((SQRT('Résultats des tournois'!I$2 + 1)/'Résultats des tournois'!I27) - (1 / (1 + 10^((I$103 - lastVal)/400)))))
)
))"),"")</f>
        <v/>
      </c>
      <c r="K27" s="32" t="str">
        <f>IFERROR(__xludf.DUMMYFUNCTION("IF('Résultats des tournois'!J$2=0,"""",LET(
lastVal, INDEX(FILTER($B27:J27, ISNUMBER($B27:J27)), COUNTA(FILTER($B27:J27, ISNUMBER($B27:J27)))),
IFERROR(
IF('Résultats des tournois'!J27="""", INDEX(FILTER($C27:J27, ISNUMBER($C27:J27)), COUNTA(FILTER($C27:J"&amp;"27, ISNUMBER($C27:J27)))),
lastVal + 'K dynamique'!J27 * ((SQRT('Résultats des tournois'!J$2 + 1)/'Résultats des tournois'!J27) - (1 / (1 + 10^((J$103 - lastVal)/400)))))
)
))"),"")</f>
        <v/>
      </c>
      <c r="L27" s="32" t="str">
        <f>IFERROR(__xludf.DUMMYFUNCTION("IF('Résultats des tournois'!K$2=0,"""",LET(
lastVal, INDEX(FILTER($B27:K27, ISNUMBER($B27:K27)), COUNTA(FILTER($B27:K27, ISNUMBER($B27:K27)))),
IFERROR(
IF('Résultats des tournois'!K27="""", INDEX(FILTER($C27:K27, ISNUMBER($C27:K27)), COUNTA(FILTER($C27:K"&amp;"27, ISNUMBER($C27:K27)))),
lastVal + 'K dynamique'!K27 * ((SQRT('Résultats des tournois'!K$2 + 1)/'Résultats des tournois'!K27) - (1 / (1 + 10^((K$103 - lastVal)/400)))))
)
))"),"")</f>
        <v/>
      </c>
      <c r="M27" s="32" t="str">
        <f>IFERROR(__xludf.DUMMYFUNCTION("IF('Résultats des tournois'!L$2=0,"""",LET(
lastVal, INDEX(FILTER($B27:L27, ISNUMBER($B27:L27)), COUNTA(FILTER($B27:L27, ISNUMBER($B27:L27)))),
IFERROR(
IF('Résultats des tournois'!L27="""", INDEX(FILTER($C27:L27, ISNUMBER($C27:L27)), COUNTA(FILTER($C27:L"&amp;"27, ISNUMBER($C27:L27)))),
lastVal + 'K dynamique'!L27 * ((SQRT('Résultats des tournois'!L$2 + 1)/'Résultats des tournois'!L27) - (1 / (1 + 10^((L$103 - lastVal)/400)))))
)
))"),"")</f>
        <v/>
      </c>
      <c r="N27" s="32" t="str">
        <f>IFERROR(__xludf.DUMMYFUNCTION("IF('Résultats des tournois'!M$2=0,"""",LET(
lastVal, INDEX(FILTER($B27:M27, ISNUMBER($B27:M27)), COUNTA(FILTER($B27:M27, ISNUMBER($B27:M27)))),
IFERROR(
IF('Résultats des tournois'!M27="""", INDEX(FILTER($C27:M27, ISNUMBER($C27:M27)), COUNTA(FILTER($C27:M"&amp;"27, ISNUMBER($C27:M27)))),
lastVal + 'K dynamique'!M27 * ((SQRT('Résultats des tournois'!M$2 + 1)/'Résultats des tournois'!M27) - (1 / (1 + 10^((M$103 - lastVal)/400)))))
)
))"),"")</f>
        <v/>
      </c>
      <c r="O27" s="32" t="str">
        <f>IFERROR(__xludf.DUMMYFUNCTION("IF('Résultats des tournois'!N$2=0,"""",LET(
lastVal, INDEX(FILTER($B27:N27, ISNUMBER($B27:N27)), COUNTA(FILTER($B27:N27, ISNUMBER($B27:N27)))),
IFERROR(
IF('Résultats des tournois'!N27="""", INDEX(FILTER($C27:N27, ISNUMBER($C27:N27)), COUNTA(FILTER($C27:N"&amp;"27, ISNUMBER($C27:N27)))),
lastVal + 'K dynamique'!N27 * ((SQRT('Résultats des tournois'!N$2 + 1)/'Résultats des tournois'!N27) - (1 / (1 + 10^((N$103 - lastVal)/400)))))
)
))"),"")</f>
        <v/>
      </c>
      <c r="P27" s="32" t="str">
        <f>IFERROR(__xludf.DUMMYFUNCTION("IF('Résultats des tournois'!O$2=0,"""",LET(
lastVal, INDEX(FILTER($B27:O27, ISNUMBER($B27:O27)), COUNTA(FILTER($B27:O27, ISNUMBER($B27:O27)))),
IFERROR(
IF('Résultats des tournois'!O27="""", INDEX(FILTER($C27:O27, ISNUMBER($C27:O27)), COUNTA(FILTER($C27:O"&amp;"27, ISNUMBER($C27:O27)))),
lastVal + 'K dynamique'!O27 * ((SQRT('Résultats des tournois'!O$2 + 1)/'Résultats des tournois'!O27) - (1 / (1 + 10^((O$103 - lastVal)/400)))))
)
))"),"")</f>
        <v/>
      </c>
      <c r="Q27" s="32" t="str">
        <f>IFERROR(__xludf.DUMMYFUNCTION("IF('Résultats des tournois'!P$2=0,"""",LET(
lastVal, INDEX(FILTER($B27:P27, ISNUMBER($B27:P27)), COUNTA(FILTER($B27:P27, ISNUMBER($B27:P27)))),
IFERROR(
IF('Résultats des tournois'!P27="""", INDEX(FILTER($C27:P27, ISNUMBER($C27:P27)), COUNTA(FILTER($C27:P"&amp;"27, ISNUMBER($C27:P27)))),
lastVal + 'K dynamique'!P27 * ((SQRT('Résultats des tournois'!P$2 + 1)/'Résultats des tournois'!P27) - (1 / (1 + 10^((P$103 - lastVal)/400)))))
)
))"),"")</f>
        <v/>
      </c>
      <c r="R27" s="32" t="str">
        <f>IFERROR(__xludf.DUMMYFUNCTION("IF('Résultats des tournois'!Q$2=0,"""",LET(
lastVal, INDEX(FILTER($B27:Q27, ISNUMBER($B27:Q27)), COUNTA(FILTER($B27:Q27, ISNUMBER($B27:Q27)))),
IFERROR(
IF('Résultats des tournois'!Q27="""", INDEX(FILTER($C27:Q27, ISNUMBER($C27:Q27)), COUNTA(FILTER($C27:Q"&amp;"27, ISNUMBER($C27:Q27)))),
lastVal + 'K dynamique'!Q27 * ((SQRT('Résultats des tournois'!Q$2 + 1)/'Résultats des tournois'!Q27) - (1 / (1 + 10^((Q$103 - lastVal)/400)))))
)
))"),"")</f>
        <v/>
      </c>
      <c r="S27" s="32" t="str">
        <f>IFERROR(__xludf.DUMMYFUNCTION("IF('Résultats des tournois'!R$2=0,"""",LET(
lastVal, INDEX(FILTER($B27:R27, ISNUMBER($B27:R27)), COUNTA(FILTER($B27:R27, ISNUMBER($B27:R27)))),
IFERROR(
IF('Résultats des tournois'!R27="""", INDEX(FILTER($C27:R27, ISNUMBER($C27:R27)), COUNTA(FILTER($C27:R"&amp;"27, ISNUMBER($C27:R27)))),
lastVal + 'K dynamique'!R27 * ((SQRT('Résultats des tournois'!R$2 + 1)/'Résultats des tournois'!R27) - (1 / (1 + 10^((R$103 - lastVal)/400)))))
)
))"),"")</f>
        <v/>
      </c>
      <c r="T27" s="32" t="str">
        <f>IFERROR(__xludf.DUMMYFUNCTION("IF('Résultats des tournois'!S$2=0,"""",LET(
lastVal, INDEX(FILTER($B27:S27, ISNUMBER($B27:S27)), COUNTA(FILTER($B27:S27, ISNUMBER($B27:S27)))),
IFERROR(
IF('Résultats des tournois'!S27="""", INDEX(FILTER($C27:S27, ISNUMBER($C27:S27)), COUNTA(FILTER($C27:S"&amp;"27, ISNUMBER($C27:S27)))),
lastVal + 'K dynamique'!S27 * ((SQRT('Résultats des tournois'!S$2 + 1)/'Résultats des tournois'!S27) - (1 / (1 + 10^((S$103 - lastVal)/400)))))
)
))"),"")</f>
        <v/>
      </c>
      <c r="U27" s="32" t="str">
        <f>IFERROR(__xludf.DUMMYFUNCTION("IF('Résultats des tournois'!T$2=0,"""",LET(
lastVal, INDEX(FILTER($B27:T27, ISNUMBER($B27:T27)), COUNTA(FILTER($B27:T27, ISNUMBER($B27:T27)))),
IFERROR(
IF('Résultats des tournois'!T27="""", INDEX(FILTER($C27:T27, ISNUMBER($C27:T27)), COUNTA(FILTER($C27:T"&amp;"27, ISNUMBER($C27:T27)))),
lastVal + 'K dynamique'!T27 * ((SQRT('Résultats des tournois'!T$2 + 1)/'Résultats des tournois'!T27) - (1 / (1 + 10^((T$103 - lastVal)/400)))))
)
))"),"")</f>
        <v/>
      </c>
      <c r="V27" s="32" t="str">
        <f>IFERROR(__xludf.DUMMYFUNCTION("IF('Résultats des tournois'!U$2=0,"""",LET(
lastVal, INDEX(FILTER($B27:U27, ISNUMBER($B27:U27)), COUNTA(FILTER($B27:U27, ISNUMBER($B27:U27)))),
IFERROR(
IF('Résultats des tournois'!U27="""", INDEX(FILTER($C27:U27, ISNUMBER($C27:U27)), COUNTA(FILTER($C27:U"&amp;"27, ISNUMBER($C27:U27)))),
lastVal + 'K dynamique'!U27 * ((SQRT('Résultats des tournois'!U$2 + 1)/'Résultats des tournois'!U27) - (1 / (1 + 10^((U$103 - lastVal)/400)))))
)
))"),"")</f>
        <v/>
      </c>
      <c r="W27" s="32" t="str">
        <f>IFERROR(__xludf.DUMMYFUNCTION("IF('Résultats des tournois'!V$2=0,"""",LET(
lastVal, INDEX(FILTER($B27:V27, ISNUMBER($B27:V27)), COUNTA(FILTER($B27:V27, ISNUMBER($B27:V27)))),
IFERROR(
IF('Résultats des tournois'!V27="""", INDEX(FILTER($C27:V27, ISNUMBER($C27:V27)), COUNTA(FILTER($C27:V"&amp;"27, ISNUMBER($C27:V27)))),
lastVal + 'K dynamique'!V27 * ((SQRT('Résultats des tournois'!V$2 + 1)/'Résultats des tournois'!V27) - (1 / (1 + 10^((V$103 - lastVal)/400)))))
)
))"),"")</f>
        <v/>
      </c>
      <c r="X27" s="32" t="str">
        <f>IFERROR(__xludf.DUMMYFUNCTION("IF('Résultats des tournois'!W$2=0,"""",LET(
lastVal, INDEX(FILTER($B27:W27, ISNUMBER($B27:W27)), COUNTA(FILTER($B27:W27, ISNUMBER($B27:W27)))),
IFERROR(
IF('Résultats des tournois'!W27="""", INDEX(FILTER($C27:W27, ISNUMBER($C27:W27)), COUNTA(FILTER($C27:W"&amp;"27, ISNUMBER($C27:W27)))),
lastVal + 'K dynamique'!W27 * ((SQRT('Résultats des tournois'!W$2 + 1)/'Résultats des tournois'!W27) - (1 / (1 + 10^((W$103 - lastVal)/400)))))
)
))"),"")</f>
        <v/>
      </c>
      <c r="Y27" s="32" t="str">
        <f>IFERROR(__xludf.DUMMYFUNCTION("IF('Résultats des tournois'!X$2=0,"""",LET(
lastVal, INDEX(FILTER($B27:X27, ISNUMBER($B27:X27)), COUNTA(FILTER($B27:X27, ISNUMBER($B27:X27)))),
IFERROR(
IF('Résultats des tournois'!X27="""", INDEX(FILTER($C27:X27, ISNUMBER($C27:X27)), COUNTA(FILTER($C27:X"&amp;"27, ISNUMBER($C27:X27)))),
lastVal + 'K dynamique'!X27 * ((SQRT('Résultats des tournois'!X$2 + 1)/'Résultats des tournois'!X27) - (1 / (1 + 10^((X$103 - lastVal)/400)))))
)
))"),"")</f>
        <v/>
      </c>
      <c r="Z27" s="32" t="str">
        <f>IFERROR(__xludf.DUMMYFUNCTION("IF('Résultats des tournois'!Y$2=0,"""",LET(
lastVal, INDEX(FILTER($B27:Y27, ISNUMBER($B27:Y27)), COUNTA(FILTER($B27:Y27, ISNUMBER($B27:Y27)))),
IFERROR(
IF('Résultats des tournois'!Y27="""", INDEX(FILTER($C27:Y27, ISNUMBER($C27:Y27)), COUNTA(FILTER($C27:Y"&amp;"27, ISNUMBER($C27:Y27)))),
lastVal + 'K dynamique'!Y27 * ((SQRT('Résultats des tournois'!Y$2 + 1)/'Résultats des tournois'!Y27) - (1 / (1 + 10^((Y$103 - lastVal)/400)))))
)
))"),"")</f>
        <v/>
      </c>
      <c r="AA27" s="32" t="str">
        <f>IFERROR(__xludf.DUMMYFUNCTION("IF('Résultats des tournois'!Z$2=0,"""",LET(
lastVal, INDEX(FILTER($B27:Z27, ISNUMBER($B27:Z27)), COUNTA(FILTER($B27:Z27, ISNUMBER($B27:Z27)))),
IFERROR(
IF('Résultats des tournois'!Z27="""", INDEX(FILTER($C27:Z27, ISNUMBER($C27:Z27)), COUNTA(FILTER($C27:Z"&amp;"27, ISNUMBER($C27:Z27)))),
lastVal + 'K dynamique'!Z27 * ((SQRT('Résultats des tournois'!Z$2 + 1)/'Résultats des tournois'!Z27) - (1 / (1 + 10^((Z$103 - lastVal)/400)))))
)
))"),"")</f>
        <v/>
      </c>
      <c r="AB27" s="32" t="str">
        <f>IFERROR(__xludf.DUMMYFUNCTION("IF('Résultats des tournois'!AA$2=0,"""",LET(
lastVal, INDEX(FILTER($B27:AA27, ISNUMBER($B27:AA27)), COUNTA(FILTER($B27:AA27, ISNUMBER($B27:AA27)))),
IFERROR(
IF('Résultats des tournois'!AA27="""", INDEX(FILTER($C27:AA27, ISNUMBER($C27:AA27)), COUNTA(FILTE"&amp;"R($C27:AA27, ISNUMBER($C27:AA27)))),
lastVal + 'K dynamique'!AA27 * ((SQRT('Résultats des tournois'!AA$2 + 1)/'Résultats des tournois'!AA27) - (1 / (1 + 10^((AA$103 - lastVal)/400)))))
)
))"),"")</f>
        <v/>
      </c>
      <c r="AC27" s="32" t="str">
        <f>IFERROR(__xludf.DUMMYFUNCTION("IF('Résultats des tournois'!AB$2=0,"""",LET(
lastVal, INDEX(FILTER($B27:AB27, ISNUMBER($B27:AB27)), COUNTA(FILTER($B27:AB27, ISNUMBER($B27:AB27)))),
IFERROR(
IF('Résultats des tournois'!AB27="""", INDEX(FILTER($C27:AB27, ISNUMBER($C27:AB27)), COUNTA(FILTE"&amp;"R($C27:AB27, ISNUMBER($C27:AB27)))),
lastVal + 'K dynamique'!AB27 * ((SQRT('Résultats des tournois'!AB$2 + 1)/'Résultats des tournois'!AB27) - (1 / (1 + 10^((AB$103 - lastVal)/400)))))
)
))"),"")</f>
        <v/>
      </c>
      <c r="AD27" s="32" t="str">
        <f>IFERROR(__xludf.DUMMYFUNCTION("IF('Résultats des tournois'!AC$2=0,"""",LET(
lastVal, INDEX(FILTER($B27:AC27, ISNUMBER($B27:AC27)), COUNTA(FILTER($B27:AC27, ISNUMBER($B27:AC27)))),
IFERROR(
IF('Résultats des tournois'!AC27="""", INDEX(FILTER($C27:AC27, ISNUMBER($C27:AC27)), COUNTA(FILTE"&amp;"R($C27:AC27, ISNUMBER($C27:AC27)))),
lastVal + 'K dynamique'!AC27 * ((SQRT('Résultats des tournois'!AC$2 + 1)/'Résultats des tournois'!AC27) - (1 / (1 + 10^((AC$103 - lastVal)/400)))))
)
))"),"")</f>
        <v/>
      </c>
      <c r="AE27" s="32" t="str">
        <f>IFERROR(__xludf.DUMMYFUNCTION("IF('Résultats des tournois'!AD$2=0,"""",LET(
lastVal, INDEX(FILTER($B27:AD27, ISNUMBER($B27:AD27)), COUNTA(FILTER($B27:AD27, ISNUMBER($B27:AD27)))),
IFERROR(
IF('Résultats des tournois'!AD27="""", INDEX(FILTER($C27:AD27, ISNUMBER($C27:AD27)), COUNTA(FILTE"&amp;"R($C27:AD27, ISNUMBER($C27:AD27)))),
lastVal + 'K dynamique'!AD27 * ((SQRT('Résultats des tournois'!AD$2 + 1)/'Résultats des tournois'!AD27) - (1 / (1 + 10^((AD$103 - lastVal)/400)))))
)
))"),"")</f>
        <v/>
      </c>
      <c r="AF27" s="32" t="str">
        <f>IFERROR(__xludf.DUMMYFUNCTION("IF('Résultats des tournois'!AE$2=0,"""",LET(
lastVal, INDEX(FILTER($B27:AE27, ISNUMBER($B27:AE27)), COUNTA(FILTER($B27:AE27, ISNUMBER($B27:AE27)))),
IFERROR(
IF('Résultats des tournois'!AE27="""", INDEX(FILTER($C27:AE27, ISNUMBER($C27:AE27)), COUNTA(FILTE"&amp;"R($C27:AE27, ISNUMBER($C27:AE27)))),
lastVal + 'K dynamique'!AE27 * ((SQRT('Résultats des tournois'!AE$2 + 1)/'Résultats des tournois'!AE27) - (1 / (1 + 10^((AE$103 - lastVal)/400)))))
)
))"),"")</f>
        <v/>
      </c>
      <c r="AG27" s="32" t="str">
        <f>IFERROR(__xludf.DUMMYFUNCTION("IF('Résultats des tournois'!AF$2=0,"""",LET(
lastVal, INDEX(FILTER($B27:AF27, ISNUMBER($B27:AF27)), COUNTA(FILTER($B27:AF27, ISNUMBER($B27:AF27)))),
IFERROR(
IF('Résultats des tournois'!AF27="""", INDEX(FILTER($C27:AF27, ISNUMBER($C27:AF27)), COUNTA(FILTE"&amp;"R($C27:AF27, ISNUMBER($C27:AF27)))),
lastVal + 'K dynamique'!AF27 * ((SQRT('Résultats des tournois'!AF$2 + 1)/'Résultats des tournois'!AF27) - (1 / (1 + 10^((AF$103 - lastVal)/400)))))
)
))"),"")</f>
        <v/>
      </c>
      <c r="AH27" s="32" t="str">
        <f>IFERROR(__xludf.DUMMYFUNCTION("IF('Résultats des tournois'!AG$2=0,"""",LET(
lastVal, INDEX(FILTER($B27:AG27, ISNUMBER($B27:AG27)), COUNTA(FILTER($B27:AG27, ISNUMBER($B27:AG27)))),
IFERROR(
IF('Résultats des tournois'!AG27="""", INDEX(FILTER($C27:AG27, ISNUMBER($C27:AG27)), COUNTA(FILTE"&amp;"R($C27:AG27, ISNUMBER($C27:AG27)))),
lastVal + 'K dynamique'!AG27 * ((SQRT('Résultats des tournois'!AG$2 + 1)/'Résultats des tournois'!AG27) - (1 / (1 + 10^((AG$103 - lastVal)/400)))))
)
))"),"")</f>
        <v/>
      </c>
      <c r="AI27" s="32" t="str">
        <f>IFERROR(__xludf.DUMMYFUNCTION("IF('Résultats des tournois'!AH$2=0,"""",LET(
lastVal, INDEX(FILTER($B27:AH27, ISNUMBER($B27:AH27)), COUNTA(FILTER($B27:AH27, ISNUMBER($B27:AH27)))),
IFERROR(
IF('Résultats des tournois'!AH27="""", INDEX(FILTER($C27:AH27, ISNUMBER($C27:AH27)), COUNTA(FILTE"&amp;"R($C27:AH27, ISNUMBER($C27:AH27)))),
lastVal + 'K dynamique'!AH27 * ((SQRT('Résultats des tournois'!AH$2 + 1)/'Résultats des tournois'!AH27) - (1 / (1 + 10^((AH$103 - lastVal)/400)))))
)
))"),"")</f>
        <v/>
      </c>
      <c r="AJ27" s="32" t="str">
        <f>IFERROR(__xludf.DUMMYFUNCTION("IF('Résultats des tournois'!AI$2=0,"""",LET(
lastVal, INDEX(FILTER($B27:AI27, ISNUMBER($B27:AI27)), COUNTA(FILTER($B27:AI27, ISNUMBER($B27:AI27)))),
IFERROR(
IF('Résultats des tournois'!AI27="""", INDEX(FILTER($C27:AI27, ISNUMBER($C27:AI27)), COUNTA(FILTE"&amp;"R($C27:AI27, ISNUMBER($C27:AI27)))),
lastVal + 'K dynamique'!AI27 * ((SQRT('Résultats des tournois'!AI$2 + 1)/'Résultats des tournois'!AI27) - (1 / (1 + 10^((AI$103 - lastVal)/400)))))
)
))"),"")</f>
        <v/>
      </c>
      <c r="AK27" s="32" t="str">
        <f>IFERROR(__xludf.DUMMYFUNCTION("IF('Résultats des tournois'!AJ$2=0,"""",LET(
lastVal, INDEX(FILTER($B27:AJ27, ISNUMBER($B27:AJ27)), COUNTA(FILTER($B27:AJ27, ISNUMBER($B27:AJ27)))),
IFERROR(
IF('Résultats des tournois'!AJ27="""", INDEX(FILTER($C27:AJ27, ISNUMBER($C27:AJ27)), COUNTA(FILTE"&amp;"R($C27:AJ27, ISNUMBER($C27:AJ27)))),
lastVal + 'K dynamique'!AJ27 * ((SQRT('Résultats des tournois'!AJ$2 + 1)/'Résultats des tournois'!AJ27) - (1 / (1 + 10^((AJ$103 - lastVal)/400)))))
)
))"),"")</f>
        <v/>
      </c>
      <c r="AL27" s="32" t="str">
        <f>IFERROR(__xludf.DUMMYFUNCTION("IF('Résultats des tournois'!AK$2=0,"""",LET(
lastVal, INDEX(FILTER($B27:AK27, ISNUMBER($B27:AK27)), COUNTA(FILTER($B27:AK27, ISNUMBER($B27:AK27)))),
IFERROR(
IF('Résultats des tournois'!AK27="""", INDEX(FILTER($C27:AK27, ISNUMBER($C27:AK27)), COUNTA(FILTE"&amp;"R($C27:AK27, ISNUMBER($C27:AK27)))),
lastVal + 'K dynamique'!AK27 * ((SQRT('Résultats des tournois'!AK$2 + 1)/'Résultats des tournois'!AK27) - (1 / (1 + 10^((AK$103 - lastVal)/400)))))
)
))"),"")</f>
        <v/>
      </c>
      <c r="AM27" s="32" t="str">
        <f>IFERROR(__xludf.DUMMYFUNCTION("IF('Résultats des tournois'!AL$2=0,"""",LET(
lastVal, INDEX(FILTER($B27:AL27, ISNUMBER($B27:AL27)), COUNTA(FILTER($B27:AL27, ISNUMBER($B27:AL27)))),
IFERROR(
IF('Résultats des tournois'!AL27="""", INDEX(FILTER($C27:AL27, ISNUMBER($C27:AL27)), COUNTA(FILTE"&amp;"R($C27:AL27, ISNUMBER($C27:AL27)))),
lastVal + 'K dynamique'!AL27 * ((SQRT('Résultats des tournois'!AL$2 + 1)/'Résultats des tournois'!AL27) - (1 / (1 + 10^((AL$103 - lastVal)/400)))))
)
))"),"")</f>
        <v/>
      </c>
      <c r="AN27" s="32" t="str">
        <f>IFERROR(__xludf.DUMMYFUNCTION("IF('Résultats des tournois'!AM$2=0,"""",LET(
lastVal, INDEX(FILTER($B27:AM27, ISNUMBER($B27:AM27)), COUNTA(FILTER($B27:AM27, ISNUMBER($B27:AM27)))),
IFERROR(
IF('Résultats des tournois'!AM27="""", INDEX(FILTER($C27:AM27, ISNUMBER($C27:AM27)), COUNTA(FILTE"&amp;"R($C27:AM27, ISNUMBER($C27:AM27)))),
lastVal + 'K dynamique'!AM27 * ((SQRT('Résultats des tournois'!AM$2 + 1)/'Résultats des tournois'!AM27) - (1 / (1 + 10^((AM$103 - lastVal)/400)))))
)
))"),"")</f>
        <v/>
      </c>
      <c r="AO27" s="32" t="str">
        <f>IFERROR(__xludf.DUMMYFUNCTION("IF('Résultats des tournois'!AN$2=0,"""",LET(
lastVal, INDEX(FILTER($B27:AN27, ISNUMBER($B27:AN27)), COUNTA(FILTER($B27:AN27, ISNUMBER($B27:AN27)))),
IFERROR(
IF('Résultats des tournois'!AN27="""", INDEX(FILTER($C27:AN27, ISNUMBER($C27:AN27)), COUNTA(FILTE"&amp;"R($C27:AN27, ISNUMBER($C27:AN27)))),
lastVal + 'K dynamique'!AN27 * ((SQRT('Résultats des tournois'!AN$2 + 1)/'Résultats des tournois'!AN27) - (1 / (1 + 10^((AN$103 - lastVal)/400)))))
)
))"),"")</f>
        <v/>
      </c>
      <c r="AP27" s="32" t="str">
        <f>IFERROR(__xludf.DUMMYFUNCTION("IF('Résultats des tournois'!AO$2=0,"""",LET(
lastVal, INDEX(FILTER($B27:AO27, ISNUMBER($B27:AO27)), COUNTA(FILTER($B27:AO27, ISNUMBER($B27:AO27)))),
IFERROR(
IF('Résultats des tournois'!AO27="""", INDEX(FILTER($C27:AO27, ISNUMBER($C27:AO27)), COUNTA(FILTE"&amp;"R($C27:AO27, ISNUMBER($C27:AO27)))),
lastVal + 'K dynamique'!AO27 * ((SQRT('Résultats des tournois'!AO$2 + 1)/'Résultats des tournois'!AO27) - (1 / (1 + 10^((AO$103 - lastVal)/400)))))
)
))"),"")</f>
        <v/>
      </c>
      <c r="AQ27" s="32" t="str">
        <f>IFERROR(__xludf.DUMMYFUNCTION("IF('Résultats des tournois'!AP$2=0,"""",LET(
lastVal, INDEX(FILTER($B27:AP27, ISNUMBER($B27:AP27)), COUNTA(FILTER($B27:AP27, ISNUMBER($B27:AP27)))),
IFERROR(
IF('Résultats des tournois'!AP27="""", INDEX(FILTER($C27:AP27, ISNUMBER($C27:AP27)), COUNTA(FILTE"&amp;"R($C27:AP27, ISNUMBER($C27:AP27)))),
lastVal + 'K dynamique'!AP27 * ((SQRT('Résultats des tournois'!AP$2 + 1)/'Résultats des tournois'!AP27) - (1 / (1 + 10^((AP$103 - lastVal)/400)))))
)
))"),"")</f>
        <v/>
      </c>
      <c r="AR27" s="32" t="str">
        <f>IFERROR(__xludf.DUMMYFUNCTION("IF('Résultats des tournois'!AQ$2=0,"""",LET(
lastVal, INDEX(FILTER($B27:AQ27, ISNUMBER($B27:AQ27)), COUNTA(FILTER($B27:AQ27, ISNUMBER($B27:AQ27)))),
IFERROR(
IF('Résultats des tournois'!AQ27="""", INDEX(FILTER($C27:AQ27, ISNUMBER($C27:AQ27)), COUNTA(FILTE"&amp;"R($C27:AQ27, ISNUMBER($C27:AQ27)))),
lastVal + 'K dynamique'!AQ27 * ((SQRT('Résultats des tournois'!AQ$2 + 1)/'Résultats des tournois'!AQ27) - (1 / (1 + 10^((AQ$103 - lastVal)/400)))))
)
))"),"")</f>
        <v/>
      </c>
      <c r="AS27" s="32" t="str">
        <f>IFERROR(__xludf.DUMMYFUNCTION("IF('Résultats des tournois'!AR$2=0,"""",LET(
lastVal, INDEX(FILTER($B27:AR27, ISNUMBER($B27:AR27)), COUNTA(FILTER($B27:AR27, ISNUMBER($B27:AR27)))),
IFERROR(
IF('Résultats des tournois'!AR27="""", INDEX(FILTER($C27:AR27, ISNUMBER($C27:AR27)), COUNTA(FILTE"&amp;"R($C27:AR27, ISNUMBER($C27:AR27)))),
lastVal + 'K dynamique'!AR27 * ((SQRT('Résultats des tournois'!AR$2 + 1)/'Résultats des tournois'!AR27) - (1 / (1 + 10^((AR$103 - lastVal)/400)))))
)
))"),"")</f>
        <v/>
      </c>
      <c r="AT27" s="32" t="str">
        <f>IFERROR(__xludf.DUMMYFUNCTION("IF('Résultats des tournois'!AS$2=0,"""",LET(
lastVal, INDEX(FILTER($B27:AS27, ISNUMBER($B27:AS27)), COUNTA(FILTER($B27:AS27, ISNUMBER($B27:AS27)))),
IFERROR(
IF('Résultats des tournois'!AS27="""", INDEX(FILTER($C27:AS27, ISNUMBER($C27:AS27)), COUNTA(FILTE"&amp;"R($C27:AS27, ISNUMBER($C27:AS27)))),
lastVal + 'K dynamique'!AS27 * ((SQRT('Résultats des tournois'!AS$2 + 1)/'Résultats des tournois'!AS27) - (1 / (1 + 10^((AS$103 - lastVal)/400)))))
)
))"),"")</f>
        <v/>
      </c>
      <c r="AU27" s="32" t="str">
        <f>IFERROR(__xludf.DUMMYFUNCTION("IF('Résultats des tournois'!AT$2=0,"""",LET(
lastVal, INDEX(FILTER($B27:AT27, ISNUMBER($B27:AT27)), COUNTA(FILTER($B27:AT27, ISNUMBER($B27:AT27)))),
IFERROR(
IF('Résultats des tournois'!AT27="""", INDEX(FILTER($C27:AT27, ISNUMBER($C27:AT27)), COUNTA(FILTE"&amp;"R($C27:AT27, ISNUMBER($C27:AT27)))),
lastVal + 'K dynamique'!AT27 * ((SQRT('Résultats des tournois'!AT$2 + 1)/'Résultats des tournois'!AT27) - (1 / (1 + 10^((AT$103 - lastVal)/400)))))
)
))"),"")</f>
        <v/>
      </c>
      <c r="AV27" s="32" t="str">
        <f>IFERROR(__xludf.DUMMYFUNCTION("IF('Résultats des tournois'!AU$2=0,"""",LET(
lastVal, INDEX(FILTER($B27:AU27, ISNUMBER($B27:AU27)), COUNTA(FILTER($B27:AU27, ISNUMBER($B27:AU27)))),
IFERROR(
IF('Résultats des tournois'!AU27="""", INDEX(FILTER($C27:AU27, ISNUMBER($C27:AU27)), COUNTA(FILTE"&amp;"R($C27:AU27, ISNUMBER($C27:AU27)))),
lastVal + 'K dynamique'!AU27 * ((SQRT('Résultats des tournois'!AU$2 + 1)/'Résultats des tournois'!AU27) - (1 / (1 + 10^((AU$103 - lastVal)/400)))))
)
))"),"")</f>
        <v/>
      </c>
      <c r="AW27" s="32" t="str">
        <f>IFERROR(__xludf.DUMMYFUNCTION("IF('Résultats des tournois'!AV$2=0,"""",LET(
lastVal, INDEX(FILTER($B27:AV27, ISNUMBER($B27:AV27)), COUNTA(FILTER($B27:AV27, ISNUMBER($B27:AV27)))),
IFERROR(
IF('Résultats des tournois'!AV27="""", INDEX(FILTER($C27:AV27, ISNUMBER($C27:AV27)), COUNTA(FILTE"&amp;"R($C27:AV27, ISNUMBER($C27:AV27)))),
lastVal + 'K dynamique'!AV27 * ((SQRT('Résultats des tournois'!AV$2 + 1)/'Résultats des tournois'!AV27) - (1 / (1 + 10^((AV$103 - lastVal)/400)))))
)
))"),"")</f>
        <v/>
      </c>
      <c r="AX27" s="32" t="str">
        <f>IFERROR(__xludf.DUMMYFUNCTION("IF('Résultats des tournois'!AW$2=0,"""",LET(
lastVal, INDEX(FILTER($B27:AW27, ISNUMBER($B27:AW27)), COUNTA(FILTER($B27:AW27, ISNUMBER($B27:AW27)))),
IFERROR(
IF('Résultats des tournois'!AW27="""", INDEX(FILTER($C27:AW27, ISNUMBER($C27:AW27)), COUNTA(FILTE"&amp;"R($C27:AW27, ISNUMBER($C27:AW27)))),
lastVal + 'K dynamique'!AW27 * ((SQRT('Résultats des tournois'!AW$2 + 1)/'Résultats des tournois'!AW27) - (1 / (1 + 10^((AW$103 - lastVal)/400)))))
)
))"),"")</f>
        <v/>
      </c>
      <c r="AY27" s="32" t="str">
        <f>IFERROR(__xludf.DUMMYFUNCTION("IF('Résultats des tournois'!AX$2=0,"""",LET(
lastVal, INDEX(FILTER($B27:AX27, ISNUMBER($B27:AX27)), COUNTA(FILTER($B27:AX27, ISNUMBER($B27:AX27)))),
IFERROR(
IF('Résultats des tournois'!AX27="""", INDEX(FILTER($C27:AX27, ISNUMBER($C27:AX27)), COUNTA(FILTE"&amp;"R($C27:AX27, ISNUMBER($C27:AX27)))),
lastVal + 'K dynamique'!AX27 * ((SQRT('Résultats des tournois'!AX$2 + 1)/'Résultats des tournois'!AX27) - (1 / (1 + 10^((AX$103 - lastVal)/400)))))
)
))"),"")</f>
        <v/>
      </c>
      <c r="AZ27" s="4" t="str">
        <f t="array" ref="AZ27">IF(MAX(($C27:AY27&lt;&gt;"")*COLUMN($C27:AY27))=0,"",INDEX($C27:AY27,1,MAX(($C27:AY27&lt;&gt;"")*COLUMN($C27:AY27))-COLUMN($C27)+1))</f>
        <v/>
      </c>
      <c r="BA27" s="33" t="str">
        <f t="shared" si="1"/>
        <v/>
      </c>
    </row>
    <row r="28" ht="14.25" customHeight="1">
      <c r="A28" s="32" t="str">
        <f>IF('Résultats des tournois'!A28="","",'Résultats des tournois'!A28)</f>
        <v/>
      </c>
      <c r="B28" s="32">
        <v>1500.0</v>
      </c>
      <c r="C28" s="32" t="str">
        <f>IF('Résultats des tournois'!B28="","",B28+'K dynamique'!B28*((SQRT('Résultats des tournois'!B$2+1)/'Résultats des tournois'!B28)-(1/(1+10^((B28-B28)/400)))))</f>
        <v/>
      </c>
      <c r="D28" s="32" t="str">
        <f>IFERROR(__xludf.DUMMYFUNCTION("IF('Résultats des tournois'!C$2=0,"""",LET(
lastVal, INDEX(FILTER($B28:C28, ISNUMBER($B28:C28)), COUNTA(FILTER($B28:C28, ISNUMBER($B28:C28)))),
IFERROR(
IF('Résultats des tournois'!C28="""", INDEX(FILTER($C28:C28, ISNUMBER($C28:C28)), COUNTA(FILTER($C28:C"&amp;"28, ISNUMBER($C28:C28)))),
lastVal + 'K dynamique'!C28 * ((SQRT('Résultats des tournois'!C$2 + 1)/'Résultats des tournois'!C28) - (1 / (1 + 10^((C$103 - lastVal)/400)))))
)
))"),"")</f>
        <v/>
      </c>
      <c r="E28" s="32" t="str">
        <f>IFERROR(__xludf.DUMMYFUNCTION("IF('Résultats des tournois'!D$2=0,"""",LET(
lastVal, INDEX(FILTER($B28:D28, ISNUMBER($B28:D28)), COUNTA(FILTER($B28:D28, ISNUMBER($B28:D28)))),
IFERROR(
IF('Résultats des tournois'!D28="""", INDEX(FILTER($C28:D28, ISNUMBER($C28:D28)), COUNTA(FILTER($C28:D"&amp;"28, ISNUMBER($C28:D28)))),
lastVal + 'K dynamique'!D28 * ((SQRT('Résultats des tournois'!D$2 + 1)/'Résultats des tournois'!D28) - (1 / (1 + 10^((D$103 - lastVal)/400)))))
)
))"),"")</f>
        <v/>
      </c>
      <c r="F28" s="32" t="str">
        <f>IFERROR(__xludf.DUMMYFUNCTION("IF('Résultats des tournois'!E$2=0,"""",LET(
lastVal, INDEX(FILTER($B28:E28, ISNUMBER($B28:E28)), COUNTA(FILTER($B28:E28, ISNUMBER($B28:E28)))),
IFERROR(
IF('Résultats des tournois'!E28="""", INDEX(FILTER($C28:E28, ISNUMBER($C28:E28)), COUNTA(FILTER($C28:E"&amp;"28, ISNUMBER($C28:E28)))),
lastVal + 'K dynamique'!E28 * ((SQRT('Résultats des tournois'!E$2 + 1)/'Résultats des tournois'!E28) - (1 / (1 + 10^((E$103 - lastVal)/400)))))
)
))"),"")</f>
        <v/>
      </c>
      <c r="G28" s="32" t="str">
        <f>IFERROR(__xludf.DUMMYFUNCTION("IF('Résultats des tournois'!F$2=0,"""",LET(
lastVal, INDEX(FILTER($B28:F28, ISNUMBER($B28:F28)), COUNTA(FILTER($B28:F28, ISNUMBER($B28:F28)))),
IFERROR(
IF('Résultats des tournois'!F28="""", INDEX(FILTER($C28:F28, ISNUMBER($C28:F28)), COUNTA(FILTER($C28:F"&amp;"28, ISNUMBER($C28:F28)))),
lastVal + 'K dynamique'!F28 * ((SQRT('Résultats des tournois'!F$2 + 1)/'Résultats des tournois'!F28) - (1 / (1 + 10^((F$103 - lastVal)/400)))))
)
))"),"")</f>
        <v/>
      </c>
      <c r="H28" s="32" t="str">
        <f>IFERROR(__xludf.DUMMYFUNCTION("IF('Résultats des tournois'!G$2=0,"""",LET(
lastVal, INDEX(FILTER($B28:G28, ISNUMBER($B28:G28)), COUNTA(FILTER($B28:G28, ISNUMBER($B28:G28)))),
IFERROR(
IF('Résultats des tournois'!G28="""", INDEX(FILTER($C28:G28, ISNUMBER($C28:G28)), COUNTA(FILTER($C28:G"&amp;"28, ISNUMBER($C28:G28)))),
lastVal + 'K dynamique'!G28 * ((SQRT('Résultats des tournois'!G$2 + 1)/'Résultats des tournois'!G28) - (1 / (1 + 10^((G$103 - lastVal)/400)))))
)
))"),"")</f>
        <v/>
      </c>
      <c r="I28" s="32" t="str">
        <f>IFERROR(__xludf.DUMMYFUNCTION("IF('Résultats des tournois'!H$2=0,"""",LET(
lastVal, INDEX(FILTER($B28:H28, ISNUMBER($B28:H28)), COUNTA(FILTER($B28:H28, ISNUMBER($B28:H28)))),
IFERROR(
IF('Résultats des tournois'!H28="""", INDEX(FILTER($C28:H28, ISNUMBER($C28:H28)), COUNTA(FILTER($C28:H"&amp;"28, ISNUMBER($C28:H28)))),
lastVal + 'K dynamique'!H28 * ((SQRT('Résultats des tournois'!H$2 + 1)/'Résultats des tournois'!H28) - (1 / (1 + 10^((H$103 - lastVal)/400)))))
)
))"),"")</f>
        <v/>
      </c>
      <c r="J28" s="32" t="str">
        <f>IFERROR(__xludf.DUMMYFUNCTION("IF('Résultats des tournois'!I$2=0,"""",LET(
lastVal, INDEX(FILTER($B28:I28, ISNUMBER($B28:I28)), COUNTA(FILTER($B28:I28, ISNUMBER($B28:I28)))),
IFERROR(
IF('Résultats des tournois'!I28="""", INDEX(FILTER($C28:I28, ISNUMBER($C28:I28)), COUNTA(FILTER($C28:I"&amp;"28, ISNUMBER($C28:I28)))),
lastVal + 'K dynamique'!I28 * ((SQRT('Résultats des tournois'!I$2 + 1)/'Résultats des tournois'!I28) - (1 / (1 + 10^((I$103 - lastVal)/400)))))
)
))"),"")</f>
        <v/>
      </c>
      <c r="K28" s="32" t="str">
        <f>IFERROR(__xludf.DUMMYFUNCTION("IF('Résultats des tournois'!J$2=0,"""",LET(
lastVal, INDEX(FILTER($B28:J28, ISNUMBER($B28:J28)), COUNTA(FILTER($B28:J28, ISNUMBER($B28:J28)))),
IFERROR(
IF('Résultats des tournois'!J28="""", INDEX(FILTER($C28:J28, ISNUMBER($C28:J28)), COUNTA(FILTER($C28:J"&amp;"28, ISNUMBER($C28:J28)))),
lastVal + 'K dynamique'!J28 * ((SQRT('Résultats des tournois'!J$2 + 1)/'Résultats des tournois'!J28) - (1 / (1 + 10^((J$103 - lastVal)/400)))))
)
))"),"")</f>
        <v/>
      </c>
      <c r="L28" s="32" t="str">
        <f>IFERROR(__xludf.DUMMYFUNCTION("IF('Résultats des tournois'!K$2=0,"""",LET(
lastVal, INDEX(FILTER($B28:K28, ISNUMBER($B28:K28)), COUNTA(FILTER($B28:K28, ISNUMBER($B28:K28)))),
IFERROR(
IF('Résultats des tournois'!K28="""", INDEX(FILTER($C28:K28, ISNUMBER($C28:K28)), COUNTA(FILTER($C28:K"&amp;"28, ISNUMBER($C28:K28)))),
lastVal + 'K dynamique'!K28 * ((SQRT('Résultats des tournois'!K$2 + 1)/'Résultats des tournois'!K28) - (1 / (1 + 10^((K$103 - lastVal)/400)))))
)
))"),"")</f>
        <v/>
      </c>
      <c r="M28" s="32" t="str">
        <f>IFERROR(__xludf.DUMMYFUNCTION("IF('Résultats des tournois'!L$2=0,"""",LET(
lastVal, INDEX(FILTER($B28:L28, ISNUMBER($B28:L28)), COUNTA(FILTER($B28:L28, ISNUMBER($B28:L28)))),
IFERROR(
IF('Résultats des tournois'!L28="""", INDEX(FILTER($C28:L28, ISNUMBER($C28:L28)), COUNTA(FILTER($C28:L"&amp;"28, ISNUMBER($C28:L28)))),
lastVal + 'K dynamique'!L28 * ((SQRT('Résultats des tournois'!L$2 + 1)/'Résultats des tournois'!L28) - (1 / (1 + 10^((L$103 - lastVal)/400)))))
)
))"),"")</f>
        <v/>
      </c>
      <c r="N28" s="32" t="str">
        <f>IFERROR(__xludf.DUMMYFUNCTION("IF('Résultats des tournois'!M$2=0,"""",LET(
lastVal, INDEX(FILTER($B28:M28, ISNUMBER($B28:M28)), COUNTA(FILTER($B28:M28, ISNUMBER($B28:M28)))),
IFERROR(
IF('Résultats des tournois'!M28="""", INDEX(FILTER($C28:M28, ISNUMBER($C28:M28)), COUNTA(FILTER($C28:M"&amp;"28, ISNUMBER($C28:M28)))),
lastVal + 'K dynamique'!M28 * ((SQRT('Résultats des tournois'!M$2 + 1)/'Résultats des tournois'!M28) - (1 / (1 + 10^((M$103 - lastVal)/400)))))
)
))"),"")</f>
        <v/>
      </c>
      <c r="O28" s="32" t="str">
        <f>IFERROR(__xludf.DUMMYFUNCTION("IF('Résultats des tournois'!N$2=0,"""",LET(
lastVal, INDEX(FILTER($B28:N28, ISNUMBER($B28:N28)), COUNTA(FILTER($B28:N28, ISNUMBER($B28:N28)))),
IFERROR(
IF('Résultats des tournois'!N28="""", INDEX(FILTER($C28:N28, ISNUMBER($C28:N28)), COUNTA(FILTER($C28:N"&amp;"28, ISNUMBER($C28:N28)))),
lastVal + 'K dynamique'!N28 * ((SQRT('Résultats des tournois'!N$2 + 1)/'Résultats des tournois'!N28) - (1 / (1 + 10^((N$103 - lastVal)/400)))))
)
))"),"")</f>
        <v/>
      </c>
      <c r="P28" s="32" t="str">
        <f>IFERROR(__xludf.DUMMYFUNCTION("IF('Résultats des tournois'!O$2=0,"""",LET(
lastVal, INDEX(FILTER($B28:O28, ISNUMBER($B28:O28)), COUNTA(FILTER($B28:O28, ISNUMBER($B28:O28)))),
IFERROR(
IF('Résultats des tournois'!O28="""", INDEX(FILTER($C28:O28, ISNUMBER($C28:O28)), COUNTA(FILTER($C28:O"&amp;"28, ISNUMBER($C28:O28)))),
lastVal + 'K dynamique'!O28 * ((SQRT('Résultats des tournois'!O$2 + 1)/'Résultats des tournois'!O28) - (1 / (1 + 10^((O$103 - lastVal)/400)))))
)
))"),"")</f>
        <v/>
      </c>
      <c r="Q28" s="32" t="str">
        <f>IFERROR(__xludf.DUMMYFUNCTION("IF('Résultats des tournois'!P$2=0,"""",LET(
lastVal, INDEX(FILTER($B28:P28, ISNUMBER($B28:P28)), COUNTA(FILTER($B28:P28, ISNUMBER($B28:P28)))),
IFERROR(
IF('Résultats des tournois'!P28="""", INDEX(FILTER($C28:P28, ISNUMBER($C28:P28)), COUNTA(FILTER($C28:P"&amp;"28, ISNUMBER($C28:P28)))),
lastVal + 'K dynamique'!P28 * ((SQRT('Résultats des tournois'!P$2 + 1)/'Résultats des tournois'!P28) - (1 / (1 + 10^((P$103 - lastVal)/400)))))
)
))"),"")</f>
        <v/>
      </c>
      <c r="R28" s="32" t="str">
        <f>IFERROR(__xludf.DUMMYFUNCTION("IF('Résultats des tournois'!Q$2=0,"""",LET(
lastVal, INDEX(FILTER($B28:Q28, ISNUMBER($B28:Q28)), COUNTA(FILTER($B28:Q28, ISNUMBER($B28:Q28)))),
IFERROR(
IF('Résultats des tournois'!Q28="""", INDEX(FILTER($C28:Q28, ISNUMBER($C28:Q28)), COUNTA(FILTER($C28:Q"&amp;"28, ISNUMBER($C28:Q28)))),
lastVal + 'K dynamique'!Q28 * ((SQRT('Résultats des tournois'!Q$2 + 1)/'Résultats des tournois'!Q28) - (1 / (1 + 10^((Q$103 - lastVal)/400)))))
)
))"),"")</f>
        <v/>
      </c>
      <c r="S28" s="32" t="str">
        <f>IFERROR(__xludf.DUMMYFUNCTION("IF('Résultats des tournois'!R$2=0,"""",LET(
lastVal, INDEX(FILTER($B28:R28, ISNUMBER($B28:R28)), COUNTA(FILTER($B28:R28, ISNUMBER($B28:R28)))),
IFERROR(
IF('Résultats des tournois'!R28="""", INDEX(FILTER($C28:R28, ISNUMBER($C28:R28)), COUNTA(FILTER($C28:R"&amp;"28, ISNUMBER($C28:R28)))),
lastVal + 'K dynamique'!R28 * ((SQRT('Résultats des tournois'!R$2 + 1)/'Résultats des tournois'!R28) - (1 / (1 + 10^((R$103 - lastVal)/400)))))
)
))"),"")</f>
        <v/>
      </c>
      <c r="T28" s="32" t="str">
        <f>IFERROR(__xludf.DUMMYFUNCTION("IF('Résultats des tournois'!S$2=0,"""",LET(
lastVal, INDEX(FILTER($B28:S28, ISNUMBER($B28:S28)), COUNTA(FILTER($B28:S28, ISNUMBER($B28:S28)))),
IFERROR(
IF('Résultats des tournois'!S28="""", INDEX(FILTER($C28:S28, ISNUMBER($C28:S28)), COUNTA(FILTER($C28:S"&amp;"28, ISNUMBER($C28:S28)))),
lastVal + 'K dynamique'!S28 * ((SQRT('Résultats des tournois'!S$2 + 1)/'Résultats des tournois'!S28) - (1 / (1 + 10^((S$103 - lastVal)/400)))))
)
))"),"")</f>
        <v/>
      </c>
      <c r="U28" s="32" t="str">
        <f>IFERROR(__xludf.DUMMYFUNCTION("IF('Résultats des tournois'!T$2=0,"""",LET(
lastVal, INDEX(FILTER($B28:T28, ISNUMBER($B28:T28)), COUNTA(FILTER($B28:T28, ISNUMBER($B28:T28)))),
IFERROR(
IF('Résultats des tournois'!T28="""", INDEX(FILTER($C28:T28, ISNUMBER($C28:T28)), COUNTA(FILTER($C28:T"&amp;"28, ISNUMBER($C28:T28)))),
lastVal + 'K dynamique'!T28 * ((SQRT('Résultats des tournois'!T$2 + 1)/'Résultats des tournois'!T28) - (1 / (1 + 10^((T$103 - lastVal)/400)))))
)
))"),"")</f>
        <v/>
      </c>
      <c r="V28" s="32" t="str">
        <f>IFERROR(__xludf.DUMMYFUNCTION("IF('Résultats des tournois'!U$2=0,"""",LET(
lastVal, INDEX(FILTER($B28:U28, ISNUMBER($B28:U28)), COUNTA(FILTER($B28:U28, ISNUMBER($B28:U28)))),
IFERROR(
IF('Résultats des tournois'!U28="""", INDEX(FILTER($C28:U28, ISNUMBER($C28:U28)), COUNTA(FILTER($C28:U"&amp;"28, ISNUMBER($C28:U28)))),
lastVal + 'K dynamique'!U28 * ((SQRT('Résultats des tournois'!U$2 + 1)/'Résultats des tournois'!U28) - (1 / (1 + 10^((U$103 - lastVal)/400)))))
)
))"),"")</f>
        <v/>
      </c>
      <c r="W28" s="32" t="str">
        <f>IFERROR(__xludf.DUMMYFUNCTION("IF('Résultats des tournois'!V$2=0,"""",LET(
lastVal, INDEX(FILTER($B28:V28, ISNUMBER($B28:V28)), COUNTA(FILTER($B28:V28, ISNUMBER($B28:V28)))),
IFERROR(
IF('Résultats des tournois'!V28="""", INDEX(FILTER($C28:V28, ISNUMBER($C28:V28)), COUNTA(FILTER($C28:V"&amp;"28, ISNUMBER($C28:V28)))),
lastVal + 'K dynamique'!V28 * ((SQRT('Résultats des tournois'!V$2 + 1)/'Résultats des tournois'!V28) - (1 / (1 + 10^((V$103 - lastVal)/400)))))
)
))"),"")</f>
        <v/>
      </c>
      <c r="X28" s="32" t="str">
        <f>IFERROR(__xludf.DUMMYFUNCTION("IF('Résultats des tournois'!W$2=0,"""",LET(
lastVal, INDEX(FILTER($B28:W28, ISNUMBER($B28:W28)), COUNTA(FILTER($B28:W28, ISNUMBER($B28:W28)))),
IFERROR(
IF('Résultats des tournois'!W28="""", INDEX(FILTER($C28:W28, ISNUMBER($C28:W28)), COUNTA(FILTER($C28:W"&amp;"28, ISNUMBER($C28:W28)))),
lastVal + 'K dynamique'!W28 * ((SQRT('Résultats des tournois'!W$2 + 1)/'Résultats des tournois'!W28) - (1 / (1 + 10^((W$103 - lastVal)/400)))))
)
))"),"")</f>
        <v/>
      </c>
      <c r="Y28" s="32" t="str">
        <f>IFERROR(__xludf.DUMMYFUNCTION("IF('Résultats des tournois'!X$2=0,"""",LET(
lastVal, INDEX(FILTER($B28:X28, ISNUMBER($B28:X28)), COUNTA(FILTER($B28:X28, ISNUMBER($B28:X28)))),
IFERROR(
IF('Résultats des tournois'!X28="""", INDEX(FILTER($C28:X28, ISNUMBER($C28:X28)), COUNTA(FILTER($C28:X"&amp;"28, ISNUMBER($C28:X28)))),
lastVal + 'K dynamique'!X28 * ((SQRT('Résultats des tournois'!X$2 + 1)/'Résultats des tournois'!X28) - (1 / (1 + 10^((X$103 - lastVal)/400)))))
)
))"),"")</f>
        <v/>
      </c>
      <c r="Z28" s="32" t="str">
        <f>IFERROR(__xludf.DUMMYFUNCTION("IF('Résultats des tournois'!Y$2=0,"""",LET(
lastVal, INDEX(FILTER($B28:Y28, ISNUMBER($B28:Y28)), COUNTA(FILTER($B28:Y28, ISNUMBER($B28:Y28)))),
IFERROR(
IF('Résultats des tournois'!Y28="""", INDEX(FILTER($C28:Y28, ISNUMBER($C28:Y28)), COUNTA(FILTER($C28:Y"&amp;"28, ISNUMBER($C28:Y28)))),
lastVal + 'K dynamique'!Y28 * ((SQRT('Résultats des tournois'!Y$2 + 1)/'Résultats des tournois'!Y28) - (1 / (1 + 10^((Y$103 - lastVal)/400)))))
)
))"),"")</f>
        <v/>
      </c>
      <c r="AA28" s="32" t="str">
        <f>IFERROR(__xludf.DUMMYFUNCTION("IF('Résultats des tournois'!Z$2=0,"""",LET(
lastVal, INDEX(FILTER($B28:Z28, ISNUMBER($B28:Z28)), COUNTA(FILTER($B28:Z28, ISNUMBER($B28:Z28)))),
IFERROR(
IF('Résultats des tournois'!Z28="""", INDEX(FILTER($C28:Z28, ISNUMBER($C28:Z28)), COUNTA(FILTER($C28:Z"&amp;"28, ISNUMBER($C28:Z28)))),
lastVal + 'K dynamique'!Z28 * ((SQRT('Résultats des tournois'!Z$2 + 1)/'Résultats des tournois'!Z28) - (1 / (1 + 10^((Z$103 - lastVal)/400)))))
)
))"),"")</f>
        <v/>
      </c>
      <c r="AB28" s="32" t="str">
        <f>IFERROR(__xludf.DUMMYFUNCTION("IF('Résultats des tournois'!AA$2=0,"""",LET(
lastVal, INDEX(FILTER($B28:AA28, ISNUMBER($B28:AA28)), COUNTA(FILTER($B28:AA28, ISNUMBER($B28:AA28)))),
IFERROR(
IF('Résultats des tournois'!AA28="""", INDEX(FILTER($C28:AA28, ISNUMBER($C28:AA28)), COUNTA(FILTE"&amp;"R($C28:AA28, ISNUMBER($C28:AA28)))),
lastVal + 'K dynamique'!AA28 * ((SQRT('Résultats des tournois'!AA$2 + 1)/'Résultats des tournois'!AA28) - (1 / (1 + 10^((AA$103 - lastVal)/400)))))
)
))"),"")</f>
        <v/>
      </c>
      <c r="AC28" s="32" t="str">
        <f>IFERROR(__xludf.DUMMYFUNCTION("IF('Résultats des tournois'!AB$2=0,"""",LET(
lastVal, INDEX(FILTER($B28:AB28, ISNUMBER($B28:AB28)), COUNTA(FILTER($B28:AB28, ISNUMBER($B28:AB28)))),
IFERROR(
IF('Résultats des tournois'!AB28="""", INDEX(FILTER($C28:AB28, ISNUMBER($C28:AB28)), COUNTA(FILTE"&amp;"R($C28:AB28, ISNUMBER($C28:AB28)))),
lastVal + 'K dynamique'!AB28 * ((SQRT('Résultats des tournois'!AB$2 + 1)/'Résultats des tournois'!AB28) - (1 / (1 + 10^((AB$103 - lastVal)/400)))))
)
))"),"")</f>
        <v/>
      </c>
      <c r="AD28" s="32" t="str">
        <f>IFERROR(__xludf.DUMMYFUNCTION("IF('Résultats des tournois'!AC$2=0,"""",LET(
lastVal, INDEX(FILTER($B28:AC28, ISNUMBER($B28:AC28)), COUNTA(FILTER($B28:AC28, ISNUMBER($B28:AC28)))),
IFERROR(
IF('Résultats des tournois'!AC28="""", INDEX(FILTER($C28:AC28, ISNUMBER($C28:AC28)), COUNTA(FILTE"&amp;"R($C28:AC28, ISNUMBER($C28:AC28)))),
lastVal + 'K dynamique'!AC28 * ((SQRT('Résultats des tournois'!AC$2 + 1)/'Résultats des tournois'!AC28) - (1 / (1 + 10^((AC$103 - lastVal)/400)))))
)
))"),"")</f>
        <v/>
      </c>
      <c r="AE28" s="32" t="str">
        <f>IFERROR(__xludf.DUMMYFUNCTION("IF('Résultats des tournois'!AD$2=0,"""",LET(
lastVal, INDEX(FILTER($B28:AD28, ISNUMBER($B28:AD28)), COUNTA(FILTER($B28:AD28, ISNUMBER($B28:AD28)))),
IFERROR(
IF('Résultats des tournois'!AD28="""", INDEX(FILTER($C28:AD28, ISNUMBER($C28:AD28)), COUNTA(FILTE"&amp;"R($C28:AD28, ISNUMBER($C28:AD28)))),
lastVal + 'K dynamique'!AD28 * ((SQRT('Résultats des tournois'!AD$2 + 1)/'Résultats des tournois'!AD28) - (1 / (1 + 10^((AD$103 - lastVal)/400)))))
)
))"),"")</f>
        <v/>
      </c>
      <c r="AF28" s="32" t="str">
        <f>IFERROR(__xludf.DUMMYFUNCTION("IF('Résultats des tournois'!AE$2=0,"""",LET(
lastVal, INDEX(FILTER($B28:AE28, ISNUMBER($B28:AE28)), COUNTA(FILTER($B28:AE28, ISNUMBER($B28:AE28)))),
IFERROR(
IF('Résultats des tournois'!AE28="""", INDEX(FILTER($C28:AE28, ISNUMBER($C28:AE28)), COUNTA(FILTE"&amp;"R($C28:AE28, ISNUMBER($C28:AE28)))),
lastVal + 'K dynamique'!AE28 * ((SQRT('Résultats des tournois'!AE$2 + 1)/'Résultats des tournois'!AE28) - (1 / (1 + 10^((AE$103 - lastVal)/400)))))
)
))"),"")</f>
        <v/>
      </c>
      <c r="AG28" s="32" t="str">
        <f>IFERROR(__xludf.DUMMYFUNCTION("IF('Résultats des tournois'!AF$2=0,"""",LET(
lastVal, INDEX(FILTER($B28:AF28, ISNUMBER($B28:AF28)), COUNTA(FILTER($B28:AF28, ISNUMBER($B28:AF28)))),
IFERROR(
IF('Résultats des tournois'!AF28="""", INDEX(FILTER($C28:AF28, ISNUMBER($C28:AF28)), COUNTA(FILTE"&amp;"R($C28:AF28, ISNUMBER($C28:AF28)))),
lastVal + 'K dynamique'!AF28 * ((SQRT('Résultats des tournois'!AF$2 + 1)/'Résultats des tournois'!AF28) - (1 / (1 + 10^((AF$103 - lastVal)/400)))))
)
))"),"")</f>
        <v/>
      </c>
      <c r="AH28" s="32" t="str">
        <f>IFERROR(__xludf.DUMMYFUNCTION("IF('Résultats des tournois'!AG$2=0,"""",LET(
lastVal, INDEX(FILTER($B28:AG28, ISNUMBER($B28:AG28)), COUNTA(FILTER($B28:AG28, ISNUMBER($B28:AG28)))),
IFERROR(
IF('Résultats des tournois'!AG28="""", INDEX(FILTER($C28:AG28, ISNUMBER($C28:AG28)), COUNTA(FILTE"&amp;"R($C28:AG28, ISNUMBER($C28:AG28)))),
lastVal + 'K dynamique'!AG28 * ((SQRT('Résultats des tournois'!AG$2 + 1)/'Résultats des tournois'!AG28) - (1 / (1 + 10^((AG$103 - lastVal)/400)))))
)
))"),"")</f>
        <v/>
      </c>
      <c r="AI28" s="32" t="str">
        <f>IFERROR(__xludf.DUMMYFUNCTION("IF('Résultats des tournois'!AH$2=0,"""",LET(
lastVal, INDEX(FILTER($B28:AH28, ISNUMBER($B28:AH28)), COUNTA(FILTER($B28:AH28, ISNUMBER($B28:AH28)))),
IFERROR(
IF('Résultats des tournois'!AH28="""", INDEX(FILTER($C28:AH28, ISNUMBER($C28:AH28)), COUNTA(FILTE"&amp;"R($C28:AH28, ISNUMBER($C28:AH28)))),
lastVal + 'K dynamique'!AH28 * ((SQRT('Résultats des tournois'!AH$2 + 1)/'Résultats des tournois'!AH28) - (1 / (1 + 10^((AH$103 - lastVal)/400)))))
)
))"),"")</f>
        <v/>
      </c>
      <c r="AJ28" s="32" t="str">
        <f>IFERROR(__xludf.DUMMYFUNCTION("IF('Résultats des tournois'!AI$2=0,"""",LET(
lastVal, INDEX(FILTER($B28:AI28, ISNUMBER($B28:AI28)), COUNTA(FILTER($B28:AI28, ISNUMBER($B28:AI28)))),
IFERROR(
IF('Résultats des tournois'!AI28="""", INDEX(FILTER($C28:AI28, ISNUMBER($C28:AI28)), COUNTA(FILTE"&amp;"R($C28:AI28, ISNUMBER($C28:AI28)))),
lastVal + 'K dynamique'!AI28 * ((SQRT('Résultats des tournois'!AI$2 + 1)/'Résultats des tournois'!AI28) - (1 / (1 + 10^((AI$103 - lastVal)/400)))))
)
))"),"")</f>
        <v/>
      </c>
      <c r="AK28" s="32" t="str">
        <f>IFERROR(__xludf.DUMMYFUNCTION("IF('Résultats des tournois'!AJ$2=0,"""",LET(
lastVal, INDEX(FILTER($B28:AJ28, ISNUMBER($B28:AJ28)), COUNTA(FILTER($B28:AJ28, ISNUMBER($B28:AJ28)))),
IFERROR(
IF('Résultats des tournois'!AJ28="""", INDEX(FILTER($C28:AJ28, ISNUMBER($C28:AJ28)), COUNTA(FILTE"&amp;"R($C28:AJ28, ISNUMBER($C28:AJ28)))),
lastVal + 'K dynamique'!AJ28 * ((SQRT('Résultats des tournois'!AJ$2 + 1)/'Résultats des tournois'!AJ28) - (1 / (1 + 10^((AJ$103 - lastVal)/400)))))
)
))"),"")</f>
        <v/>
      </c>
      <c r="AL28" s="32" t="str">
        <f>IFERROR(__xludf.DUMMYFUNCTION("IF('Résultats des tournois'!AK$2=0,"""",LET(
lastVal, INDEX(FILTER($B28:AK28, ISNUMBER($B28:AK28)), COUNTA(FILTER($B28:AK28, ISNUMBER($B28:AK28)))),
IFERROR(
IF('Résultats des tournois'!AK28="""", INDEX(FILTER($C28:AK28, ISNUMBER($C28:AK28)), COUNTA(FILTE"&amp;"R($C28:AK28, ISNUMBER($C28:AK28)))),
lastVal + 'K dynamique'!AK28 * ((SQRT('Résultats des tournois'!AK$2 + 1)/'Résultats des tournois'!AK28) - (1 / (1 + 10^((AK$103 - lastVal)/400)))))
)
))"),"")</f>
        <v/>
      </c>
      <c r="AM28" s="32" t="str">
        <f>IFERROR(__xludf.DUMMYFUNCTION("IF('Résultats des tournois'!AL$2=0,"""",LET(
lastVal, INDEX(FILTER($B28:AL28, ISNUMBER($B28:AL28)), COUNTA(FILTER($B28:AL28, ISNUMBER($B28:AL28)))),
IFERROR(
IF('Résultats des tournois'!AL28="""", INDEX(FILTER($C28:AL28, ISNUMBER($C28:AL28)), COUNTA(FILTE"&amp;"R($C28:AL28, ISNUMBER($C28:AL28)))),
lastVal + 'K dynamique'!AL28 * ((SQRT('Résultats des tournois'!AL$2 + 1)/'Résultats des tournois'!AL28) - (1 / (1 + 10^((AL$103 - lastVal)/400)))))
)
))"),"")</f>
        <v/>
      </c>
      <c r="AN28" s="32" t="str">
        <f>IFERROR(__xludf.DUMMYFUNCTION("IF('Résultats des tournois'!AM$2=0,"""",LET(
lastVal, INDEX(FILTER($B28:AM28, ISNUMBER($B28:AM28)), COUNTA(FILTER($B28:AM28, ISNUMBER($B28:AM28)))),
IFERROR(
IF('Résultats des tournois'!AM28="""", INDEX(FILTER($C28:AM28, ISNUMBER($C28:AM28)), COUNTA(FILTE"&amp;"R($C28:AM28, ISNUMBER($C28:AM28)))),
lastVal + 'K dynamique'!AM28 * ((SQRT('Résultats des tournois'!AM$2 + 1)/'Résultats des tournois'!AM28) - (1 / (1 + 10^((AM$103 - lastVal)/400)))))
)
))"),"")</f>
        <v/>
      </c>
      <c r="AO28" s="32" t="str">
        <f>IFERROR(__xludf.DUMMYFUNCTION("IF('Résultats des tournois'!AN$2=0,"""",LET(
lastVal, INDEX(FILTER($B28:AN28, ISNUMBER($B28:AN28)), COUNTA(FILTER($B28:AN28, ISNUMBER($B28:AN28)))),
IFERROR(
IF('Résultats des tournois'!AN28="""", INDEX(FILTER($C28:AN28, ISNUMBER($C28:AN28)), COUNTA(FILTE"&amp;"R($C28:AN28, ISNUMBER($C28:AN28)))),
lastVal + 'K dynamique'!AN28 * ((SQRT('Résultats des tournois'!AN$2 + 1)/'Résultats des tournois'!AN28) - (1 / (1 + 10^((AN$103 - lastVal)/400)))))
)
))"),"")</f>
        <v/>
      </c>
      <c r="AP28" s="32" t="str">
        <f>IFERROR(__xludf.DUMMYFUNCTION("IF('Résultats des tournois'!AO$2=0,"""",LET(
lastVal, INDEX(FILTER($B28:AO28, ISNUMBER($B28:AO28)), COUNTA(FILTER($B28:AO28, ISNUMBER($B28:AO28)))),
IFERROR(
IF('Résultats des tournois'!AO28="""", INDEX(FILTER($C28:AO28, ISNUMBER($C28:AO28)), COUNTA(FILTE"&amp;"R($C28:AO28, ISNUMBER($C28:AO28)))),
lastVal + 'K dynamique'!AO28 * ((SQRT('Résultats des tournois'!AO$2 + 1)/'Résultats des tournois'!AO28) - (1 / (1 + 10^((AO$103 - lastVal)/400)))))
)
))"),"")</f>
        <v/>
      </c>
      <c r="AQ28" s="32" t="str">
        <f>IFERROR(__xludf.DUMMYFUNCTION("IF('Résultats des tournois'!AP$2=0,"""",LET(
lastVal, INDEX(FILTER($B28:AP28, ISNUMBER($B28:AP28)), COUNTA(FILTER($B28:AP28, ISNUMBER($B28:AP28)))),
IFERROR(
IF('Résultats des tournois'!AP28="""", INDEX(FILTER($C28:AP28, ISNUMBER($C28:AP28)), COUNTA(FILTE"&amp;"R($C28:AP28, ISNUMBER($C28:AP28)))),
lastVal + 'K dynamique'!AP28 * ((SQRT('Résultats des tournois'!AP$2 + 1)/'Résultats des tournois'!AP28) - (1 / (1 + 10^((AP$103 - lastVal)/400)))))
)
))"),"")</f>
        <v/>
      </c>
      <c r="AR28" s="32" t="str">
        <f>IFERROR(__xludf.DUMMYFUNCTION("IF('Résultats des tournois'!AQ$2=0,"""",LET(
lastVal, INDEX(FILTER($B28:AQ28, ISNUMBER($B28:AQ28)), COUNTA(FILTER($B28:AQ28, ISNUMBER($B28:AQ28)))),
IFERROR(
IF('Résultats des tournois'!AQ28="""", INDEX(FILTER($C28:AQ28, ISNUMBER($C28:AQ28)), COUNTA(FILTE"&amp;"R($C28:AQ28, ISNUMBER($C28:AQ28)))),
lastVal + 'K dynamique'!AQ28 * ((SQRT('Résultats des tournois'!AQ$2 + 1)/'Résultats des tournois'!AQ28) - (1 / (1 + 10^((AQ$103 - lastVal)/400)))))
)
))"),"")</f>
        <v/>
      </c>
      <c r="AS28" s="32" t="str">
        <f>IFERROR(__xludf.DUMMYFUNCTION("IF('Résultats des tournois'!AR$2=0,"""",LET(
lastVal, INDEX(FILTER($B28:AR28, ISNUMBER($B28:AR28)), COUNTA(FILTER($B28:AR28, ISNUMBER($B28:AR28)))),
IFERROR(
IF('Résultats des tournois'!AR28="""", INDEX(FILTER($C28:AR28, ISNUMBER($C28:AR28)), COUNTA(FILTE"&amp;"R($C28:AR28, ISNUMBER($C28:AR28)))),
lastVal + 'K dynamique'!AR28 * ((SQRT('Résultats des tournois'!AR$2 + 1)/'Résultats des tournois'!AR28) - (1 / (1 + 10^((AR$103 - lastVal)/400)))))
)
))"),"")</f>
        <v/>
      </c>
      <c r="AT28" s="32" t="str">
        <f>IFERROR(__xludf.DUMMYFUNCTION("IF('Résultats des tournois'!AS$2=0,"""",LET(
lastVal, INDEX(FILTER($B28:AS28, ISNUMBER($B28:AS28)), COUNTA(FILTER($B28:AS28, ISNUMBER($B28:AS28)))),
IFERROR(
IF('Résultats des tournois'!AS28="""", INDEX(FILTER($C28:AS28, ISNUMBER($C28:AS28)), COUNTA(FILTE"&amp;"R($C28:AS28, ISNUMBER($C28:AS28)))),
lastVal + 'K dynamique'!AS28 * ((SQRT('Résultats des tournois'!AS$2 + 1)/'Résultats des tournois'!AS28) - (1 / (1 + 10^((AS$103 - lastVal)/400)))))
)
))"),"")</f>
        <v/>
      </c>
      <c r="AU28" s="32" t="str">
        <f>IFERROR(__xludf.DUMMYFUNCTION("IF('Résultats des tournois'!AT$2=0,"""",LET(
lastVal, INDEX(FILTER($B28:AT28, ISNUMBER($B28:AT28)), COUNTA(FILTER($B28:AT28, ISNUMBER($B28:AT28)))),
IFERROR(
IF('Résultats des tournois'!AT28="""", INDEX(FILTER($C28:AT28, ISNUMBER($C28:AT28)), COUNTA(FILTE"&amp;"R($C28:AT28, ISNUMBER($C28:AT28)))),
lastVal + 'K dynamique'!AT28 * ((SQRT('Résultats des tournois'!AT$2 + 1)/'Résultats des tournois'!AT28) - (1 / (1 + 10^((AT$103 - lastVal)/400)))))
)
))"),"")</f>
        <v/>
      </c>
      <c r="AV28" s="32" t="str">
        <f>IFERROR(__xludf.DUMMYFUNCTION("IF('Résultats des tournois'!AU$2=0,"""",LET(
lastVal, INDEX(FILTER($B28:AU28, ISNUMBER($B28:AU28)), COUNTA(FILTER($B28:AU28, ISNUMBER($B28:AU28)))),
IFERROR(
IF('Résultats des tournois'!AU28="""", INDEX(FILTER($C28:AU28, ISNUMBER($C28:AU28)), COUNTA(FILTE"&amp;"R($C28:AU28, ISNUMBER($C28:AU28)))),
lastVal + 'K dynamique'!AU28 * ((SQRT('Résultats des tournois'!AU$2 + 1)/'Résultats des tournois'!AU28) - (1 / (1 + 10^((AU$103 - lastVal)/400)))))
)
))"),"")</f>
        <v/>
      </c>
      <c r="AW28" s="32" t="str">
        <f>IFERROR(__xludf.DUMMYFUNCTION("IF('Résultats des tournois'!AV$2=0,"""",LET(
lastVal, INDEX(FILTER($B28:AV28, ISNUMBER($B28:AV28)), COUNTA(FILTER($B28:AV28, ISNUMBER($B28:AV28)))),
IFERROR(
IF('Résultats des tournois'!AV28="""", INDEX(FILTER($C28:AV28, ISNUMBER($C28:AV28)), COUNTA(FILTE"&amp;"R($C28:AV28, ISNUMBER($C28:AV28)))),
lastVal + 'K dynamique'!AV28 * ((SQRT('Résultats des tournois'!AV$2 + 1)/'Résultats des tournois'!AV28) - (1 / (1 + 10^((AV$103 - lastVal)/400)))))
)
))"),"")</f>
        <v/>
      </c>
      <c r="AX28" s="32" t="str">
        <f>IFERROR(__xludf.DUMMYFUNCTION("IF('Résultats des tournois'!AW$2=0,"""",LET(
lastVal, INDEX(FILTER($B28:AW28, ISNUMBER($B28:AW28)), COUNTA(FILTER($B28:AW28, ISNUMBER($B28:AW28)))),
IFERROR(
IF('Résultats des tournois'!AW28="""", INDEX(FILTER($C28:AW28, ISNUMBER($C28:AW28)), COUNTA(FILTE"&amp;"R($C28:AW28, ISNUMBER($C28:AW28)))),
lastVal + 'K dynamique'!AW28 * ((SQRT('Résultats des tournois'!AW$2 + 1)/'Résultats des tournois'!AW28) - (1 / (1 + 10^((AW$103 - lastVal)/400)))))
)
))"),"")</f>
        <v/>
      </c>
      <c r="AY28" s="32" t="str">
        <f>IFERROR(__xludf.DUMMYFUNCTION("IF('Résultats des tournois'!AX$2=0,"""",LET(
lastVal, INDEX(FILTER($B28:AX28, ISNUMBER($B28:AX28)), COUNTA(FILTER($B28:AX28, ISNUMBER($B28:AX28)))),
IFERROR(
IF('Résultats des tournois'!AX28="""", INDEX(FILTER($C28:AX28, ISNUMBER($C28:AX28)), COUNTA(FILTE"&amp;"R($C28:AX28, ISNUMBER($C28:AX28)))),
lastVal + 'K dynamique'!AX28 * ((SQRT('Résultats des tournois'!AX$2 + 1)/'Résultats des tournois'!AX28) - (1 / (1 + 10^((AX$103 - lastVal)/400)))))
)
))"),"")</f>
        <v/>
      </c>
      <c r="AZ28" s="4" t="str">
        <f t="array" ref="AZ28">IF(MAX(($C28:AY28&lt;&gt;"")*COLUMN($C28:AY28))=0,"",INDEX($C28:AY28,1,MAX(($C28:AY28&lt;&gt;"")*COLUMN($C28:AY28))-COLUMN($C28)+1))</f>
        <v/>
      </c>
      <c r="BA28" s="33" t="str">
        <f t="shared" si="1"/>
        <v/>
      </c>
    </row>
    <row r="29" ht="14.25" customHeight="1">
      <c r="A29" s="32" t="str">
        <f>IF('Résultats des tournois'!A29="","",'Résultats des tournois'!A29)</f>
        <v/>
      </c>
      <c r="B29" s="32">
        <v>1500.0</v>
      </c>
      <c r="C29" s="32" t="str">
        <f>IF('Résultats des tournois'!B29="","",B29+'K dynamique'!B29*((SQRT('Résultats des tournois'!B$2+1)/'Résultats des tournois'!B29)-(1/(1+10^((B29-B29)/400)))))</f>
        <v/>
      </c>
      <c r="D29" s="32" t="str">
        <f>IFERROR(__xludf.DUMMYFUNCTION("IF('Résultats des tournois'!C$2=0,"""",LET(
lastVal, INDEX(FILTER($B29:C29, ISNUMBER($B29:C29)), COUNTA(FILTER($B29:C29, ISNUMBER($B29:C29)))),
IFERROR(
IF('Résultats des tournois'!C29="""", INDEX(FILTER($C29:C29, ISNUMBER($C29:C29)), COUNTA(FILTER($C29:C"&amp;"29, ISNUMBER($C29:C29)))),
lastVal + 'K dynamique'!C29 * ((SQRT('Résultats des tournois'!C$2 + 1)/'Résultats des tournois'!C29) - (1 / (1 + 10^((C$103 - lastVal)/400)))))
)
))"),"")</f>
        <v/>
      </c>
      <c r="E29" s="32" t="str">
        <f>IFERROR(__xludf.DUMMYFUNCTION("IF('Résultats des tournois'!D$2=0,"""",LET(
lastVal, INDEX(FILTER($B29:D29, ISNUMBER($B29:D29)), COUNTA(FILTER($B29:D29, ISNUMBER($B29:D29)))),
IFERROR(
IF('Résultats des tournois'!D29="""", INDEX(FILTER($C29:D29, ISNUMBER($C29:D29)), COUNTA(FILTER($C29:D"&amp;"29, ISNUMBER($C29:D29)))),
lastVal + 'K dynamique'!D29 * ((SQRT('Résultats des tournois'!D$2 + 1)/'Résultats des tournois'!D29) - (1 / (1 + 10^((D$103 - lastVal)/400)))))
)
))"),"")</f>
        <v/>
      </c>
      <c r="F29" s="32" t="str">
        <f>IFERROR(__xludf.DUMMYFUNCTION("IF('Résultats des tournois'!E$2=0,"""",LET(
lastVal, INDEX(FILTER($B29:E29, ISNUMBER($B29:E29)), COUNTA(FILTER($B29:E29, ISNUMBER($B29:E29)))),
IFERROR(
IF('Résultats des tournois'!E29="""", INDEX(FILTER($C29:E29, ISNUMBER($C29:E29)), COUNTA(FILTER($C29:E"&amp;"29, ISNUMBER($C29:E29)))),
lastVal + 'K dynamique'!E29 * ((SQRT('Résultats des tournois'!E$2 + 1)/'Résultats des tournois'!E29) - (1 / (1 + 10^((E$103 - lastVal)/400)))))
)
))"),"")</f>
        <v/>
      </c>
      <c r="G29" s="32" t="str">
        <f>IFERROR(__xludf.DUMMYFUNCTION("IF('Résultats des tournois'!F$2=0,"""",LET(
lastVal, INDEX(FILTER($B29:F29, ISNUMBER($B29:F29)), COUNTA(FILTER($B29:F29, ISNUMBER($B29:F29)))),
IFERROR(
IF('Résultats des tournois'!F29="""", INDEX(FILTER($C29:F29, ISNUMBER($C29:F29)), COUNTA(FILTER($C29:F"&amp;"29, ISNUMBER($C29:F29)))),
lastVal + 'K dynamique'!F29 * ((SQRT('Résultats des tournois'!F$2 + 1)/'Résultats des tournois'!F29) - (1 / (1 + 10^((F$103 - lastVal)/400)))))
)
))"),"")</f>
        <v/>
      </c>
      <c r="H29" s="32" t="str">
        <f>IFERROR(__xludf.DUMMYFUNCTION("IF('Résultats des tournois'!G$2=0,"""",LET(
lastVal, INDEX(FILTER($B29:G29, ISNUMBER($B29:G29)), COUNTA(FILTER($B29:G29, ISNUMBER($B29:G29)))),
IFERROR(
IF('Résultats des tournois'!G29="""", INDEX(FILTER($C29:G29, ISNUMBER($C29:G29)), COUNTA(FILTER($C29:G"&amp;"29, ISNUMBER($C29:G29)))),
lastVal + 'K dynamique'!G29 * ((SQRT('Résultats des tournois'!G$2 + 1)/'Résultats des tournois'!G29) - (1 / (1 + 10^((G$103 - lastVal)/400)))))
)
))"),"")</f>
        <v/>
      </c>
      <c r="I29" s="32" t="str">
        <f>IFERROR(__xludf.DUMMYFUNCTION("IF('Résultats des tournois'!H$2=0,"""",LET(
lastVal, INDEX(FILTER($B29:H29, ISNUMBER($B29:H29)), COUNTA(FILTER($B29:H29, ISNUMBER($B29:H29)))),
IFERROR(
IF('Résultats des tournois'!H29="""", INDEX(FILTER($C29:H29, ISNUMBER($C29:H29)), COUNTA(FILTER($C29:H"&amp;"29, ISNUMBER($C29:H29)))),
lastVal + 'K dynamique'!H29 * ((SQRT('Résultats des tournois'!H$2 + 1)/'Résultats des tournois'!H29) - (1 / (1 + 10^((H$103 - lastVal)/400)))))
)
))"),"")</f>
        <v/>
      </c>
      <c r="J29" s="32" t="str">
        <f>IFERROR(__xludf.DUMMYFUNCTION("IF('Résultats des tournois'!I$2=0,"""",LET(
lastVal, INDEX(FILTER($B29:I29, ISNUMBER($B29:I29)), COUNTA(FILTER($B29:I29, ISNUMBER($B29:I29)))),
IFERROR(
IF('Résultats des tournois'!I29="""", INDEX(FILTER($C29:I29, ISNUMBER($C29:I29)), COUNTA(FILTER($C29:I"&amp;"29, ISNUMBER($C29:I29)))),
lastVal + 'K dynamique'!I29 * ((SQRT('Résultats des tournois'!I$2 + 1)/'Résultats des tournois'!I29) - (1 / (1 + 10^((I$103 - lastVal)/400)))))
)
))"),"")</f>
        <v/>
      </c>
      <c r="K29" s="32" t="str">
        <f>IFERROR(__xludf.DUMMYFUNCTION("IF('Résultats des tournois'!J$2=0,"""",LET(
lastVal, INDEX(FILTER($B29:J29, ISNUMBER($B29:J29)), COUNTA(FILTER($B29:J29, ISNUMBER($B29:J29)))),
IFERROR(
IF('Résultats des tournois'!J29="""", INDEX(FILTER($C29:J29, ISNUMBER($C29:J29)), COUNTA(FILTER($C29:J"&amp;"29, ISNUMBER($C29:J29)))),
lastVal + 'K dynamique'!J29 * ((SQRT('Résultats des tournois'!J$2 + 1)/'Résultats des tournois'!J29) - (1 / (1 + 10^((J$103 - lastVal)/400)))))
)
))"),"")</f>
        <v/>
      </c>
      <c r="L29" s="32" t="str">
        <f>IFERROR(__xludf.DUMMYFUNCTION("IF('Résultats des tournois'!K$2=0,"""",LET(
lastVal, INDEX(FILTER($B29:K29, ISNUMBER($B29:K29)), COUNTA(FILTER($B29:K29, ISNUMBER($B29:K29)))),
IFERROR(
IF('Résultats des tournois'!K29="""", INDEX(FILTER($C29:K29, ISNUMBER($C29:K29)), COUNTA(FILTER($C29:K"&amp;"29, ISNUMBER($C29:K29)))),
lastVal + 'K dynamique'!K29 * ((SQRT('Résultats des tournois'!K$2 + 1)/'Résultats des tournois'!K29) - (1 / (1 + 10^((K$103 - lastVal)/400)))))
)
))"),"")</f>
        <v/>
      </c>
      <c r="M29" s="32" t="str">
        <f>IFERROR(__xludf.DUMMYFUNCTION("IF('Résultats des tournois'!L$2=0,"""",LET(
lastVal, INDEX(FILTER($B29:L29, ISNUMBER($B29:L29)), COUNTA(FILTER($B29:L29, ISNUMBER($B29:L29)))),
IFERROR(
IF('Résultats des tournois'!L29="""", INDEX(FILTER($C29:L29, ISNUMBER($C29:L29)), COUNTA(FILTER($C29:L"&amp;"29, ISNUMBER($C29:L29)))),
lastVal + 'K dynamique'!L29 * ((SQRT('Résultats des tournois'!L$2 + 1)/'Résultats des tournois'!L29) - (1 / (1 + 10^((L$103 - lastVal)/400)))))
)
))"),"")</f>
        <v/>
      </c>
      <c r="N29" s="32" t="str">
        <f>IFERROR(__xludf.DUMMYFUNCTION("IF('Résultats des tournois'!M$2=0,"""",LET(
lastVal, INDEX(FILTER($B29:M29, ISNUMBER($B29:M29)), COUNTA(FILTER($B29:M29, ISNUMBER($B29:M29)))),
IFERROR(
IF('Résultats des tournois'!M29="""", INDEX(FILTER($C29:M29, ISNUMBER($C29:M29)), COUNTA(FILTER($C29:M"&amp;"29, ISNUMBER($C29:M29)))),
lastVal + 'K dynamique'!M29 * ((SQRT('Résultats des tournois'!M$2 + 1)/'Résultats des tournois'!M29) - (1 / (1 + 10^((M$103 - lastVal)/400)))))
)
))"),"")</f>
        <v/>
      </c>
      <c r="O29" s="32" t="str">
        <f>IFERROR(__xludf.DUMMYFUNCTION("IF('Résultats des tournois'!N$2=0,"""",LET(
lastVal, INDEX(FILTER($B29:N29, ISNUMBER($B29:N29)), COUNTA(FILTER($B29:N29, ISNUMBER($B29:N29)))),
IFERROR(
IF('Résultats des tournois'!N29="""", INDEX(FILTER($C29:N29, ISNUMBER($C29:N29)), COUNTA(FILTER($C29:N"&amp;"29, ISNUMBER($C29:N29)))),
lastVal + 'K dynamique'!N29 * ((SQRT('Résultats des tournois'!N$2 + 1)/'Résultats des tournois'!N29) - (1 / (1 + 10^((N$103 - lastVal)/400)))))
)
))"),"")</f>
        <v/>
      </c>
      <c r="P29" s="32" t="str">
        <f>IFERROR(__xludf.DUMMYFUNCTION("IF('Résultats des tournois'!O$2=0,"""",LET(
lastVal, INDEX(FILTER($B29:O29, ISNUMBER($B29:O29)), COUNTA(FILTER($B29:O29, ISNUMBER($B29:O29)))),
IFERROR(
IF('Résultats des tournois'!O29="""", INDEX(FILTER($C29:O29, ISNUMBER($C29:O29)), COUNTA(FILTER($C29:O"&amp;"29, ISNUMBER($C29:O29)))),
lastVal + 'K dynamique'!O29 * ((SQRT('Résultats des tournois'!O$2 + 1)/'Résultats des tournois'!O29) - (1 / (1 + 10^((O$103 - lastVal)/400)))))
)
))"),"")</f>
        <v/>
      </c>
      <c r="Q29" s="32" t="str">
        <f>IFERROR(__xludf.DUMMYFUNCTION("IF('Résultats des tournois'!P$2=0,"""",LET(
lastVal, INDEX(FILTER($B29:P29, ISNUMBER($B29:P29)), COUNTA(FILTER($B29:P29, ISNUMBER($B29:P29)))),
IFERROR(
IF('Résultats des tournois'!P29="""", INDEX(FILTER($C29:P29, ISNUMBER($C29:P29)), COUNTA(FILTER($C29:P"&amp;"29, ISNUMBER($C29:P29)))),
lastVal + 'K dynamique'!P29 * ((SQRT('Résultats des tournois'!P$2 + 1)/'Résultats des tournois'!P29) - (1 / (1 + 10^((P$103 - lastVal)/400)))))
)
))"),"")</f>
        <v/>
      </c>
      <c r="R29" s="32" t="str">
        <f>IFERROR(__xludf.DUMMYFUNCTION("IF('Résultats des tournois'!Q$2=0,"""",LET(
lastVal, INDEX(FILTER($B29:Q29, ISNUMBER($B29:Q29)), COUNTA(FILTER($B29:Q29, ISNUMBER($B29:Q29)))),
IFERROR(
IF('Résultats des tournois'!Q29="""", INDEX(FILTER($C29:Q29, ISNUMBER($C29:Q29)), COUNTA(FILTER($C29:Q"&amp;"29, ISNUMBER($C29:Q29)))),
lastVal + 'K dynamique'!Q29 * ((SQRT('Résultats des tournois'!Q$2 + 1)/'Résultats des tournois'!Q29) - (1 / (1 + 10^((Q$103 - lastVal)/400)))))
)
))"),"")</f>
        <v/>
      </c>
      <c r="S29" s="32" t="str">
        <f>IFERROR(__xludf.DUMMYFUNCTION("IF('Résultats des tournois'!R$2=0,"""",LET(
lastVal, INDEX(FILTER($B29:R29, ISNUMBER($B29:R29)), COUNTA(FILTER($B29:R29, ISNUMBER($B29:R29)))),
IFERROR(
IF('Résultats des tournois'!R29="""", INDEX(FILTER($C29:R29, ISNUMBER($C29:R29)), COUNTA(FILTER($C29:R"&amp;"29, ISNUMBER($C29:R29)))),
lastVal + 'K dynamique'!R29 * ((SQRT('Résultats des tournois'!R$2 + 1)/'Résultats des tournois'!R29) - (1 / (1 + 10^((R$103 - lastVal)/400)))))
)
))"),"")</f>
        <v/>
      </c>
      <c r="T29" s="32" t="str">
        <f>IFERROR(__xludf.DUMMYFUNCTION("IF('Résultats des tournois'!S$2=0,"""",LET(
lastVal, INDEX(FILTER($B29:S29, ISNUMBER($B29:S29)), COUNTA(FILTER($B29:S29, ISNUMBER($B29:S29)))),
IFERROR(
IF('Résultats des tournois'!S29="""", INDEX(FILTER($C29:S29, ISNUMBER($C29:S29)), COUNTA(FILTER($C29:S"&amp;"29, ISNUMBER($C29:S29)))),
lastVal + 'K dynamique'!S29 * ((SQRT('Résultats des tournois'!S$2 + 1)/'Résultats des tournois'!S29) - (1 / (1 + 10^((S$103 - lastVal)/400)))))
)
))"),"")</f>
        <v/>
      </c>
      <c r="U29" s="32" t="str">
        <f>IFERROR(__xludf.DUMMYFUNCTION("IF('Résultats des tournois'!T$2=0,"""",LET(
lastVal, INDEX(FILTER($B29:T29, ISNUMBER($B29:T29)), COUNTA(FILTER($B29:T29, ISNUMBER($B29:T29)))),
IFERROR(
IF('Résultats des tournois'!T29="""", INDEX(FILTER($C29:T29, ISNUMBER($C29:T29)), COUNTA(FILTER($C29:T"&amp;"29, ISNUMBER($C29:T29)))),
lastVal + 'K dynamique'!T29 * ((SQRT('Résultats des tournois'!T$2 + 1)/'Résultats des tournois'!T29) - (1 / (1 + 10^((T$103 - lastVal)/400)))))
)
))"),"")</f>
        <v/>
      </c>
      <c r="V29" s="32" t="str">
        <f>IFERROR(__xludf.DUMMYFUNCTION("IF('Résultats des tournois'!U$2=0,"""",LET(
lastVal, INDEX(FILTER($B29:U29, ISNUMBER($B29:U29)), COUNTA(FILTER($B29:U29, ISNUMBER($B29:U29)))),
IFERROR(
IF('Résultats des tournois'!U29="""", INDEX(FILTER($C29:U29, ISNUMBER($C29:U29)), COUNTA(FILTER($C29:U"&amp;"29, ISNUMBER($C29:U29)))),
lastVal + 'K dynamique'!U29 * ((SQRT('Résultats des tournois'!U$2 + 1)/'Résultats des tournois'!U29) - (1 / (1 + 10^((U$103 - lastVal)/400)))))
)
))"),"")</f>
        <v/>
      </c>
      <c r="W29" s="32" t="str">
        <f>IFERROR(__xludf.DUMMYFUNCTION("IF('Résultats des tournois'!V$2=0,"""",LET(
lastVal, INDEX(FILTER($B29:V29, ISNUMBER($B29:V29)), COUNTA(FILTER($B29:V29, ISNUMBER($B29:V29)))),
IFERROR(
IF('Résultats des tournois'!V29="""", INDEX(FILTER($C29:V29, ISNUMBER($C29:V29)), COUNTA(FILTER($C29:V"&amp;"29, ISNUMBER($C29:V29)))),
lastVal + 'K dynamique'!V29 * ((SQRT('Résultats des tournois'!V$2 + 1)/'Résultats des tournois'!V29) - (1 / (1 + 10^((V$103 - lastVal)/400)))))
)
))"),"")</f>
        <v/>
      </c>
      <c r="X29" s="32" t="str">
        <f>IFERROR(__xludf.DUMMYFUNCTION("IF('Résultats des tournois'!W$2=0,"""",LET(
lastVal, INDEX(FILTER($B29:W29, ISNUMBER($B29:W29)), COUNTA(FILTER($B29:W29, ISNUMBER($B29:W29)))),
IFERROR(
IF('Résultats des tournois'!W29="""", INDEX(FILTER($C29:W29, ISNUMBER($C29:W29)), COUNTA(FILTER($C29:W"&amp;"29, ISNUMBER($C29:W29)))),
lastVal + 'K dynamique'!W29 * ((SQRT('Résultats des tournois'!W$2 + 1)/'Résultats des tournois'!W29) - (1 / (1 + 10^((W$103 - lastVal)/400)))))
)
))"),"")</f>
        <v/>
      </c>
      <c r="Y29" s="32" t="str">
        <f>IFERROR(__xludf.DUMMYFUNCTION("IF('Résultats des tournois'!X$2=0,"""",LET(
lastVal, INDEX(FILTER($B29:X29, ISNUMBER($B29:X29)), COUNTA(FILTER($B29:X29, ISNUMBER($B29:X29)))),
IFERROR(
IF('Résultats des tournois'!X29="""", INDEX(FILTER($C29:X29, ISNUMBER($C29:X29)), COUNTA(FILTER($C29:X"&amp;"29, ISNUMBER($C29:X29)))),
lastVal + 'K dynamique'!X29 * ((SQRT('Résultats des tournois'!X$2 + 1)/'Résultats des tournois'!X29) - (1 / (1 + 10^((X$103 - lastVal)/400)))))
)
))"),"")</f>
        <v/>
      </c>
      <c r="Z29" s="32" t="str">
        <f>IFERROR(__xludf.DUMMYFUNCTION("IF('Résultats des tournois'!Y$2=0,"""",LET(
lastVal, INDEX(FILTER($B29:Y29, ISNUMBER($B29:Y29)), COUNTA(FILTER($B29:Y29, ISNUMBER($B29:Y29)))),
IFERROR(
IF('Résultats des tournois'!Y29="""", INDEX(FILTER($C29:Y29, ISNUMBER($C29:Y29)), COUNTA(FILTER($C29:Y"&amp;"29, ISNUMBER($C29:Y29)))),
lastVal + 'K dynamique'!Y29 * ((SQRT('Résultats des tournois'!Y$2 + 1)/'Résultats des tournois'!Y29) - (1 / (1 + 10^((Y$103 - lastVal)/400)))))
)
))"),"")</f>
        <v/>
      </c>
      <c r="AA29" s="32" t="str">
        <f>IFERROR(__xludf.DUMMYFUNCTION("IF('Résultats des tournois'!Z$2=0,"""",LET(
lastVal, INDEX(FILTER($B29:Z29, ISNUMBER($B29:Z29)), COUNTA(FILTER($B29:Z29, ISNUMBER($B29:Z29)))),
IFERROR(
IF('Résultats des tournois'!Z29="""", INDEX(FILTER($C29:Z29, ISNUMBER($C29:Z29)), COUNTA(FILTER($C29:Z"&amp;"29, ISNUMBER($C29:Z29)))),
lastVal + 'K dynamique'!Z29 * ((SQRT('Résultats des tournois'!Z$2 + 1)/'Résultats des tournois'!Z29) - (1 / (1 + 10^((Z$103 - lastVal)/400)))))
)
))"),"")</f>
        <v/>
      </c>
      <c r="AB29" s="32" t="str">
        <f>IFERROR(__xludf.DUMMYFUNCTION("IF('Résultats des tournois'!AA$2=0,"""",LET(
lastVal, INDEX(FILTER($B29:AA29, ISNUMBER($B29:AA29)), COUNTA(FILTER($B29:AA29, ISNUMBER($B29:AA29)))),
IFERROR(
IF('Résultats des tournois'!AA29="""", INDEX(FILTER($C29:AA29, ISNUMBER($C29:AA29)), COUNTA(FILTE"&amp;"R($C29:AA29, ISNUMBER($C29:AA29)))),
lastVal + 'K dynamique'!AA29 * ((SQRT('Résultats des tournois'!AA$2 + 1)/'Résultats des tournois'!AA29) - (1 / (1 + 10^((AA$103 - lastVal)/400)))))
)
))"),"")</f>
        <v/>
      </c>
      <c r="AC29" s="32" t="str">
        <f>IFERROR(__xludf.DUMMYFUNCTION("IF('Résultats des tournois'!AB$2=0,"""",LET(
lastVal, INDEX(FILTER($B29:AB29, ISNUMBER($B29:AB29)), COUNTA(FILTER($B29:AB29, ISNUMBER($B29:AB29)))),
IFERROR(
IF('Résultats des tournois'!AB29="""", INDEX(FILTER($C29:AB29, ISNUMBER($C29:AB29)), COUNTA(FILTE"&amp;"R($C29:AB29, ISNUMBER($C29:AB29)))),
lastVal + 'K dynamique'!AB29 * ((SQRT('Résultats des tournois'!AB$2 + 1)/'Résultats des tournois'!AB29) - (1 / (1 + 10^((AB$103 - lastVal)/400)))))
)
))"),"")</f>
        <v/>
      </c>
      <c r="AD29" s="32" t="str">
        <f>IFERROR(__xludf.DUMMYFUNCTION("IF('Résultats des tournois'!AC$2=0,"""",LET(
lastVal, INDEX(FILTER($B29:AC29, ISNUMBER($B29:AC29)), COUNTA(FILTER($B29:AC29, ISNUMBER($B29:AC29)))),
IFERROR(
IF('Résultats des tournois'!AC29="""", INDEX(FILTER($C29:AC29, ISNUMBER($C29:AC29)), COUNTA(FILTE"&amp;"R($C29:AC29, ISNUMBER($C29:AC29)))),
lastVal + 'K dynamique'!AC29 * ((SQRT('Résultats des tournois'!AC$2 + 1)/'Résultats des tournois'!AC29) - (1 / (1 + 10^((AC$103 - lastVal)/400)))))
)
))"),"")</f>
        <v/>
      </c>
      <c r="AE29" s="32" t="str">
        <f>IFERROR(__xludf.DUMMYFUNCTION("IF('Résultats des tournois'!AD$2=0,"""",LET(
lastVal, INDEX(FILTER($B29:AD29, ISNUMBER($B29:AD29)), COUNTA(FILTER($B29:AD29, ISNUMBER($B29:AD29)))),
IFERROR(
IF('Résultats des tournois'!AD29="""", INDEX(FILTER($C29:AD29, ISNUMBER($C29:AD29)), COUNTA(FILTE"&amp;"R($C29:AD29, ISNUMBER($C29:AD29)))),
lastVal + 'K dynamique'!AD29 * ((SQRT('Résultats des tournois'!AD$2 + 1)/'Résultats des tournois'!AD29) - (1 / (1 + 10^((AD$103 - lastVal)/400)))))
)
))"),"")</f>
        <v/>
      </c>
      <c r="AF29" s="32" t="str">
        <f>IFERROR(__xludf.DUMMYFUNCTION("IF('Résultats des tournois'!AE$2=0,"""",LET(
lastVal, INDEX(FILTER($B29:AE29, ISNUMBER($B29:AE29)), COUNTA(FILTER($B29:AE29, ISNUMBER($B29:AE29)))),
IFERROR(
IF('Résultats des tournois'!AE29="""", INDEX(FILTER($C29:AE29, ISNUMBER($C29:AE29)), COUNTA(FILTE"&amp;"R($C29:AE29, ISNUMBER($C29:AE29)))),
lastVal + 'K dynamique'!AE29 * ((SQRT('Résultats des tournois'!AE$2 + 1)/'Résultats des tournois'!AE29) - (1 / (1 + 10^((AE$103 - lastVal)/400)))))
)
))"),"")</f>
        <v/>
      </c>
      <c r="AG29" s="32" t="str">
        <f>IFERROR(__xludf.DUMMYFUNCTION("IF('Résultats des tournois'!AF$2=0,"""",LET(
lastVal, INDEX(FILTER($B29:AF29, ISNUMBER($B29:AF29)), COUNTA(FILTER($B29:AF29, ISNUMBER($B29:AF29)))),
IFERROR(
IF('Résultats des tournois'!AF29="""", INDEX(FILTER($C29:AF29, ISNUMBER($C29:AF29)), COUNTA(FILTE"&amp;"R($C29:AF29, ISNUMBER($C29:AF29)))),
lastVal + 'K dynamique'!AF29 * ((SQRT('Résultats des tournois'!AF$2 + 1)/'Résultats des tournois'!AF29) - (1 / (1 + 10^((AF$103 - lastVal)/400)))))
)
))"),"")</f>
        <v/>
      </c>
      <c r="AH29" s="32" t="str">
        <f>IFERROR(__xludf.DUMMYFUNCTION("IF('Résultats des tournois'!AG$2=0,"""",LET(
lastVal, INDEX(FILTER($B29:AG29, ISNUMBER($B29:AG29)), COUNTA(FILTER($B29:AG29, ISNUMBER($B29:AG29)))),
IFERROR(
IF('Résultats des tournois'!AG29="""", INDEX(FILTER($C29:AG29, ISNUMBER($C29:AG29)), COUNTA(FILTE"&amp;"R($C29:AG29, ISNUMBER($C29:AG29)))),
lastVal + 'K dynamique'!AG29 * ((SQRT('Résultats des tournois'!AG$2 + 1)/'Résultats des tournois'!AG29) - (1 / (1 + 10^((AG$103 - lastVal)/400)))))
)
))"),"")</f>
        <v/>
      </c>
      <c r="AI29" s="32" t="str">
        <f>IFERROR(__xludf.DUMMYFUNCTION("IF('Résultats des tournois'!AH$2=0,"""",LET(
lastVal, INDEX(FILTER($B29:AH29, ISNUMBER($B29:AH29)), COUNTA(FILTER($B29:AH29, ISNUMBER($B29:AH29)))),
IFERROR(
IF('Résultats des tournois'!AH29="""", INDEX(FILTER($C29:AH29, ISNUMBER($C29:AH29)), COUNTA(FILTE"&amp;"R($C29:AH29, ISNUMBER($C29:AH29)))),
lastVal + 'K dynamique'!AH29 * ((SQRT('Résultats des tournois'!AH$2 + 1)/'Résultats des tournois'!AH29) - (1 / (1 + 10^((AH$103 - lastVal)/400)))))
)
))"),"")</f>
        <v/>
      </c>
      <c r="AJ29" s="32" t="str">
        <f>IFERROR(__xludf.DUMMYFUNCTION("IF('Résultats des tournois'!AI$2=0,"""",LET(
lastVal, INDEX(FILTER($B29:AI29, ISNUMBER($B29:AI29)), COUNTA(FILTER($B29:AI29, ISNUMBER($B29:AI29)))),
IFERROR(
IF('Résultats des tournois'!AI29="""", INDEX(FILTER($C29:AI29, ISNUMBER($C29:AI29)), COUNTA(FILTE"&amp;"R($C29:AI29, ISNUMBER($C29:AI29)))),
lastVal + 'K dynamique'!AI29 * ((SQRT('Résultats des tournois'!AI$2 + 1)/'Résultats des tournois'!AI29) - (1 / (1 + 10^((AI$103 - lastVal)/400)))))
)
))"),"")</f>
        <v/>
      </c>
      <c r="AK29" s="32" t="str">
        <f>IFERROR(__xludf.DUMMYFUNCTION("IF('Résultats des tournois'!AJ$2=0,"""",LET(
lastVal, INDEX(FILTER($B29:AJ29, ISNUMBER($B29:AJ29)), COUNTA(FILTER($B29:AJ29, ISNUMBER($B29:AJ29)))),
IFERROR(
IF('Résultats des tournois'!AJ29="""", INDEX(FILTER($C29:AJ29, ISNUMBER($C29:AJ29)), COUNTA(FILTE"&amp;"R($C29:AJ29, ISNUMBER($C29:AJ29)))),
lastVal + 'K dynamique'!AJ29 * ((SQRT('Résultats des tournois'!AJ$2 + 1)/'Résultats des tournois'!AJ29) - (1 / (1 + 10^((AJ$103 - lastVal)/400)))))
)
))"),"")</f>
        <v/>
      </c>
      <c r="AL29" s="32" t="str">
        <f>IFERROR(__xludf.DUMMYFUNCTION("IF('Résultats des tournois'!AK$2=0,"""",LET(
lastVal, INDEX(FILTER($B29:AK29, ISNUMBER($B29:AK29)), COUNTA(FILTER($B29:AK29, ISNUMBER($B29:AK29)))),
IFERROR(
IF('Résultats des tournois'!AK29="""", INDEX(FILTER($C29:AK29, ISNUMBER($C29:AK29)), COUNTA(FILTE"&amp;"R($C29:AK29, ISNUMBER($C29:AK29)))),
lastVal + 'K dynamique'!AK29 * ((SQRT('Résultats des tournois'!AK$2 + 1)/'Résultats des tournois'!AK29) - (1 / (1 + 10^((AK$103 - lastVal)/400)))))
)
))"),"")</f>
        <v/>
      </c>
      <c r="AM29" s="32" t="str">
        <f>IFERROR(__xludf.DUMMYFUNCTION("IF('Résultats des tournois'!AL$2=0,"""",LET(
lastVal, INDEX(FILTER($B29:AL29, ISNUMBER($B29:AL29)), COUNTA(FILTER($B29:AL29, ISNUMBER($B29:AL29)))),
IFERROR(
IF('Résultats des tournois'!AL29="""", INDEX(FILTER($C29:AL29, ISNUMBER($C29:AL29)), COUNTA(FILTE"&amp;"R($C29:AL29, ISNUMBER($C29:AL29)))),
lastVal + 'K dynamique'!AL29 * ((SQRT('Résultats des tournois'!AL$2 + 1)/'Résultats des tournois'!AL29) - (1 / (1 + 10^((AL$103 - lastVal)/400)))))
)
))"),"")</f>
        <v/>
      </c>
      <c r="AN29" s="32" t="str">
        <f>IFERROR(__xludf.DUMMYFUNCTION("IF('Résultats des tournois'!AM$2=0,"""",LET(
lastVal, INDEX(FILTER($B29:AM29, ISNUMBER($B29:AM29)), COUNTA(FILTER($B29:AM29, ISNUMBER($B29:AM29)))),
IFERROR(
IF('Résultats des tournois'!AM29="""", INDEX(FILTER($C29:AM29, ISNUMBER($C29:AM29)), COUNTA(FILTE"&amp;"R($C29:AM29, ISNUMBER($C29:AM29)))),
lastVal + 'K dynamique'!AM29 * ((SQRT('Résultats des tournois'!AM$2 + 1)/'Résultats des tournois'!AM29) - (1 / (1 + 10^((AM$103 - lastVal)/400)))))
)
))"),"")</f>
        <v/>
      </c>
      <c r="AO29" s="32" t="str">
        <f>IFERROR(__xludf.DUMMYFUNCTION("IF('Résultats des tournois'!AN$2=0,"""",LET(
lastVal, INDEX(FILTER($B29:AN29, ISNUMBER($B29:AN29)), COUNTA(FILTER($B29:AN29, ISNUMBER($B29:AN29)))),
IFERROR(
IF('Résultats des tournois'!AN29="""", INDEX(FILTER($C29:AN29, ISNUMBER($C29:AN29)), COUNTA(FILTE"&amp;"R($C29:AN29, ISNUMBER($C29:AN29)))),
lastVal + 'K dynamique'!AN29 * ((SQRT('Résultats des tournois'!AN$2 + 1)/'Résultats des tournois'!AN29) - (1 / (1 + 10^((AN$103 - lastVal)/400)))))
)
))"),"")</f>
        <v/>
      </c>
      <c r="AP29" s="32" t="str">
        <f>IFERROR(__xludf.DUMMYFUNCTION("IF('Résultats des tournois'!AO$2=0,"""",LET(
lastVal, INDEX(FILTER($B29:AO29, ISNUMBER($B29:AO29)), COUNTA(FILTER($B29:AO29, ISNUMBER($B29:AO29)))),
IFERROR(
IF('Résultats des tournois'!AO29="""", INDEX(FILTER($C29:AO29, ISNUMBER($C29:AO29)), COUNTA(FILTE"&amp;"R($C29:AO29, ISNUMBER($C29:AO29)))),
lastVal + 'K dynamique'!AO29 * ((SQRT('Résultats des tournois'!AO$2 + 1)/'Résultats des tournois'!AO29) - (1 / (1 + 10^((AO$103 - lastVal)/400)))))
)
))"),"")</f>
        <v/>
      </c>
      <c r="AQ29" s="32" t="str">
        <f>IFERROR(__xludf.DUMMYFUNCTION("IF('Résultats des tournois'!AP$2=0,"""",LET(
lastVal, INDEX(FILTER($B29:AP29, ISNUMBER($B29:AP29)), COUNTA(FILTER($B29:AP29, ISNUMBER($B29:AP29)))),
IFERROR(
IF('Résultats des tournois'!AP29="""", INDEX(FILTER($C29:AP29, ISNUMBER($C29:AP29)), COUNTA(FILTE"&amp;"R($C29:AP29, ISNUMBER($C29:AP29)))),
lastVal + 'K dynamique'!AP29 * ((SQRT('Résultats des tournois'!AP$2 + 1)/'Résultats des tournois'!AP29) - (1 / (1 + 10^((AP$103 - lastVal)/400)))))
)
))"),"")</f>
        <v/>
      </c>
      <c r="AR29" s="32" t="str">
        <f>IFERROR(__xludf.DUMMYFUNCTION("IF('Résultats des tournois'!AQ$2=0,"""",LET(
lastVal, INDEX(FILTER($B29:AQ29, ISNUMBER($B29:AQ29)), COUNTA(FILTER($B29:AQ29, ISNUMBER($B29:AQ29)))),
IFERROR(
IF('Résultats des tournois'!AQ29="""", INDEX(FILTER($C29:AQ29, ISNUMBER($C29:AQ29)), COUNTA(FILTE"&amp;"R($C29:AQ29, ISNUMBER($C29:AQ29)))),
lastVal + 'K dynamique'!AQ29 * ((SQRT('Résultats des tournois'!AQ$2 + 1)/'Résultats des tournois'!AQ29) - (1 / (1 + 10^((AQ$103 - lastVal)/400)))))
)
))"),"")</f>
        <v/>
      </c>
      <c r="AS29" s="32" t="str">
        <f>IFERROR(__xludf.DUMMYFUNCTION("IF('Résultats des tournois'!AR$2=0,"""",LET(
lastVal, INDEX(FILTER($B29:AR29, ISNUMBER($B29:AR29)), COUNTA(FILTER($B29:AR29, ISNUMBER($B29:AR29)))),
IFERROR(
IF('Résultats des tournois'!AR29="""", INDEX(FILTER($C29:AR29, ISNUMBER($C29:AR29)), COUNTA(FILTE"&amp;"R($C29:AR29, ISNUMBER($C29:AR29)))),
lastVal + 'K dynamique'!AR29 * ((SQRT('Résultats des tournois'!AR$2 + 1)/'Résultats des tournois'!AR29) - (1 / (1 + 10^((AR$103 - lastVal)/400)))))
)
))"),"")</f>
        <v/>
      </c>
      <c r="AT29" s="32" t="str">
        <f>IFERROR(__xludf.DUMMYFUNCTION("IF('Résultats des tournois'!AS$2=0,"""",LET(
lastVal, INDEX(FILTER($B29:AS29, ISNUMBER($B29:AS29)), COUNTA(FILTER($B29:AS29, ISNUMBER($B29:AS29)))),
IFERROR(
IF('Résultats des tournois'!AS29="""", INDEX(FILTER($C29:AS29, ISNUMBER($C29:AS29)), COUNTA(FILTE"&amp;"R($C29:AS29, ISNUMBER($C29:AS29)))),
lastVal + 'K dynamique'!AS29 * ((SQRT('Résultats des tournois'!AS$2 + 1)/'Résultats des tournois'!AS29) - (1 / (1 + 10^((AS$103 - lastVal)/400)))))
)
))"),"")</f>
        <v/>
      </c>
      <c r="AU29" s="32" t="str">
        <f>IFERROR(__xludf.DUMMYFUNCTION("IF('Résultats des tournois'!AT$2=0,"""",LET(
lastVal, INDEX(FILTER($B29:AT29, ISNUMBER($B29:AT29)), COUNTA(FILTER($B29:AT29, ISNUMBER($B29:AT29)))),
IFERROR(
IF('Résultats des tournois'!AT29="""", INDEX(FILTER($C29:AT29, ISNUMBER($C29:AT29)), COUNTA(FILTE"&amp;"R($C29:AT29, ISNUMBER($C29:AT29)))),
lastVal + 'K dynamique'!AT29 * ((SQRT('Résultats des tournois'!AT$2 + 1)/'Résultats des tournois'!AT29) - (1 / (1 + 10^((AT$103 - lastVal)/400)))))
)
))"),"")</f>
        <v/>
      </c>
      <c r="AV29" s="32" t="str">
        <f>IFERROR(__xludf.DUMMYFUNCTION("IF('Résultats des tournois'!AU$2=0,"""",LET(
lastVal, INDEX(FILTER($B29:AU29, ISNUMBER($B29:AU29)), COUNTA(FILTER($B29:AU29, ISNUMBER($B29:AU29)))),
IFERROR(
IF('Résultats des tournois'!AU29="""", INDEX(FILTER($C29:AU29, ISNUMBER($C29:AU29)), COUNTA(FILTE"&amp;"R($C29:AU29, ISNUMBER($C29:AU29)))),
lastVal + 'K dynamique'!AU29 * ((SQRT('Résultats des tournois'!AU$2 + 1)/'Résultats des tournois'!AU29) - (1 / (1 + 10^((AU$103 - lastVal)/400)))))
)
))"),"")</f>
        <v/>
      </c>
      <c r="AW29" s="32" t="str">
        <f>IFERROR(__xludf.DUMMYFUNCTION("IF('Résultats des tournois'!AV$2=0,"""",LET(
lastVal, INDEX(FILTER($B29:AV29, ISNUMBER($B29:AV29)), COUNTA(FILTER($B29:AV29, ISNUMBER($B29:AV29)))),
IFERROR(
IF('Résultats des tournois'!AV29="""", INDEX(FILTER($C29:AV29, ISNUMBER($C29:AV29)), COUNTA(FILTE"&amp;"R($C29:AV29, ISNUMBER($C29:AV29)))),
lastVal + 'K dynamique'!AV29 * ((SQRT('Résultats des tournois'!AV$2 + 1)/'Résultats des tournois'!AV29) - (1 / (1 + 10^((AV$103 - lastVal)/400)))))
)
))"),"")</f>
        <v/>
      </c>
      <c r="AX29" s="32" t="str">
        <f>IFERROR(__xludf.DUMMYFUNCTION("IF('Résultats des tournois'!AW$2=0,"""",LET(
lastVal, INDEX(FILTER($B29:AW29, ISNUMBER($B29:AW29)), COUNTA(FILTER($B29:AW29, ISNUMBER($B29:AW29)))),
IFERROR(
IF('Résultats des tournois'!AW29="""", INDEX(FILTER($C29:AW29, ISNUMBER($C29:AW29)), COUNTA(FILTE"&amp;"R($C29:AW29, ISNUMBER($C29:AW29)))),
lastVal + 'K dynamique'!AW29 * ((SQRT('Résultats des tournois'!AW$2 + 1)/'Résultats des tournois'!AW29) - (1 / (1 + 10^((AW$103 - lastVal)/400)))))
)
))"),"")</f>
        <v/>
      </c>
      <c r="AY29" s="32" t="str">
        <f>IFERROR(__xludf.DUMMYFUNCTION("IF('Résultats des tournois'!AX$2=0,"""",LET(
lastVal, INDEX(FILTER($B29:AX29, ISNUMBER($B29:AX29)), COUNTA(FILTER($B29:AX29, ISNUMBER($B29:AX29)))),
IFERROR(
IF('Résultats des tournois'!AX29="""", INDEX(FILTER($C29:AX29, ISNUMBER($C29:AX29)), COUNTA(FILTE"&amp;"R($C29:AX29, ISNUMBER($C29:AX29)))),
lastVal + 'K dynamique'!AX29 * ((SQRT('Résultats des tournois'!AX$2 + 1)/'Résultats des tournois'!AX29) - (1 / (1 + 10^((AX$103 - lastVal)/400)))))
)
))"),"")</f>
        <v/>
      </c>
      <c r="AZ29" s="4" t="str">
        <f t="array" ref="AZ29">IF(MAX(($C29:AY29&lt;&gt;"")*COLUMN($C29:AY29))=0,"",INDEX($C29:AY29,1,MAX(($C29:AY29&lt;&gt;"")*COLUMN($C29:AY29))-COLUMN($C29)+1))</f>
        <v/>
      </c>
      <c r="BA29" s="33" t="str">
        <f t="shared" si="1"/>
        <v/>
      </c>
    </row>
    <row r="30" ht="14.25" customHeight="1">
      <c r="A30" s="32" t="str">
        <f>IF('Résultats des tournois'!A30="","",'Résultats des tournois'!A30)</f>
        <v/>
      </c>
      <c r="B30" s="32">
        <v>1500.0</v>
      </c>
      <c r="C30" s="32" t="str">
        <f>IF('Résultats des tournois'!B30="","",B30+'K dynamique'!B30*((SQRT('Résultats des tournois'!B$2+1)/'Résultats des tournois'!B30)-(1/(1+10^((B30-B30)/400)))))</f>
        <v/>
      </c>
      <c r="D30" s="32" t="str">
        <f>IFERROR(__xludf.DUMMYFUNCTION("IF('Résultats des tournois'!C$2=0,"""",LET(
lastVal, INDEX(FILTER($B30:C30, ISNUMBER($B30:C30)), COUNTA(FILTER($B30:C30, ISNUMBER($B30:C30)))),
IFERROR(
IF('Résultats des tournois'!C30="""", INDEX(FILTER($C30:C30, ISNUMBER($C30:C30)), COUNTA(FILTER($C30:C"&amp;"30, ISNUMBER($C30:C30)))),
lastVal + 'K dynamique'!C30 * ((SQRT('Résultats des tournois'!C$2 + 1)/'Résultats des tournois'!C30) - (1 / (1 + 10^((C$103 - lastVal)/400)))))
)
))"),"")</f>
        <v/>
      </c>
      <c r="E30" s="32" t="str">
        <f>IFERROR(__xludf.DUMMYFUNCTION("IF('Résultats des tournois'!D$2=0,"""",LET(
lastVal, INDEX(FILTER($B30:D30, ISNUMBER($B30:D30)), COUNTA(FILTER($B30:D30, ISNUMBER($B30:D30)))),
IFERROR(
IF('Résultats des tournois'!D30="""", INDEX(FILTER($C30:D30, ISNUMBER($C30:D30)), COUNTA(FILTER($C30:D"&amp;"30, ISNUMBER($C30:D30)))),
lastVal + 'K dynamique'!D30 * ((SQRT('Résultats des tournois'!D$2 + 1)/'Résultats des tournois'!D30) - (1 / (1 + 10^((D$103 - lastVal)/400)))))
)
))"),"")</f>
        <v/>
      </c>
      <c r="F30" s="32" t="str">
        <f>IFERROR(__xludf.DUMMYFUNCTION("IF('Résultats des tournois'!E$2=0,"""",LET(
lastVal, INDEX(FILTER($B30:E30, ISNUMBER($B30:E30)), COUNTA(FILTER($B30:E30, ISNUMBER($B30:E30)))),
IFERROR(
IF('Résultats des tournois'!E30="""", INDEX(FILTER($C30:E30, ISNUMBER($C30:E30)), COUNTA(FILTER($C30:E"&amp;"30, ISNUMBER($C30:E30)))),
lastVal + 'K dynamique'!E30 * ((SQRT('Résultats des tournois'!E$2 + 1)/'Résultats des tournois'!E30) - (1 / (1 + 10^((E$103 - lastVal)/400)))))
)
))"),"")</f>
        <v/>
      </c>
      <c r="G30" s="32" t="str">
        <f>IFERROR(__xludf.DUMMYFUNCTION("IF('Résultats des tournois'!F$2=0,"""",LET(
lastVal, INDEX(FILTER($B30:F30, ISNUMBER($B30:F30)), COUNTA(FILTER($B30:F30, ISNUMBER($B30:F30)))),
IFERROR(
IF('Résultats des tournois'!F30="""", INDEX(FILTER($C30:F30, ISNUMBER($C30:F30)), COUNTA(FILTER($C30:F"&amp;"30, ISNUMBER($C30:F30)))),
lastVal + 'K dynamique'!F30 * ((SQRT('Résultats des tournois'!F$2 + 1)/'Résultats des tournois'!F30) - (1 / (1 + 10^((F$103 - lastVal)/400)))))
)
))"),"")</f>
        <v/>
      </c>
      <c r="H30" s="32" t="str">
        <f>IFERROR(__xludf.DUMMYFUNCTION("IF('Résultats des tournois'!G$2=0,"""",LET(
lastVal, INDEX(FILTER($B30:G30, ISNUMBER($B30:G30)), COUNTA(FILTER($B30:G30, ISNUMBER($B30:G30)))),
IFERROR(
IF('Résultats des tournois'!G30="""", INDEX(FILTER($C30:G30, ISNUMBER($C30:G30)), COUNTA(FILTER($C30:G"&amp;"30, ISNUMBER($C30:G30)))),
lastVal + 'K dynamique'!G30 * ((SQRT('Résultats des tournois'!G$2 + 1)/'Résultats des tournois'!G30) - (1 / (1 + 10^((G$103 - lastVal)/400)))))
)
))"),"")</f>
        <v/>
      </c>
      <c r="I30" s="32" t="str">
        <f>IFERROR(__xludf.DUMMYFUNCTION("IF('Résultats des tournois'!H$2=0,"""",LET(
lastVal, INDEX(FILTER($B30:H30, ISNUMBER($B30:H30)), COUNTA(FILTER($B30:H30, ISNUMBER($B30:H30)))),
IFERROR(
IF('Résultats des tournois'!H30="""", INDEX(FILTER($C30:H30, ISNUMBER($C30:H30)), COUNTA(FILTER($C30:H"&amp;"30, ISNUMBER($C30:H30)))),
lastVal + 'K dynamique'!H30 * ((SQRT('Résultats des tournois'!H$2 + 1)/'Résultats des tournois'!H30) - (1 / (1 + 10^((H$103 - lastVal)/400)))))
)
))"),"")</f>
        <v/>
      </c>
      <c r="J30" s="32" t="str">
        <f>IFERROR(__xludf.DUMMYFUNCTION("IF('Résultats des tournois'!I$2=0,"""",LET(
lastVal, INDEX(FILTER($B30:I30, ISNUMBER($B30:I30)), COUNTA(FILTER($B30:I30, ISNUMBER($B30:I30)))),
IFERROR(
IF('Résultats des tournois'!I30="""", INDEX(FILTER($C30:I30, ISNUMBER($C30:I30)), COUNTA(FILTER($C30:I"&amp;"30, ISNUMBER($C30:I30)))),
lastVal + 'K dynamique'!I30 * ((SQRT('Résultats des tournois'!I$2 + 1)/'Résultats des tournois'!I30) - (1 / (1 + 10^((I$103 - lastVal)/400)))))
)
))"),"")</f>
        <v/>
      </c>
      <c r="K30" s="32" t="str">
        <f>IFERROR(__xludf.DUMMYFUNCTION("IF('Résultats des tournois'!J$2=0,"""",LET(
lastVal, INDEX(FILTER($B30:J30, ISNUMBER($B30:J30)), COUNTA(FILTER($B30:J30, ISNUMBER($B30:J30)))),
IFERROR(
IF('Résultats des tournois'!J30="""", INDEX(FILTER($C30:J30, ISNUMBER($C30:J30)), COUNTA(FILTER($C30:J"&amp;"30, ISNUMBER($C30:J30)))),
lastVal + 'K dynamique'!J30 * ((SQRT('Résultats des tournois'!J$2 + 1)/'Résultats des tournois'!J30) - (1 / (1 + 10^((J$103 - lastVal)/400)))))
)
))"),"")</f>
        <v/>
      </c>
      <c r="L30" s="32" t="str">
        <f>IFERROR(__xludf.DUMMYFUNCTION("IF('Résultats des tournois'!K$2=0,"""",LET(
lastVal, INDEX(FILTER($B30:K30, ISNUMBER($B30:K30)), COUNTA(FILTER($B30:K30, ISNUMBER($B30:K30)))),
IFERROR(
IF('Résultats des tournois'!K30="""", INDEX(FILTER($C30:K30, ISNUMBER($C30:K30)), COUNTA(FILTER($C30:K"&amp;"30, ISNUMBER($C30:K30)))),
lastVal + 'K dynamique'!K30 * ((SQRT('Résultats des tournois'!K$2 + 1)/'Résultats des tournois'!K30) - (1 / (1 + 10^((K$103 - lastVal)/400)))))
)
))"),"")</f>
        <v/>
      </c>
      <c r="M30" s="32" t="str">
        <f>IFERROR(__xludf.DUMMYFUNCTION("IF('Résultats des tournois'!L$2=0,"""",LET(
lastVal, INDEX(FILTER($B30:L30, ISNUMBER($B30:L30)), COUNTA(FILTER($B30:L30, ISNUMBER($B30:L30)))),
IFERROR(
IF('Résultats des tournois'!L30="""", INDEX(FILTER($C30:L30, ISNUMBER($C30:L30)), COUNTA(FILTER($C30:L"&amp;"30, ISNUMBER($C30:L30)))),
lastVal + 'K dynamique'!L30 * ((SQRT('Résultats des tournois'!L$2 + 1)/'Résultats des tournois'!L30) - (1 / (1 + 10^((L$103 - lastVal)/400)))))
)
))"),"")</f>
        <v/>
      </c>
      <c r="N30" s="32" t="str">
        <f>IFERROR(__xludf.DUMMYFUNCTION("IF('Résultats des tournois'!M$2=0,"""",LET(
lastVal, INDEX(FILTER($B30:M30, ISNUMBER($B30:M30)), COUNTA(FILTER($B30:M30, ISNUMBER($B30:M30)))),
IFERROR(
IF('Résultats des tournois'!M30="""", INDEX(FILTER($C30:M30, ISNUMBER($C30:M30)), COUNTA(FILTER($C30:M"&amp;"30, ISNUMBER($C30:M30)))),
lastVal + 'K dynamique'!M30 * ((SQRT('Résultats des tournois'!M$2 + 1)/'Résultats des tournois'!M30) - (1 / (1 + 10^((M$103 - lastVal)/400)))))
)
))"),"")</f>
        <v/>
      </c>
      <c r="O30" s="32" t="str">
        <f>IFERROR(__xludf.DUMMYFUNCTION("IF('Résultats des tournois'!N$2=0,"""",LET(
lastVal, INDEX(FILTER($B30:N30, ISNUMBER($B30:N30)), COUNTA(FILTER($B30:N30, ISNUMBER($B30:N30)))),
IFERROR(
IF('Résultats des tournois'!N30="""", INDEX(FILTER($C30:N30, ISNUMBER($C30:N30)), COUNTA(FILTER($C30:N"&amp;"30, ISNUMBER($C30:N30)))),
lastVal + 'K dynamique'!N30 * ((SQRT('Résultats des tournois'!N$2 + 1)/'Résultats des tournois'!N30) - (1 / (1 + 10^((N$103 - lastVal)/400)))))
)
))"),"")</f>
        <v/>
      </c>
      <c r="P30" s="32" t="str">
        <f>IFERROR(__xludf.DUMMYFUNCTION("IF('Résultats des tournois'!O$2=0,"""",LET(
lastVal, INDEX(FILTER($B30:O30, ISNUMBER($B30:O30)), COUNTA(FILTER($B30:O30, ISNUMBER($B30:O30)))),
IFERROR(
IF('Résultats des tournois'!O30="""", INDEX(FILTER($C30:O30, ISNUMBER($C30:O30)), COUNTA(FILTER($C30:O"&amp;"30, ISNUMBER($C30:O30)))),
lastVal + 'K dynamique'!O30 * ((SQRT('Résultats des tournois'!O$2 + 1)/'Résultats des tournois'!O30) - (1 / (1 + 10^((O$103 - lastVal)/400)))))
)
))"),"")</f>
        <v/>
      </c>
      <c r="Q30" s="32" t="str">
        <f>IFERROR(__xludf.DUMMYFUNCTION("IF('Résultats des tournois'!P$2=0,"""",LET(
lastVal, INDEX(FILTER($B30:P30, ISNUMBER($B30:P30)), COUNTA(FILTER($B30:P30, ISNUMBER($B30:P30)))),
IFERROR(
IF('Résultats des tournois'!P30="""", INDEX(FILTER($C30:P30, ISNUMBER($C30:P30)), COUNTA(FILTER($C30:P"&amp;"30, ISNUMBER($C30:P30)))),
lastVal + 'K dynamique'!P30 * ((SQRT('Résultats des tournois'!P$2 + 1)/'Résultats des tournois'!P30) - (1 / (1 + 10^((P$103 - lastVal)/400)))))
)
))"),"")</f>
        <v/>
      </c>
      <c r="R30" s="32" t="str">
        <f>IFERROR(__xludf.DUMMYFUNCTION("IF('Résultats des tournois'!Q$2=0,"""",LET(
lastVal, INDEX(FILTER($B30:Q30, ISNUMBER($B30:Q30)), COUNTA(FILTER($B30:Q30, ISNUMBER($B30:Q30)))),
IFERROR(
IF('Résultats des tournois'!Q30="""", INDEX(FILTER($C30:Q30, ISNUMBER($C30:Q30)), COUNTA(FILTER($C30:Q"&amp;"30, ISNUMBER($C30:Q30)))),
lastVal + 'K dynamique'!Q30 * ((SQRT('Résultats des tournois'!Q$2 + 1)/'Résultats des tournois'!Q30) - (1 / (1 + 10^((Q$103 - lastVal)/400)))))
)
))"),"")</f>
        <v/>
      </c>
      <c r="S30" s="32" t="str">
        <f>IFERROR(__xludf.DUMMYFUNCTION("IF('Résultats des tournois'!R$2=0,"""",LET(
lastVal, INDEX(FILTER($B30:R30, ISNUMBER($B30:R30)), COUNTA(FILTER($B30:R30, ISNUMBER($B30:R30)))),
IFERROR(
IF('Résultats des tournois'!R30="""", INDEX(FILTER($C30:R30, ISNUMBER($C30:R30)), COUNTA(FILTER($C30:R"&amp;"30, ISNUMBER($C30:R30)))),
lastVal + 'K dynamique'!R30 * ((SQRT('Résultats des tournois'!R$2 + 1)/'Résultats des tournois'!R30) - (1 / (1 + 10^((R$103 - lastVal)/400)))))
)
))"),"")</f>
        <v/>
      </c>
      <c r="T30" s="32" t="str">
        <f>IFERROR(__xludf.DUMMYFUNCTION("IF('Résultats des tournois'!S$2=0,"""",LET(
lastVal, INDEX(FILTER($B30:S30, ISNUMBER($B30:S30)), COUNTA(FILTER($B30:S30, ISNUMBER($B30:S30)))),
IFERROR(
IF('Résultats des tournois'!S30="""", INDEX(FILTER($C30:S30, ISNUMBER($C30:S30)), COUNTA(FILTER($C30:S"&amp;"30, ISNUMBER($C30:S30)))),
lastVal + 'K dynamique'!S30 * ((SQRT('Résultats des tournois'!S$2 + 1)/'Résultats des tournois'!S30) - (1 / (1 + 10^((S$103 - lastVal)/400)))))
)
))"),"")</f>
        <v/>
      </c>
      <c r="U30" s="32" t="str">
        <f>IFERROR(__xludf.DUMMYFUNCTION("IF('Résultats des tournois'!T$2=0,"""",LET(
lastVal, INDEX(FILTER($B30:T30, ISNUMBER($B30:T30)), COUNTA(FILTER($B30:T30, ISNUMBER($B30:T30)))),
IFERROR(
IF('Résultats des tournois'!T30="""", INDEX(FILTER($C30:T30, ISNUMBER($C30:T30)), COUNTA(FILTER($C30:T"&amp;"30, ISNUMBER($C30:T30)))),
lastVal + 'K dynamique'!T30 * ((SQRT('Résultats des tournois'!T$2 + 1)/'Résultats des tournois'!T30) - (1 / (1 + 10^((T$103 - lastVal)/400)))))
)
))"),"")</f>
        <v/>
      </c>
      <c r="V30" s="32" t="str">
        <f>IFERROR(__xludf.DUMMYFUNCTION("IF('Résultats des tournois'!U$2=0,"""",LET(
lastVal, INDEX(FILTER($B30:U30, ISNUMBER($B30:U30)), COUNTA(FILTER($B30:U30, ISNUMBER($B30:U30)))),
IFERROR(
IF('Résultats des tournois'!U30="""", INDEX(FILTER($C30:U30, ISNUMBER($C30:U30)), COUNTA(FILTER($C30:U"&amp;"30, ISNUMBER($C30:U30)))),
lastVal + 'K dynamique'!U30 * ((SQRT('Résultats des tournois'!U$2 + 1)/'Résultats des tournois'!U30) - (1 / (1 + 10^((U$103 - lastVal)/400)))))
)
))"),"")</f>
        <v/>
      </c>
      <c r="W30" s="32" t="str">
        <f>IFERROR(__xludf.DUMMYFUNCTION("IF('Résultats des tournois'!V$2=0,"""",LET(
lastVal, INDEX(FILTER($B30:V30, ISNUMBER($B30:V30)), COUNTA(FILTER($B30:V30, ISNUMBER($B30:V30)))),
IFERROR(
IF('Résultats des tournois'!V30="""", INDEX(FILTER($C30:V30, ISNUMBER($C30:V30)), COUNTA(FILTER($C30:V"&amp;"30, ISNUMBER($C30:V30)))),
lastVal + 'K dynamique'!V30 * ((SQRT('Résultats des tournois'!V$2 + 1)/'Résultats des tournois'!V30) - (1 / (1 + 10^((V$103 - lastVal)/400)))))
)
))"),"")</f>
        <v/>
      </c>
      <c r="X30" s="32" t="str">
        <f>IFERROR(__xludf.DUMMYFUNCTION("IF('Résultats des tournois'!W$2=0,"""",LET(
lastVal, INDEX(FILTER($B30:W30, ISNUMBER($B30:W30)), COUNTA(FILTER($B30:W30, ISNUMBER($B30:W30)))),
IFERROR(
IF('Résultats des tournois'!W30="""", INDEX(FILTER($C30:W30, ISNUMBER($C30:W30)), COUNTA(FILTER($C30:W"&amp;"30, ISNUMBER($C30:W30)))),
lastVal + 'K dynamique'!W30 * ((SQRT('Résultats des tournois'!W$2 + 1)/'Résultats des tournois'!W30) - (1 / (1 + 10^((W$103 - lastVal)/400)))))
)
))"),"")</f>
        <v/>
      </c>
      <c r="Y30" s="32" t="str">
        <f>IFERROR(__xludf.DUMMYFUNCTION("IF('Résultats des tournois'!X$2=0,"""",LET(
lastVal, INDEX(FILTER($B30:X30, ISNUMBER($B30:X30)), COUNTA(FILTER($B30:X30, ISNUMBER($B30:X30)))),
IFERROR(
IF('Résultats des tournois'!X30="""", INDEX(FILTER($C30:X30, ISNUMBER($C30:X30)), COUNTA(FILTER($C30:X"&amp;"30, ISNUMBER($C30:X30)))),
lastVal + 'K dynamique'!X30 * ((SQRT('Résultats des tournois'!X$2 + 1)/'Résultats des tournois'!X30) - (1 / (1 + 10^((X$103 - lastVal)/400)))))
)
))"),"")</f>
        <v/>
      </c>
      <c r="Z30" s="32" t="str">
        <f>IFERROR(__xludf.DUMMYFUNCTION("IF('Résultats des tournois'!Y$2=0,"""",LET(
lastVal, INDEX(FILTER($B30:Y30, ISNUMBER($B30:Y30)), COUNTA(FILTER($B30:Y30, ISNUMBER($B30:Y30)))),
IFERROR(
IF('Résultats des tournois'!Y30="""", INDEX(FILTER($C30:Y30, ISNUMBER($C30:Y30)), COUNTA(FILTER($C30:Y"&amp;"30, ISNUMBER($C30:Y30)))),
lastVal + 'K dynamique'!Y30 * ((SQRT('Résultats des tournois'!Y$2 + 1)/'Résultats des tournois'!Y30) - (1 / (1 + 10^((Y$103 - lastVal)/400)))))
)
))"),"")</f>
        <v/>
      </c>
      <c r="AA30" s="32" t="str">
        <f>IFERROR(__xludf.DUMMYFUNCTION("IF('Résultats des tournois'!Z$2=0,"""",LET(
lastVal, INDEX(FILTER($B30:Z30, ISNUMBER($B30:Z30)), COUNTA(FILTER($B30:Z30, ISNUMBER($B30:Z30)))),
IFERROR(
IF('Résultats des tournois'!Z30="""", INDEX(FILTER($C30:Z30, ISNUMBER($C30:Z30)), COUNTA(FILTER($C30:Z"&amp;"30, ISNUMBER($C30:Z30)))),
lastVal + 'K dynamique'!Z30 * ((SQRT('Résultats des tournois'!Z$2 + 1)/'Résultats des tournois'!Z30) - (1 / (1 + 10^((Z$103 - lastVal)/400)))))
)
))"),"")</f>
        <v/>
      </c>
      <c r="AB30" s="32" t="str">
        <f>IFERROR(__xludf.DUMMYFUNCTION("IF('Résultats des tournois'!AA$2=0,"""",LET(
lastVal, INDEX(FILTER($B30:AA30, ISNUMBER($B30:AA30)), COUNTA(FILTER($B30:AA30, ISNUMBER($B30:AA30)))),
IFERROR(
IF('Résultats des tournois'!AA30="""", INDEX(FILTER($C30:AA30, ISNUMBER($C30:AA30)), COUNTA(FILTE"&amp;"R($C30:AA30, ISNUMBER($C30:AA30)))),
lastVal + 'K dynamique'!AA30 * ((SQRT('Résultats des tournois'!AA$2 + 1)/'Résultats des tournois'!AA30) - (1 / (1 + 10^((AA$103 - lastVal)/400)))))
)
))"),"")</f>
        <v/>
      </c>
      <c r="AC30" s="32" t="str">
        <f>IFERROR(__xludf.DUMMYFUNCTION("IF('Résultats des tournois'!AB$2=0,"""",LET(
lastVal, INDEX(FILTER($B30:AB30, ISNUMBER($B30:AB30)), COUNTA(FILTER($B30:AB30, ISNUMBER($B30:AB30)))),
IFERROR(
IF('Résultats des tournois'!AB30="""", INDEX(FILTER($C30:AB30, ISNUMBER($C30:AB30)), COUNTA(FILTE"&amp;"R($C30:AB30, ISNUMBER($C30:AB30)))),
lastVal + 'K dynamique'!AB30 * ((SQRT('Résultats des tournois'!AB$2 + 1)/'Résultats des tournois'!AB30) - (1 / (1 + 10^((AB$103 - lastVal)/400)))))
)
))"),"")</f>
        <v/>
      </c>
      <c r="AD30" s="32" t="str">
        <f>IFERROR(__xludf.DUMMYFUNCTION("IF('Résultats des tournois'!AC$2=0,"""",LET(
lastVal, INDEX(FILTER($B30:AC30, ISNUMBER($B30:AC30)), COUNTA(FILTER($B30:AC30, ISNUMBER($B30:AC30)))),
IFERROR(
IF('Résultats des tournois'!AC30="""", INDEX(FILTER($C30:AC30, ISNUMBER($C30:AC30)), COUNTA(FILTE"&amp;"R($C30:AC30, ISNUMBER($C30:AC30)))),
lastVal + 'K dynamique'!AC30 * ((SQRT('Résultats des tournois'!AC$2 + 1)/'Résultats des tournois'!AC30) - (1 / (1 + 10^((AC$103 - lastVal)/400)))))
)
))"),"")</f>
        <v/>
      </c>
      <c r="AE30" s="32" t="str">
        <f>IFERROR(__xludf.DUMMYFUNCTION("IF('Résultats des tournois'!AD$2=0,"""",LET(
lastVal, INDEX(FILTER($B30:AD30, ISNUMBER($B30:AD30)), COUNTA(FILTER($B30:AD30, ISNUMBER($B30:AD30)))),
IFERROR(
IF('Résultats des tournois'!AD30="""", INDEX(FILTER($C30:AD30, ISNUMBER($C30:AD30)), COUNTA(FILTE"&amp;"R($C30:AD30, ISNUMBER($C30:AD30)))),
lastVal + 'K dynamique'!AD30 * ((SQRT('Résultats des tournois'!AD$2 + 1)/'Résultats des tournois'!AD30) - (1 / (1 + 10^((AD$103 - lastVal)/400)))))
)
))"),"")</f>
        <v/>
      </c>
      <c r="AF30" s="32" t="str">
        <f>IFERROR(__xludf.DUMMYFUNCTION("IF('Résultats des tournois'!AE$2=0,"""",LET(
lastVal, INDEX(FILTER($B30:AE30, ISNUMBER($B30:AE30)), COUNTA(FILTER($B30:AE30, ISNUMBER($B30:AE30)))),
IFERROR(
IF('Résultats des tournois'!AE30="""", INDEX(FILTER($C30:AE30, ISNUMBER($C30:AE30)), COUNTA(FILTE"&amp;"R($C30:AE30, ISNUMBER($C30:AE30)))),
lastVal + 'K dynamique'!AE30 * ((SQRT('Résultats des tournois'!AE$2 + 1)/'Résultats des tournois'!AE30) - (1 / (1 + 10^((AE$103 - lastVal)/400)))))
)
))"),"")</f>
        <v/>
      </c>
      <c r="AG30" s="32" t="str">
        <f>IFERROR(__xludf.DUMMYFUNCTION("IF('Résultats des tournois'!AF$2=0,"""",LET(
lastVal, INDEX(FILTER($B30:AF30, ISNUMBER($B30:AF30)), COUNTA(FILTER($B30:AF30, ISNUMBER($B30:AF30)))),
IFERROR(
IF('Résultats des tournois'!AF30="""", INDEX(FILTER($C30:AF30, ISNUMBER($C30:AF30)), COUNTA(FILTE"&amp;"R($C30:AF30, ISNUMBER($C30:AF30)))),
lastVal + 'K dynamique'!AF30 * ((SQRT('Résultats des tournois'!AF$2 + 1)/'Résultats des tournois'!AF30) - (1 / (1 + 10^((AF$103 - lastVal)/400)))))
)
))"),"")</f>
        <v/>
      </c>
      <c r="AH30" s="32" t="str">
        <f>IFERROR(__xludf.DUMMYFUNCTION("IF('Résultats des tournois'!AG$2=0,"""",LET(
lastVal, INDEX(FILTER($B30:AG30, ISNUMBER($B30:AG30)), COUNTA(FILTER($B30:AG30, ISNUMBER($B30:AG30)))),
IFERROR(
IF('Résultats des tournois'!AG30="""", INDEX(FILTER($C30:AG30, ISNUMBER($C30:AG30)), COUNTA(FILTE"&amp;"R($C30:AG30, ISNUMBER($C30:AG30)))),
lastVal + 'K dynamique'!AG30 * ((SQRT('Résultats des tournois'!AG$2 + 1)/'Résultats des tournois'!AG30) - (1 / (1 + 10^((AG$103 - lastVal)/400)))))
)
))"),"")</f>
        <v/>
      </c>
      <c r="AI30" s="32" t="str">
        <f>IFERROR(__xludf.DUMMYFUNCTION("IF('Résultats des tournois'!AH$2=0,"""",LET(
lastVal, INDEX(FILTER($B30:AH30, ISNUMBER($B30:AH30)), COUNTA(FILTER($B30:AH30, ISNUMBER($B30:AH30)))),
IFERROR(
IF('Résultats des tournois'!AH30="""", INDEX(FILTER($C30:AH30, ISNUMBER($C30:AH30)), COUNTA(FILTE"&amp;"R($C30:AH30, ISNUMBER($C30:AH30)))),
lastVal + 'K dynamique'!AH30 * ((SQRT('Résultats des tournois'!AH$2 + 1)/'Résultats des tournois'!AH30) - (1 / (1 + 10^((AH$103 - lastVal)/400)))))
)
))"),"")</f>
        <v/>
      </c>
      <c r="AJ30" s="32" t="str">
        <f>IFERROR(__xludf.DUMMYFUNCTION("IF('Résultats des tournois'!AI$2=0,"""",LET(
lastVal, INDEX(FILTER($B30:AI30, ISNUMBER($B30:AI30)), COUNTA(FILTER($B30:AI30, ISNUMBER($B30:AI30)))),
IFERROR(
IF('Résultats des tournois'!AI30="""", INDEX(FILTER($C30:AI30, ISNUMBER($C30:AI30)), COUNTA(FILTE"&amp;"R($C30:AI30, ISNUMBER($C30:AI30)))),
lastVal + 'K dynamique'!AI30 * ((SQRT('Résultats des tournois'!AI$2 + 1)/'Résultats des tournois'!AI30) - (1 / (1 + 10^((AI$103 - lastVal)/400)))))
)
))"),"")</f>
        <v/>
      </c>
      <c r="AK30" s="32" t="str">
        <f>IFERROR(__xludf.DUMMYFUNCTION("IF('Résultats des tournois'!AJ$2=0,"""",LET(
lastVal, INDEX(FILTER($B30:AJ30, ISNUMBER($B30:AJ30)), COUNTA(FILTER($B30:AJ30, ISNUMBER($B30:AJ30)))),
IFERROR(
IF('Résultats des tournois'!AJ30="""", INDEX(FILTER($C30:AJ30, ISNUMBER($C30:AJ30)), COUNTA(FILTE"&amp;"R($C30:AJ30, ISNUMBER($C30:AJ30)))),
lastVal + 'K dynamique'!AJ30 * ((SQRT('Résultats des tournois'!AJ$2 + 1)/'Résultats des tournois'!AJ30) - (1 / (1 + 10^((AJ$103 - lastVal)/400)))))
)
))"),"")</f>
        <v/>
      </c>
      <c r="AL30" s="32" t="str">
        <f>IFERROR(__xludf.DUMMYFUNCTION("IF('Résultats des tournois'!AK$2=0,"""",LET(
lastVal, INDEX(FILTER($B30:AK30, ISNUMBER($B30:AK30)), COUNTA(FILTER($B30:AK30, ISNUMBER($B30:AK30)))),
IFERROR(
IF('Résultats des tournois'!AK30="""", INDEX(FILTER($C30:AK30, ISNUMBER($C30:AK30)), COUNTA(FILTE"&amp;"R($C30:AK30, ISNUMBER($C30:AK30)))),
lastVal + 'K dynamique'!AK30 * ((SQRT('Résultats des tournois'!AK$2 + 1)/'Résultats des tournois'!AK30) - (1 / (1 + 10^((AK$103 - lastVal)/400)))))
)
))"),"")</f>
        <v/>
      </c>
      <c r="AM30" s="32" t="str">
        <f>IFERROR(__xludf.DUMMYFUNCTION("IF('Résultats des tournois'!AL$2=0,"""",LET(
lastVal, INDEX(FILTER($B30:AL30, ISNUMBER($B30:AL30)), COUNTA(FILTER($B30:AL30, ISNUMBER($B30:AL30)))),
IFERROR(
IF('Résultats des tournois'!AL30="""", INDEX(FILTER($C30:AL30, ISNUMBER($C30:AL30)), COUNTA(FILTE"&amp;"R($C30:AL30, ISNUMBER($C30:AL30)))),
lastVal + 'K dynamique'!AL30 * ((SQRT('Résultats des tournois'!AL$2 + 1)/'Résultats des tournois'!AL30) - (1 / (1 + 10^((AL$103 - lastVal)/400)))))
)
))"),"")</f>
        <v/>
      </c>
      <c r="AN30" s="32" t="str">
        <f>IFERROR(__xludf.DUMMYFUNCTION("IF('Résultats des tournois'!AM$2=0,"""",LET(
lastVal, INDEX(FILTER($B30:AM30, ISNUMBER($B30:AM30)), COUNTA(FILTER($B30:AM30, ISNUMBER($B30:AM30)))),
IFERROR(
IF('Résultats des tournois'!AM30="""", INDEX(FILTER($C30:AM30, ISNUMBER($C30:AM30)), COUNTA(FILTE"&amp;"R($C30:AM30, ISNUMBER($C30:AM30)))),
lastVal + 'K dynamique'!AM30 * ((SQRT('Résultats des tournois'!AM$2 + 1)/'Résultats des tournois'!AM30) - (1 / (1 + 10^((AM$103 - lastVal)/400)))))
)
))"),"")</f>
        <v/>
      </c>
      <c r="AO30" s="32" t="str">
        <f>IFERROR(__xludf.DUMMYFUNCTION("IF('Résultats des tournois'!AN$2=0,"""",LET(
lastVal, INDEX(FILTER($B30:AN30, ISNUMBER($B30:AN30)), COUNTA(FILTER($B30:AN30, ISNUMBER($B30:AN30)))),
IFERROR(
IF('Résultats des tournois'!AN30="""", INDEX(FILTER($C30:AN30, ISNUMBER($C30:AN30)), COUNTA(FILTE"&amp;"R($C30:AN30, ISNUMBER($C30:AN30)))),
lastVal + 'K dynamique'!AN30 * ((SQRT('Résultats des tournois'!AN$2 + 1)/'Résultats des tournois'!AN30) - (1 / (1 + 10^((AN$103 - lastVal)/400)))))
)
))"),"")</f>
        <v/>
      </c>
      <c r="AP30" s="32" t="str">
        <f>IFERROR(__xludf.DUMMYFUNCTION("IF('Résultats des tournois'!AO$2=0,"""",LET(
lastVal, INDEX(FILTER($B30:AO30, ISNUMBER($B30:AO30)), COUNTA(FILTER($B30:AO30, ISNUMBER($B30:AO30)))),
IFERROR(
IF('Résultats des tournois'!AO30="""", INDEX(FILTER($C30:AO30, ISNUMBER($C30:AO30)), COUNTA(FILTE"&amp;"R($C30:AO30, ISNUMBER($C30:AO30)))),
lastVal + 'K dynamique'!AO30 * ((SQRT('Résultats des tournois'!AO$2 + 1)/'Résultats des tournois'!AO30) - (1 / (1 + 10^((AO$103 - lastVal)/400)))))
)
))"),"")</f>
        <v/>
      </c>
      <c r="AQ30" s="32" t="str">
        <f>IFERROR(__xludf.DUMMYFUNCTION("IF('Résultats des tournois'!AP$2=0,"""",LET(
lastVal, INDEX(FILTER($B30:AP30, ISNUMBER($B30:AP30)), COUNTA(FILTER($B30:AP30, ISNUMBER($B30:AP30)))),
IFERROR(
IF('Résultats des tournois'!AP30="""", INDEX(FILTER($C30:AP30, ISNUMBER($C30:AP30)), COUNTA(FILTE"&amp;"R($C30:AP30, ISNUMBER($C30:AP30)))),
lastVal + 'K dynamique'!AP30 * ((SQRT('Résultats des tournois'!AP$2 + 1)/'Résultats des tournois'!AP30) - (1 / (1 + 10^((AP$103 - lastVal)/400)))))
)
))"),"")</f>
        <v/>
      </c>
      <c r="AR30" s="32" t="str">
        <f>IFERROR(__xludf.DUMMYFUNCTION("IF('Résultats des tournois'!AQ$2=0,"""",LET(
lastVal, INDEX(FILTER($B30:AQ30, ISNUMBER($B30:AQ30)), COUNTA(FILTER($B30:AQ30, ISNUMBER($B30:AQ30)))),
IFERROR(
IF('Résultats des tournois'!AQ30="""", INDEX(FILTER($C30:AQ30, ISNUMBER($C30:AQ30)), COUNTA(FILTE"&amp;"R($C30:AQ30, ISNUMBER($C30:AQ30)))),
lastVal + 'K dynamique'!AQ30 * ((SQRT('Résultats des tournois'!AQ$2 + 1)/'Résultats des tournois'!AQ30) - (1 / (1 + 10^((AQ$103 - lastVal)/400)))))
)
))"),"")</f>
        <v/>
      </c>
      <c r="AS30" s="32" t="str">
        <f>IFERROR(__xludf.DUMMYFUNCTION("IF('Résultats des tournois'!AR$2=0,"""",LET(
lastVal, INDEX(FILTER($B30:AR30, ISNUMBER($B30:AR30)), COUNTA(FILTER($B30:AR30, ISNUMBER($B30:AR30)))),
IFERROR(
IF('Résultats des tournois'!AR30="""", INDEX(FILTER($C30:AR30, ISNUMBER($C30:AR30)), COUNTA(FILTE"&amp;"R($C30:AR30, ISNUMBER($C30:AR30)))),
lastVal + 'K dynamique'!AR30 * ((SQRT('Résultats des tournois'!AR$2 + 1)/'Résultats des tournois'!AR30) - (1 / (1 + 10^((AR$103 - lastVal)/400)))))
)
))"),"")</f>
        <v/>
      </c>
      <c r="AT30" s="32" t="str">
        <f>IFERROR(__xludf.DUMMYFUNCTION("IF('Résultats des tournois'!AS$2=0,"""",LET(
lastVal, INDEX(FILTER($B30:AS30, ISNUMBER($B30:AS30)), COUNTA(FILTER($B30:AS30, ISNUMBER($B30:AS30)))),
IFERROR(
IF('Résultats des tournois'!AS30="""", INDEX(FILTER($C30:AS30, ISNUMBER($C30:AS30)), COUNTA(FILTE"&amp;"R($C30:AS30, ISNUMBER($C30:AS30)))),
lastVal + 'K dynamique'!AS30 * ((SQRT('Résultats des tournois'!AS$2 + 1)/'Résultats des tournois'!AS30) - (1 / (1 + 10^((AS$103 - lastVal)/400)))))
)
))"),"")</f>
        <v/>
      </c>
      <c r="AU30" s="32" t="str">
        <f>IFERROR(__xludf.DUMMYFUNCTION("IF('Résultats des tournois'!AT$2=0,"""",LET(
lastVal, INDEX(FILTER($B30:AT30, ISNUMBER($B30:AT30)), COUNTA(FILTER($B30:AT30, ISNUMBER($B30:AT30)))),
IFERROR(
IF('Résultats des tournois'!AT30="""", INDEX(FILTER($C30:AT30, ISNUMBER($C30:AT30)), COUNTA(FILTE"&amp;"R($C30:AT30, ISNUMBER($C30:AT30)))),
lastVal + 'K dynamique'!AT30 * ((SQRT('Résultats des tournois'!AT$2 + 1)/'Résultats des tournois'!AT30) - (1 / (1 + 10^((AT$103 - lastVal)/400)))))
)
))"),"")</f>
        <v/>
      </c>
      <c r="AV30" s="32" t="str">
        <f>IFERROR(__xludf.DUMMYFUNCTION("IF('Résultats des tournois'!AU$2=0,"""",LET(
lastVal, INDEX(FILTER($B30:AU30, ISNUMBER($B30:AU30)), COUNTA(FILTER($B30:AU30, ISNUMBER($B30:AU30)))),
IFERROR(
IF('Résultats des tournois'!AU30="""", INDEX(FILTER($C30:AU30, ISNUMBER($C30:AU30)), COUNTA(FILTE"&amp;"R($C30:AU30, ISNUMBER($C30:AU30)))),
lastVal + 'K dynamique'!AU30 * ((SQRT('Résultats des tournois'!AU$2 + 1)/'Résultats des tournois'!AU30) - (1 / (1 + 10^((AU$103 - lastVal)/400)))))
)
))"),"")</f>
        <v/>
      </c>
      <c r="AW30" s="32" t="str">
        <f>IFERROR(__xludf.DUMMYFUNCTION("IF('Résultats des tournois'!AV$2=0,"""",LET(
lastVal, INDEX(FILTER($B30:AV30, ISNUMBER($B30:AV30)), COUNTA(FILTER($B30:AV30, ISNUMBER($B30:AV30)))),
IFERROR(
IF('Résultats des tournois'!AV30="""", INDEX(FILTER($C30:AV30, ISNUMBER($C30:AV30)), COUNTA(FILTE"&amp;"R($C30:AV30, ISNUMBER($C30:AV30)))),
lastVal + 'K dynamique'!AV30 * ((SQRT('Résultats des tournois'!AV$2 + 1)/'Résultats des tournois'!AV30) - (1 / (1 + 10^((AV$103 - lastVal)/400)))))
)
))"),"")</f>
        <v/>
      </c>
      <c r="AX30" s="32" t="str">
        <f>IFERROR(__xludf.DUMMYFUNCTION("IF('Résultats des tournois'!AW$2=0,"""",LET(
lastVal, INDEX(FILTER($B30:AW30, ISNUMBER($B30:AW30)), COUNTA(FILTER($B30:AW30, ISNUMBER($B30:AW30)))),
IFERROR(
IF('Résultats des tournois'!AW30="""", INDEX(FILTER($C30:AW30, ISNUMBER($C30:AW30)), COUNTA(FILTE"&amp;"R($C30:AW30, ISNUMBER($C30:AW30)))),
lastVal + 'K dynamique'!AW30 * ((SQRT('Résultats des tournois'!AW$2 + 1)/'Résultats des tournois'!AW30) - (1 / (1 + 10^((AW$103 - lastVal)/400)))))
)
))"),"")</f>
        <v/>
      </c>
      <c r="AY30" s="32" t="str">
        <f>IFERROR(__xludf.DUMMYFUNCTION("IF('Résultats des tournois'!AX$2=0,"""",LET(
lastVal, INDEX(FILTER($B30:AX30, ISNUMBER($B30:AX30)), COUNTA(FILTER($B30:AX30, ISNUMBER($B30:AX30)))),
IFERROR(
IF('Résultats des tournois'!AX30="""", INDEX(FILTER($C30:AX30, ISNUMBER($C30:AX30)), COUNTA(FILTE"&amp;"R($C30:AX30, ISNUMBER($C30:AX30)))),
lastVal + 'K dynamique'!AX30 * ((SQRT('Résultats des tournois'!AX$2 + 1)/'Résultats des tournois'!AX30) - (1 / (1 + 10^((AX$103 - lastVal)/400)))))
)
))"),"")</f>
        <v/>
      </c>
      <c r="AZ30" s="4" t="str">
        <f t="array" ref="AZ30">IF(MAX(($C30:AY30&lt;&gt;"")*COLUMN($C30:AY30))=0,"",INDEX($C30:AY30,1,MAX(($C30:AY30&lt;&gt;"")*COLUMN($C30:AY30))-COLUMN($C30)+1))</f>
        <v/>
      </c>
      <c r="BA30" s="33" t="str">
        <f t="shared" si="1"/>
        <v/>
      </c>
    </row>
    <row r="31" ht="14.25" customHeight="1">
      <c r="A31" s="32" t="str">
        <f>IF('Résultats des tournois'!A31="","",'Résultats des tournois'!A31)</f>
        <v/>
      </c>
      <c r="B31" s="32">
        <v>1500.0</v>
      </c>
      <c r="C31" s="32" t="str">
        <f>IF('Résultats des tournois'!B31="","",B31+'K dynamique'!B31*((SQRT('Résultats des tournois'!B$2+1)/'Résultats des tournois'!B31)-(1/(1+10^((B31-B31)/400)))))</f>
        <v/>
      </c>
      <c r="D31" s="32" t="str">
        <f>IFERROR(__xludf.DUMMYFUNCTION("IF('Résultats des tournois'!C$2=0,"""",LET(
lastVal, INDEX(FILTER($B31:C31, ISNUMBER($B31:C31)), COUNTA(FILTER($B31:C31, ISNUMBER($B31:C31)))),
IFERROR(
IF('Résultats des tournois'!C31="""", INDEX(FILTER($C31:C31, ISNUMBER($C31:C31)), COUNTA(FILTER($C31:C"&amp;"31, ISNUMBER($C31:C31)))),
lastVal + 'K dynamique'!C31 * ((SQRT('Résultats des tournois'!C$2 + 1)/'Résultats des tournois'!C31) - (1 / (1 + 10^((C$103 - lastVal)/400)))))
)
))"),"")</f>
        <v/>
      </c>
      <c r="E31" s="32" t="str">
        <f>IFERROR(__xludf.DUMMYFUNCTION("IF('Résultats des tournois'!D$2=0,"""",LET(
lastVal, INDEX(FILTER($B31:D31, ISNUMBER($B31:D31)), COUNTA(FILTER($B31:D31, ISNUMBER($B31:D31)))),
IFERROR(
IF('Résultats des tournois'!D31="""", INDEX(FILTER($C31:D31, ISNUMBER($C31:D31)), COUNTA(FILTER($C31:D"&amp;"31, ISNUMBER($C31:D31)))),
lastVal + 'K dynamique'!D31 * ((SQRT('Résultats des tournois'!D$2 + 1)/'Résultats des tournois'!D31) - (1 / (1 + 10^((D$103 - lastVal)/400)))))
)
))"),"")</f>
        <v/>
      </c>
      <c r="F31" s="32" t="str">
        <f>IFERROR(__xludf.DUMMYFUNCTION("IF('Résultats des tournois'!E$2=0,"""",LET(
lastVal, INDEX(FILTER($B31:E31, ISNUMBER($B31:E31)), COUNTA(FILTER($B31:E31, ISNUMBER($B31:E31)))),
IFERROR(
IF('Résultats des tournois'!E31="""", INDEX(FILTER($C31:E31, ISNUMBER($C31:E31)), COUNTA(FILTER($C31:E"&amp;"31, ISNUMBER($C31:E31)))),
lastVal + 'K dynamique'!E31 * ((SQRT('Résultats des tournois'!E$2 + 1)/'Résultats des tournois'!E31) - (1 / (1 + 10^((E$103 - lastVal)/400)))))
)
))"),"")</f>
        <v/>
      </c>
      <c r="G31" s="32" t="str">
        <f>IFERROR(__xludf.DUMMYFUNCTION("IF('Résultats des tournois'!F$2=0,"""",LET(
lastVal, INDEX(FILTER($B31:F31, ISNUMBER($B31:F31)), COUNTA(FILTER($B31:F31, ISNUMBER($B31:F31)))),
IFERROR(
IF('Résultats des tournois'!F31="""", INDEX(FILTER($C31:F31, ISNUMBER($C31:F31)), COUNTA(FILTER($C31:F"&amp;"31, ISNUMBER($C31:F31)))),
lastVal + 'K dynamique'!F31 * ((SQRT('Résultats des tournois'!F$2 + 1)/'Résultats des tournois'!F31) - (1 / (1 + 10^((F$103 - lastVal)/400)))))
)
))"),"")</f>
        <v/>
      </c>
      <c r="H31" s="32" t="str">
        <f>IFERROR(__xludf.DUMMYFUNCTION("IF('Résultats des tournois'!G$2=0,"""",LET(
lastVal, INDEX(FILTER($B31:G31, ISNUMBER($B31:G31)), COUNTA(FILTER($B31:G31, ISNUMBER($B31:G31)))),
IFERROR(
IF('Résultats des tournois'!G31="""", INDEX(FILTER($C31:G31, ISNUMBER($C31:G31)), COUNTA(FILTER($C31:G"&amp;"31, ISNUMBER($C31:G31)))),
lastVal + 'K dynamique'!G31 * ((SQRT('Résultats des tournois'!G$2 + 1)/'Résultats des tournois'!G31) - (1 / (1 + 10^((G$103 - lastVal)/400)))))
)
))"),"")</f>
        <v/>
      </c>
      <c r="I31" s="32" t="str">
        <f>IFERROR(__xludf.DUMMYFUNCTION("IF('Résultats des tournois'!H$2=0,"""",LET(
lastVal, INDEX(FILTER($B31:H31, ISNUMBER($B31:H31)), COUNTA(FILTER($B31:H31, ISNUMBER($B31:H31)))),
IFERROR(
IF('Résultats des tournois'!H31="""", INDEX(FILTER($C31:H31, ISNUMBER($C31:H31)), COUNTA(FILTER($C31:H"&amp;"31, ISNUMBER($C31:H31)))),
lastVal + 'K dynamique'!H31 * ((SQRT('Résultats des tournois'!H$2 + 1)/'Résultats des tournois'!H31) - (1 / (1 + 10^((H$103 - lastVal)/400)))))
)
))"),"")</f>
        <v/>
      </c>
      <c r="J31" s="32" t="str">
        <f>IFERROR(__xludf.DUMMYFUNCTION("IF('Résultats des tournois'!I$2=0,"""",LET(
lastVal, INDEX(FILTER($B31:I31, ISNUMBER($B31:I31)), COUNTA(FILTER($B31:I31, ISNUMBER($B31:I31)))),
IFERROR(
IF('Résultats des tournois'!I31="""", INDEX(FILTER($C31:I31, ISNUMBER($C31:I31)), COUNTA(FILTER($C31:I"&amp;"31, ISNUMBER($C31:I31)))),
lastVal + 'K dynamique'!I31 * ((SQRT('Résultats des tournois'!I$2 + 1)/'Résultats des tournois'!I31) - (1 / (1 + 10^((I$103 - lastVal)/400)))))
)
))"),"")</f>
        <v/>
      </c>
      <c r="K31" s="32" t="str">
        <f>IFERROR(__xludf.DUMMYFUNCTION("IF('Résultats des tournois'!J$2=0,"""",LET(
lastVal, INDEX(FILTER($B31:J31, ISNUMBER($B31:J31)), COUNTA(FILTER($B31:J31, ISNUMBER($B31:J31)))),
IFERROR(
IF('Résultats des tournois'!J31="""", INDEX(FILTER($C31:J31, ISNUMBER($C31:J31)), COUNTA(FILTER($C31:J"&amp;"31, ISNUMBER($C31:J31)))),
lastVal + 'K dynamique'!J31 * ((SQRT('Résultats des tournois'!J$2 + 1)/'Résultats des tournois'!J31) - (1 / (1 + 10^((J$103 - lastVal)/400)))))
)
))"),"")</f>
        <v/>
      </c>
      <c r="L31" s="32" t="str">
        <f>IFERROR(__xludf.DUMMYFUNCTION("IF('Résultats des tournois'!K$2=0,"""",LET(
lastVal, INDEX(FILTER($B31:K31, ISNUMBER($B31:K31)), COUNTA(FILTER($B31:K31, ISNUMBER($B31:K31)))),
IFERROR(
IF('Résultats des tournois'!K31="""", INDEX(FILTER($C31:K31, ISNUMBER($C31:K31)), COUNTA(FILTER($C31:K"&amp;"31, ISNUMBER($C31:K31)))),
lastVal + 'K dynamique'!K31 * ((SQRT('Résultats des tournois'!K$2 + 1)/'Résultats des tournois'!K31) - (1 / (1 + 10^((K$103 - lastVal)/400)))))
)
))"),"")</f>
        <v/>
      </c>
      <c r="M31" s="32" t="str">
        <f>IFERROR(__xludf.DUMMYFUNCTION("IF('Résultats des tournois'!L$2=0,"""",LET(
lastVal, INDEX(FILTER($B31:L31, ISNUMBER($B31:L31)), COUNTA(FILTER($B31:L31, ISNUMBER($B31:L31)))),
IFERROR(
IF('Résultats des tournois'!L31="""", INDEX(FILTER($C31:L31, ISNUMBER($C31:L31)), COUNTA(FILTER($C31:L"&amp;"31, ISNUMBER($C31:L31)))),
lastVal + 'K dynamique'!L31 * ((SQRT('Résultats des tournois'!L$2 + 1)/'Résultats des tournois'!L31) - (1 / (1 + 10^((L$103 - lastVal)/400)))))
)
))"),"")</f>
        <v/>
      </c>
      <c r="N31" s="32" t="str">
        <f>IFERROR(__xludf.DUMMYFUNCTION("IF('Résultats des tournois'!M$2=0,"""",LET(
lastVal, INDEX(FILTER($B31:M31, ISNUMBER($B31:M31)), COUNTA(FILTER($B31:M31, ISNUMBER($B31:M31)))),
IFERROR(
IF('Résultats des tournois'!M31="""", INDEX(FILTER($C31:M31, ISNUMBER($C31:M31)), COUNTA(FILTER($C31:M"&amp;"31, ISNUMBER($C31:M31)))),
lastVal + 'K dynamique'!M31 * ((SQRT('Résultats des tournois'!M$2 + 1)/'Résultats des tournois'!M31) - (1 / (1 + 10^((M$103 - lastVal)/400)))))
)
))"),"")</f>
        <v/>
      </c>
      <c r="O31" s="32" t="str">
        <f>IFERROR(__xludf.DUMMYFUNCTION("IF('Résultats des tournois'!N$2=0,"""",LET(
lastVal, INDEX(FILTER($B31:N31, ISNUMBER($B31:N31)), COUNTA(FILTER($B31:N31, ISNUMBER($B31:N31)))),
IFERROR(
IF('Résultats des tournois'!N31="""", INDEX(FILTER($C31:N31, ISNUMBER($C31:N31)), COUNTA(FILTER($C31:N"&amp;"31, ISNUMBER($C31:N31)))),
lastVal + 'K dynamique'!N31 * ((SQRT('Résultats des tournois'!N$2 + 1)/'Résultats des tournois'!N31) - (1 / (1 + 10^((N$103 - lastVal)/400)))))
)
))"),"")</f>
        <v/>
      </c>
      <c r="P31" s="32" t="str">
        <f>IFERROR(__xludf.DUMMYFUNCTION("IF('Résultats des tournois'!O$2=0,"""",LET(
lastVal, INDEX(FILTER($B31:O31, ISNUMBER($B31:O31)), COUNTA(FILTER($B31:O31, ISNUMBER($B31:O31)))),
IFERROR(
IF('Résultats des tournois'!O31="""", INDEX(FILTER($C31:O31, ISNUMBER($C31:O31)), COUNTA(FILTER($C31:O"&amp;"31, ISNUMBER($C31:O31)))),
lastVal + 'K dynamique'!O31 * ((SQRT('Résultats des tournois'!O$2 + 1)/'Résultats des tournois'!O31) - (1 / (1 + 10^((O$103 - lastVal)/400)))))
)
))"),"")</f>
        <v/>
      </c>
      <c r="Q31" s="32" t="str">
        <f>IFERROR(__xludf.DUMMYFUNCTION("IF('Résultats des tournois'!P$2=0,"""",LET(
lastVal, INDEX(FILTER($B31:P31, ISNUMBER($B31:P31)), COUNTA(FILTER($B31:P31, ISNUMBER($B31:P31)))),
IFERROR(
IF('Résultats des tournois'!P31="""", INDEX(FILTER($C31:P31, ISNUMBER($C31:P31)), COUNTA(FILTER($C31:P"&amp;"31, ISNUMBER($C31:P31)))),
lastVal + 'K dynamique'!P31 * ((SQRT('Résultats des tournois'!P$2 + 1)/'Résultats des tournois'!P31) - (1 / (1 + 10^((P$103 - lastVal)/400)))))
)
))"),"")</f>
        <v/>
      </c>
      <c r="R31" s="32" t="str">
        <f>IFERROR(__xludf.DUMMYFUNCTION("IF('Résultats des tournois'!Q$2=0,"""",LET(
lastVal, INDEX(FILTER($B31:Q31, ISNUMBER($B31:Q31)), COUNTA(FILTER($B31:Q31, ISNUMBER($B31:Q31)))),
IFERROR(
IF('Résultats des tournois'!Q31="""", INDEX(FILTER($C31:Q31, ISNUMBER($C31:Q31)), COUNTA(FILTER($C31:Q"&amp;"31, ISNUMBER($C31:Q31)))),
lastVal + 'K dynamique'!Q31 * ((SQRT('Résultats des tournois'!Q$2 + 1)/'Résultats des tournois'!Q31) - (1 / (1 + 10^((Q$103 - lastVal)/400)))))
)
))"),"")</f>
        <v/>
      </c>
      <c r="S31" s="32" t="str">
        <f>IFERROR(__xludf.DUMMYFUNCTION("IF('Résultats des tournois'!R$2=0,"""",LET(
lastVal, INDEX(FILTER($B31:R31, ISNUMBER($B31:R31)), COUNTA(FILTER($B31:R31, ISNUMBER($B31:R31)))),
IFERROR(
IF('Résultats des tournois'!R31="""", INDEX(FILTER($C31:R31, ISNUMBER($C31:R31)), COUNTA(FILTER($C31:R"&amp;"31, ISNUMBER($C31:R31)))),
lastVal + 'K dynamique'!R31 * ((SQRT('Résultats des tournois'!R$2 + 1)/'Résultats des tournois'!R31) - (1 / (1 + 10^((R$103 - lastVal)/400)))))
)
))"),"")</f>
        <v/>
      </c>
      <c r="T31" s="32" t="str">
        <f>IFERROR(__xludf.DUMMYFUNCTION("IF('Résultats des tournois'!S$2=0,"""",LET(
lastVal, INDEX(FILTER($B31:S31, ISNUMBER($B31:S31)), COUNTA(FILTER($B31:S31, ISNUMBER($B31:S31)))),
IFERROR(
IF('Résultats des tournois'!S31="""", INDEX(FILTER($C31:S31, ISNUMBER($C31:S31)), COUNTA(FILTER($C31:S"&amp;"31, ISNUMBER($C31:S31)))),
lastVal + 'K dynamique'!S31 * ((SQRT('Résultats des tournois'!S$2 + 1)/'Résultats des tournois'!S31) - (1 / (1 + 10^((S$103 - lastVal)/400)))))
)
))"),"")</f>
        <v/>
      </c>
      <c r="U31" s="32" t="str">
        <f>IFERROR(__xludf.DUMMYFUNCTION("IF('Résultats des tournois'!T$2=0,"""",LET(
lastVal, INDEX(FILTER($B31:T31, ISNUMBER($B31:T31)), COUNTA(FILTER($B31:T31, ISNUMBER($B31:T31)))),
IFERROR(
IF('Résultats des tournois'!T31="""", INDEX(FILTER($C31:T31, ISNUMBER($C31:T31)), COUNTA(FILTER($C31:T"&amp;"31, ISNUMBER($C31:T31)))),
lastVal + 'K dynamique'!T31 * ((SQRT('Résultats des tournois'!T$2 + 1)/'Résultats des tournois'!T31) - (1 / (1 + 10^((T$103 - lastVal)/400)))))
)
))"),"")</f>
        <v/>
      </c>
      <c r="V31" s="32" t="str">
        <f>IFERROR(__xludf.DUMMYFUNCTION("IF('Résultats des tournois'!U$2=0,"""",LET(
lastVal, INDEX(FILTER($B31:U31, ISNUMBER($B31:U31)), COUNTA(FILTER($B31:U31, ISNUMBER($B31:U31)))),
IFERROR(
IF('Résultats des tournois'!U31="""", INDEX(FILTER($C31:U31, ISNUMBER($C31:U31)), COUNTA(FILTER($C31:U"&amp;"31, ISNUMBER($C31:U31)))),
lastVal + 'K dynamique'!U31 * ((SQRT('Résultats des tournois'!U$2 + 1)/'Résultats des tournois'!U31) - (1 / (1 + 10^((U$103 - lastVal)/400)))))
)
))"),"")</f>
        <v/>
      </c>
      <c r="W31" s="32" t="str">
        <f>IFERROR(__xludf.DUMMYFUNCTION("IF('Résultats des tournois'!V$2=0,"""",LET(
lastVal, INDEX(FILTER($B31:V31, ISNUMBER($B31:V31)), COUNTA(FILTER($B31:V31, ISNUMBER($B31:V31)))),
IFERROR(
IF('Résultats des tournois'!V31="""", INDEX(FILTER($C31:V31, ISNUMBER($C31:V31)), COUNTA(FILTER($C31:V"&amp;"31, ISNUMBER($C31:V31)))),
lastVal + 'K dynamique'!V31 * ((SQRT('Résultats des tournois'!V$2 + 1)/'Résultats des tournois'!V31) - (1 / (1 + 10^((V$103 - lastVal)/400)))))
)
))"),"")</f>
        <v/>
      </c>
      <c r="X31" s="32" t="str">
        <f>IFERROR(__xludf.DUMMYFUNCTION("IF('Résultats des tournois'!W$2=0,"""",LET(
lastVal, INDEX(FILTER($B31:W31, ISNUMBER($B31:W31)), COUNTA(FILTER($B31:W31, ISNUMBER($B31:W31)))),
IFERROR(
IF('Résultats des tournois'!W31="""", INDEX(FILTER($C31:W31, ISNUMBER($C31:W31)), COUNTA(FILTER($C31:W"&amp;"31, ISNUMBER($C31:W31)))),
lastVal + 'K dynamique'!W31 * ((SQRT('Résultats des tournois'!W$2 + 1)/'Résultats des tournois'!W31) - (1 / (1 + 10^((W$103 - lastVal)/400)))))
)
))"),"")</f>
        <v/>
      </c>
      <c r="Y31" s="32" t="str">
        <f>IFERROR(__xludf.DUMMYFUNCTION("IF('Résultats des tournois'!X$2=0,"""",LET(
lastVal, INDEX(FILTER($B31:X31, ISNUMBER($B31:X31)), COUNTA(FILTER($B31:X31, ISNUMBER($B31:X31)))),
IFERROR(
IF('Résultats des tournois'!X31="""", INDEX(FILTER($C31:X31, ISNUMBER($C31:X31)), COUNTA(FILTER($C31:X"&amp;"31, ISNUMBER($C31:X31)))),
lastVal + 'K dynamique'!X31 * ((SQRT('Résultats des tournois'!X$2 + 1)/'Résultats des tournois'!X31) - (1 / (1 + 10^((X$103 - lastVal)/400)))))
)
))"),"")</f>
        <v/>
      </c>
      <c r="Z31" s="32" t="str">
        <f>IFERROR(__xludf.DUMMYFUNCTION("IF('Résultats des tournois'!Y$2=0,"""",LET(
lastVal, INDEX(FILTER($B31:Y31, ISNUMBER($B31:Y31)), COUNTA(FILTER($B31:Y31, ISNUMBER($B31:Y31)))),
IFERROR(
IF('Résultats des tournois'!Y31="""", INDEX(FILTER($C31:Y31, ISNUMBER($C31:Y31)), COUNTA(FILTER($C31:Y"&amp;"31, ISNUMBER($C31:Y31)))),
lastVal + 'K dynamique'!Y31 * ((SQRT('Résultats des tournois'!Y$2 + 1)/'Résultats des tournois'!Y31) - (1 / (1 + 10^((Y$103 - lastVal)/400)))))
)
))"),"")</f>
        <v/>
      </c>
      <c r="AA31" s="32" t="str">
        <f>IFERROR(__xludf.DUMMYFUNCTION("IF('Résultats des tournois'!Z$2=0,"""",LET(
lastVal, INDEX(FILTER($B31:Z31, ISNUMBER($B31:Z31)), COUNTA(FILTER($B31:Z31, ISNUMBER($B31:Z31)))),
IFERROR(
IF('Résultats des tournois'!Z31="""", INDEX(FILTER($C31:Z31, ISNUMBER($C31:Z31)), COUNTA(FILTER($C31:Z"&amp;"31, ISNUMBER($C31:Z31)))),
lastVal + 'K dynamique'!Z31 * ((SQRT('Résultats des tournois'!Z$2 + 1)/'Résultats des tournois'!Z31) - (1 / (1 + 10^((Z$103 - lastVal)/400)))))
)
))"),"")</f>
        <v/>
      </c>
      <c r="AB31" s="32" t="str">
        <f>IFERROR(__xludf.DUMMYFUNCTION("IF('Résultats des tournois'!AA$2=0,"""",LET(
lastVal, INDEX(FILTER($B31:AA31, ISNUMBER($B31:AA31)), COUNTA(FILTER($B31:AA31, ISNUMBER($B31:AA31)))),
IFERROR(
IF('Résultats des tournois'!AA31="""", INDEX(FILTER($C31:AA31, ISNUMBER($C31:AA31)), COUNTA(FILTE"&amp;"R($C31:AA31, ISNUMBER($C31:AA31)))),
lastVal + 'K dynamique'!AA31 * ((SQRT('Résultats des tournois'!AA$2 + 1)/'Résultats des tournois'!AA31) - (1 / (1 + 10^((AA$103 - lastVal)/400)))))
)
))"),"")</f>
        <v/>
      </c>
      <c r="AC31" s="32" t="str">
        <f>IFERROR(__xludf.DUMMYFUNCTION("IF('Résultats des tournois'!AB$2=0,"""",LET(
lastVal, INDEX(FILTER($B31:AB31, ISNUMBER($B31:AB31)), COUNTA(FILTER($B31:AB31, ISNUMBER($B31:AB31)))),
IFERROR(
IF('Résultats des tournois'!AB31="""", INDEX(FILTER($C31:AB31, ISNUMBER($C31:AB31)), COUNTA(FILTE"&amp;"R($C31:AB31, ISNUMBER($C31:AB31)))),
lastVal + 'K dynamique'!AB31 * ((SQRT('Résultats des tournois'!AB$2 + 1)/'Résultats des tournois'!AB31) - (1 / (1 + 10^((AB$103 - lastVal)/400)))))
)
))"),"")</f>
        <v/>
      </c>
      <c r="AD31" s="32" t="str">
        <f>IFERROR(__xludf.DUMMYFUNCTION("IF('Résultats des tournois'!AC$2=0,"""",LET(
lastVal, INDEX(FILTER($B31:AC31, ISNUMBER($B31:AC31)), COUNTA(FILTER($B31:AC31, ISNUMBER($B31:AC31)))),
IFERROR(
IF('Résultats des tournois'!AC31="""", INDEX(FILTER($C31:AC31, ISNUMBER($C31:AC31)), COUNTA(FILTE"&amp;"R($C31:AC31, ISNUMBER($C31:AC31)))),
lastVal + 'K dynamique'!AC31 * ((SQRT('Résultats des tournois'!AC$2 + 1)/'Résultats des tournois'!AC31) - (1 / (1 + 10^((AC$103 - lastVal)/400)))))
)
))"),"")</f>
        <v/>
      </c>
      <c r="AE31" s="32" t="str">
        <f>IFERROR(__xludf.DUMMYFUNCTION("IF('Résultats des tournois'!AD$2=0,"""",LET(
lastVal, INDEX(FILTER($B31:AD31, ISNUMBER($B31:AD31)), COUNTA(FILTER($B31:AD31, ISNUMBER($B31:AD31)))),
IFERROR(
IF('Résultats des tournois'!AD31="""", INDEX(FILTER($C31:AD31, ISNUMBER($C31:AD31)), COUNTA(FILTE"&amp;"R($C31:AD31, ISNUMBER($C31:AD31)))),
lastVal + 'K dynamique'!AD31 * ((SQRT('Résultats des tournois'!AD$2 + 1)/'Résultats des tournois'!AD31) - (1 / (1 + 10^((AD$103 - lastVal)/400)))))
)
))"),"")</f>
        <v/>
      </c>
      <c r="AF31" s="32" t="str">
        <f>IFERROR(__xludf.DUMMYFUNCTION("IF('Résultats des tournois'!AE$2=0,"""",LET(
lastVal, INDEX(FILTER($B31:AE31, ISNUMBER($B31:AE31)), COUNTA(FILTER($B31:AE31, ISNUMBER($B31:AE31)))),
IFERROR(
IF('Résultats des tournois'!AE31="""", INDEX(FILTER($C31:AE31, ISNUMBER($C31:AE31)), COUNTA(FILTE"&amp;"R($C31:AE31, ISNUMBER($C31:AE31)))),
lastVal + 'K dynamique'!AE31 * ((SQRT('Résultats des tournois'!AE$2 + 1)/'Résultats des tournois'!AE31) - (1 / (1 + 10^((AE$103 - lastVal)/400)))))
)
))"),"")</f>
        <v/>
      </c>
      <c r="AG31" s="32" t="str">
        <f>IFERROR(__xludf.DUMMYFUNCTION("IF('Résultats des tournois'!AF$2=0,"""",LET(
lastVal, INDEX(FILTER($B31:AF31, ISNUMBER($B31:AF31)), COUNTA(FILTER($B31:AF31, ISNUMBER($B31:AF31)))),
IFERROR(
IF('Résultats des tournois'!AF31="""", INDEX(FILTER($C31:AF31, ISNUMBER($C31:AF31)), COUNTA(FILTE"&amp;"R($C31:AF31, ISNUMBER($C31:AF31)))),
lastVal + 'K dynamique'!AF31 * ((SQRT('Résultats des tournois'!AF$2 + 1)/'Résultats des tournois'!AF31) - (1 / (1 + 10^((AF$103 - lastVal)/400)))))
)
))"),"")</f>
        <v/>
      </c>
      <c r="AH31" s="32" t="str">
        <f>IFERROR(__xludf.DUMMYFUNCTION("IF('Résultats des tournois'!AG$2=0,"""",LET(
lastVal, INDEX(FILTER($B31:AG31, ISNUMBER($B31:AG31)), COUNTA(FILTER($B31:AG31, ISNUMBER($B31:AG31)))),
IFERROR(
IF('Résultats des tournois'!AG31="""", INDEX(FILTER($C31:AG31, ISNUMBER($C31:AG31)), COUNTA(FILTE"&amp;"R($C31:AG31, ISNUMBER($C31:AG31)))),
lastVal + 'K dynamique'!AG31 * ((SQRT('Résultats des tournois'!AG$2 + 1)/'Résultats des tournois'!AG31) - (1 / (1 + 10^((AG$103 - lastVal)/400)))))
)
))"),"")</f>
        <v/>
      </c>
      <c r="AI31" s="32" t="str">
        <f>IFERROR(__xludf.DUMMYFUNCTION("IF('Résultats des tournois'!AH$2=0,"""",LET(
lastVal, INDEX(FILTER($B31:AH31, ISNUMBER($B31:AH31)), COUNTA(FILTER($B31:AH31, ISNUMBER($B31:AH31)))),
IFERROR(
IF('Résultats des tournois'!AH31="""", INDEX(FILTER($C31:AH31, ISNUMBER($C31:AH31)), COUNTA(FILTE"&amp;"R($C31:AH31, ISNUMBER($C31:AH31)))),
lastVal + 'K dynamique'!AH31 * ((SQRT('Résultats des tournois'!AH$2 + 1)/'Résultats des tournois'!AH31) - (1 / (1 + 10^((AH$103 - lastVal)/400)))))
)
))"),"")</f>
        <v/>
      </c>
      <c r="AJ31" s="32" t="str">
        <f>IFERROR(__xludf.DUMMYFUNCTION("IF('Résultats des tournois'!AI$2=0,"""",LET(
lastVal, INDEX(FILTER($B31:AI31, ISNUMBER($B31:AI31)), COUNTA(FILTER($B31:AI31, ISNUMBER($B31:AI31)))),
IFERROR(
IF('Résultats des tournois'!AI31="""", INDEX(FILTER($C31:AI31, ISNUMBER($C31:AI31)), COUNTA(FILTE"&amp;"R($C31:AI31, ISNUMBER($C31:AI31)))),
lastVal + 'K dynamique'!AI31 * ((SQRT('Résultats des tournois'!AI$2 + 1)/'Résultats des tournois'!AI31) - (1 / (1 + 10^((AI$103 - lastVal)/400)))))
)
))"),"")</f>
        <v/>
      </c>
      <c r="AK31" s="32" t="str">
        <f>IFERROR(__xludf.DUMMYFUNCTION("IF('Résultats des tournois'!AJ$2=0,"""",LET(
lastVal, INDEX(FILTER($B31:AJ31, ISNUMBER($B31:AJ31)), COUNTA(FILTER($B31:AJ31, ISNUMBER($B31:AJ31)))),
IFERROR(
IF('Résultats des tournois'!AJ31="""", INDEX(FILTER($C31:AJ31, ISNUMBER($C31:AJ31)), COUNTA(FILTE"&amp;"R($C31:AJ31, ISNUMBER($C31:AJ31)))),
lastVal + 'K dynamique'!AJ31 * ((SQRT('Résultats des tournois'!AJ$2 + 1)/'Résultats des tournois'!AJ31) - (1 / (1 + 10^((AJ$103 - lastVal)/400)))))
)
))"),"")</f>
        <v/>
      </c>
      <c r="AL31" s="32" t="str">
        <f>IFERROR(__xludf.DUMMYFUNCTION("IF('Résultats des tournois'!AK$2=0,"""",LET(
lastVal, INDEX(FILTER($B31:AK31, ISNUMBER($B31:AK31)), COUNTA(FILTER($B31:AK31, ISNUMBER($B31:AK31)))),
IFERROR(
IF('Résultats des tournois'!AK31="""", INDEX(FILTER($C31:AK31, ISNUMBER($C31:AK31)), COUNTA(FILTE"&amp;"R($C31:AK31, ISNUMBER($C31:AK31)))),
lastVal + 'K dynamique'!AK31 * ((SQRT('Résultats des tournois'!AK$2 + 1)/'Résultats des tournois'!AK31) - (1 / (1 + 10^((AK$103 - lastVal)/400)))))
)
))"),"")</f>
        <v/>
      </c>
      <c r="AM31" s="32" t="str">
        <f>IFERROR(__xludf.DUMMYFUNCTION("IF('Résultats des tournois'!AL$2=0,"""",LET(
lastVal, INDEX(FILTER($B31:AL31, ISNUMBER($B31:AL31)), COUNTA(FILTER($B31:AL31, ISNUMBER($B31:AL31)))),
IFERROR(
IF('Résultats des tournois'!AL31="""", INDEX(FILTER($C31:AL31, ISNUMBER($C31:AL31)), COUNTA(FILTE"&amp;"R($C31:AL31, ISNUMBER($C31:AL31)))),
lastVal + 'K dynamique'!AL31 * ((SQRT('Résultats des tournois'!AL$2 + 1)/'Résultats des tournois'!AL31) - (1 / (1 + 10^((AL$103 - lastVal)/400)))))
)
))"),"")</f>
        <v/>
      </c>
      <c r="AN31" s="32" t="str">
        <f>IFERROR(__xludf.DUMMYFUNCTION("IF('Résultats des tournois'!AM$2=0,"""",LET(
lastVal, INDEX(FILTER($B31:AM31, ISNUMBER($B31:AM31)), COUNTA(FILTER($B31:AM31, ISNUMBER($B31:AM31)))),
IFERROR(
IF('Résultats des tournois'!AM31="""", INDEX(FILTER($C31:AM31, ISNUMBER($C31:AM31)), COUNTA(FILTE"&amp;"R($C31:AM31, ISNUMBER($C31:AM31)))),
lastVal + 'K dynamique'!AM31 * ((SQRT('Résultats des tournois'!AM$2 + 1)/'Résultats des tournois'!AM31) - (1 / (1 + 10^((AM$103 - lastVal)/400)))))
)
))"),"")</f>
        <v/>
      </c>
      <c r="AO31" s="32" t="str">
        <f>IFERROR(__xludf.DUMMYFUNCTION("IF('Résultats des tournois'!AN$2=0,"""",LET(
lastVal, INDEX(FILTER($B31:AN31, ISNUMBER($B31:AN31)), COUNTA(FILTER($B31:AN31, ISNUMBER($B31:AN31)))),
IFERROR(
IF('Résultats des tournois'!AN31="""", INDEX(FILTER($C31:AN31, ISNUMBER($C31:AN31)), COUNTA(FILTE"&amp;"R($C31:AN31, ISNUMBER($C31:AN31)))),
lastVal + 'K dynamique'!AN31 * ((SQRT('Résultats des tournois'!AN$2 + 1)/'Résultats des tournois'!AN31) - (1 / (1 + 10^((AN$103 - lastVal)/400)))))
)
))"),"")</f>
        <v/>
      </c>
      <c r="AP31" s="32" t="str">
        <f>IFERROR(__xludf.DUMMYFUNCTION("IF('Résultats des tournois'!AO$2=0,"""",LET(
lastVal, INDEX(FILTER($B31:AO31, ISNUMBER($B31:AO31)), COUNTA(FILTER($B31:AO31, ISNUMBER($B31:AO31)))),
IFERROR(
IF('Résultats des tournois'!AO31="""", INDEX(FILTER($C31:AO31, ISNUMBER($C31:AO31)), COUNTA(FILTE"&amp;"R($C31:AO31, ISNUMBER($C31:AO31)))),
lastVal + 'K dynamique'!AO31 * ((SQRT('Résultats des tournois'!AO$2 + 1)/'Résultats des tournois'!AO31) - (1 / (1 + 10^((AO$103 - lastVal)/400)))))
)
))"),"")</f>
        <v/>
      </c>
      <c r="AQ31" s="32" t="str">
        <f>IFERROR(__xludf.DUMMYFUNCTION("IF('Résultats des tournois'!AP$2=0,"""",LET(
lastVal, INDEX(FILTER($B31:AP31, ISNUMBER($B31:AP31)), COUNTA(FILTER($B31:AP31, ISNUMBER($B31:AP31)))),
IFERROR(
IF('Résultats des tournois'!AP31="""", INDEX(FILTER($C31:AP31, ISNUMBER($C31:AP31)), COUNTA(FILTE"&amp;"R($C31:AP31, ISNUMBER($C31:AP31)))),
lastVal + 'K dynamique'!AP31 * ((SQRT('Résultats des tournois'!AP$2 + 1)/'Résultats des tournois'!AP31) - (1 / (1 + 10^((AP$103 - lastVal)/400)))))
)
))"),"")</f>
        <v/>
      </c>
      <c r="AR31" s="32" t="str">
        <f>IFERROR(__xludf.DUMMYFUNCTION("IF('Résultats des tournois'!AQ$2=0,"""",LET(
lastVal, INDEX(FILTER($B31:AQ31, ISNUMBER($B31:AQ31)), COUNTA(FILTER($B31:AQ31, ISNUMBER($B31:AQ31)))),
IFERROR(
IF('Résultats des tournois'!AQ31="""", INDEX(FILTER($C31:AQ31, ISNUMBER($C31:AQ31)), COUNTA(FILTE"&amp;"R($C31:AQ31, ISNUMBER($C31:AQ31)))),
lastVal + 'K dynamique'!AQ31 * ((SQRT('Résultats des tournois'!AQ$2 + 1)/'Résultats des tournois'!AQ31) - (1 / (1 + 10^((AQ$103 - lastVal)/400)))))
)
))"),"")</f>
        <v/>
      </c>
      <c r="AS31" s="32" t="str">
        <f>IFERROR(__xludf.DUMMYFUNCTION("IF('Résultats des tournois'!AR$2=0,"""",LET(
lastVal, INDEX(FILTER($B31:AR31, ISNUMBER($B31:AR31)), COUNTA(FILTER($B31:AR31, ISNUMBER($B31:AR31)))),
IFERROR(
IF('Résultats des tournois'!AR31="""", INDEX(FILTER($C31:AR31, ISNUMBER($C31:AR31)), COUNTA(FILTE"&amp;"R($C31:AR31, ISNUMBER($C31:AR31)))),
lastVal + 'K dynamique'!AR31 * ((SQRT('Résultats des tournois'!AR$2 + 1)/'Résultats des tournois'!AR31) - (1 / (1 + 10^((AR$103 - lastVal)/400)))))
)
))"),"")</f>
        <v/>
      </c>
      <c r="AT31" s="32" t="str">
        <f>IFERROR(__xludf.DUMMYFUNCTION("IF('Résultats des tournois'!AS$2=0,"""",LET(
lastVal, INDEX(FILTER($B31:AS31, ISNUMBER($B31:AS31)), COUNTA(FILTER($B31:AS31, ISNUMBER($B31:AS31)))),
IFERROR(
IF('Résultats des tournois'!AS31="""", INDEX(FILTER($C31:AS31, ISNUMBER($C31:AS31)), COUNTA(FILTE"&amp;"R($C31:AS31, ISNUMBER($C31:AS31)))),
lastVal + 'K dynamique'!AS31 * ((SQRT('Résultats des tournois'!AS$2 + 1)/'Résultats des tournois'!AS31) - (1 / (1 + 10^((AS$103 - lastVal)/400)))))
)
))"),"")</f>
        <v/>
      </c>
      <c r="AU31" s="32" t="str">
        <f>IFERROR(__xludf.DUMMYFUNCTION("IF('Résultats des tournois'!AT$2=0,"""",LET(
lastVal, INDEX(FILTER($B31:AT31, ISNUMBER($B31:AT31)), COUNTA(FILTER($B31:AT31, ISNUMBER($B31:AT31)))),
IFERROR(
IF('Résultats des tournois'!AT31="""", INDEX(FILTER($C31:AT31, ISNUMBER($C31:AT31)), COUNTA(FILTE"&amp;"R($C31:AT31, ISNUMBER($C31:AT31)))),
lastVal + 'K dynamique'!AT31 * ((SQRT('Résultats des tournois'!AT$2 + 1)/'Résultats des tournois'!AT31) - (1 / (1 + 10^((AT$103 - lastVal)/400)))))
)
))"),"")</f>
        <v/>
      </c>
      <c r="AV31" s="32" t="str">
        <f>IFERROR(__xludf.DUMMYFUNCTION("IF('Résultats des tournois'!AU$2=0,"""",LET(
lastVal, INDEX(FILTER($B31:AU31, ISNUMBER($B31:AU31)), COUNTA(FILTER($B31:AU31, ISNUMBER($B31:AU31)))),
IFERROR(
IF('Résultats des tournois'!AU31="""", INDEX(FILTER($C31:AU31, ISNUMBER($C31:AU31)), COUNTA(FILTE"&amp;"R($C31:AU31, ISNUMBER($C31:AU31)))),
lastVal + 'K dynamique'!AU31 * ((SQRT('Résultats des tournois'!AU$2 + 1)/'Résultats des tournois'!AU31) - (1 / (1 + 10^((AU$103 - lastVal)/400)))))
)
))"),"")</f>
        <v/>
      </c>
      <c r="AW31" s="32" t="str">
        <f>IFERROR(__xludf.DUMMYFUNCTION("IF('Résultats des tournois'!AV$2=0,"""",LET(
lastVal, INDEX(FILTER($B31:AV31, ISNUMBER($B31:AV31)), COUNTA(FILTER($B31:AV31, ISNUMBER($B31:AV31)))),
IFERROR(
IF('Résultats des tournois'!AV31="""", INDEX(FILTER($C31:AV31, ISNUMBER($C31:AV31)), COUNTA(FILTE"&amp;"R($C31:AV31, ISNUMBER($C31:AV31)))),
lastVal + 'K dynamique'!AV31 * ((SQRT('Résultats des tournois'!AV$2 + 1)/'Résultats des tournois'!AV31) - (1 / (1 + 10^((AV$103 - lastVal)/400)))))
)
))"),"")</f>
        <v/>
      </c>
      <c r="AX31" s="32" t="str">
        <f>IFERROR(__xludf.DUMMYFUNCTION("IF('Résultats des tournois'!AW$2=0,"""",LET(
lastVal, INDEX(FILTER($B31:AW31, ISNUMBER($B31:AW31)), COUNTA(FILTER($B31:AW31, ISNUMBER($B31:AW31)))),
IFERROR(
IF('Résultats des tournois'!AW31="""", INDEX(FILTER($C31:AW31, ISNUMBER($C31:AW31)), COUNTA(FILTE"&amp;"R($C31:AW31, ISNUMBER($C31:AW31)))),
lastVal + 'K dynamique'!AW31 * ((SQRT('Résultats des tournois'!AW$2 + 1)/'Résultats des tournois'!AW31) - (1 / (1 + 10^((AW$103 - lastVal)/400)))))
)
))"),"")</f>
        <v/>
      </c>
      <c r="AY31" s="32" t="str">
        <f>IFERROR(__xludf.DUMMYFUNCTION("IF('Résultats des tournois'!AX$2=0,"""",LET(
lastVal, INDEX(FILTER($B31:AX31, ISNUMBER($B31:AX31)), COUNTA(FILTER($B31:AX31, ISNUMBER($B31:AX31)))),
IFERROR(
IF('Résultats des tournois'!AX31="""", INDEX(FILTER($C31:AX31, ISNUMBER($C31:AX31)), COUNTA(FILTE"&amp;"R($C31:AX31, ISNUMBER($C31:AX31)))),
lastVal + 'K dynamique'!AX31 * ((SQRT('Résultats des tournois'!AX$2 + 1)/'Résultats des tournois'!AX31) - (1 / (1 + 10^((AX$103 - lastVal)/400)))))
)
))"),"")</f>
        <v/>
      </c>
      <c r="AZ31" s="4" t="str">
        <f t="array" ref="AZ31">IF(MAX(($C31:AY31&lt;&gt;"")*COLUMN($C31:AY31))=0,"",INDEX($C31:AY31,1,MAX(($C31:AY31&lt;&gt;"")*COLUMN($C31:AY31))-COLUMN($C31)+1))</f>
        <v/>
      </c>
      <c r="BA31" s="33" t="str">
        <f t="shared" si="1"/>
        <v/>
      </c>
    </row>
    <row r="32" ht="14.25" customHeight="1">
      <c r="A32" s="32" t="str">
        <f>IF('Résultats des tournois'!A32="","",'Résultats des tournois'!A32)</f>
        <v/>
      </c>
      <c r="B32" s="32">
        <v>1500.0</v>
      </c>
      <c r="C32" s="32" t="str">
        <f>IF('Résultats des tournois'!B32="","",B32+'K dynamique'!B32*((SQRT('Résultats des tournois'!B$2+1)/'Résultats des tournois'!B32)-(1/(1+10^((B32-B32)/400)))))</f>
        <v/>
      </c>
      <c r="D32" s="32" t="str">
        <f>IFERROR(__xludf.DUMMYFUNCTION("IF('Résultats des tournois'!C$2=0,"""",LET(
lastVal, INDEX(FILTER($B32:C32, ISNUMBER($B32:C32)), COUNTA(FILTER($B32:C32, ISNUMBER($B32:C32)))),
IFERROR(
IF('Résultats des tournois'!C32="""", INDEX(FILTER($C32:C32, ISNUMBER($C32:C32)), COUNTA(FILTER($C32:C"&amp;"32, ISNUMBER($C32:C32)))),
lastVal + 'K dynamique'!C32 * ((SQRT('Résultats des tournois'!C$2 + 1)/'Résultats des tournois'!C32) - (1 / (1 + 10^((C$103 - lastVal)/400)))))
)
))"),"")</f>
        <v/>
      </c>
      <c r="E32" s="32" t="str">
        <f>IFERROR(__xludf.DUMMYFUNCTION("IF('Résultats des tournois'!D$2=0,"""",LET(
lastVal, INDEX(FILTER($B32:D32, ISNUMBER($B32:D32)), COUNTA(FILTER($B32:D32, ISNUMBER($B32:D32)))),
IFERROR(
IF('Résultats des tournois'!D32="""", INDEX(FILTER($C32:D32, ISNUMBER($C32:D32)), COUNTA(FILTER($C32:D"&amp;"32, ISNUMBER($C32:D32)))),
lastVal + 'K dynamique'!D32 * ((SQRT('Résultats des tournois'!D$2 + 1)/'Résultats des tournois'!D32) - (1 / (1 + 10^((D$103 - lastVal)/400)))))
)
))"),"")</f>
        <v/>
      </c>
      <c r="F32" s="32" t="str">
        <f>IFERROR(__xludf.DUMMYFUNCTION("IF('Résultats des tournois'!E$2=0,"""",LET(
lastVal, INDEX(FILTER($B32:E32, ISNUMBER($B32:E32)), COUNTA(FILTER($B32:E32, ISNUMBER($B32:E32)))),
IFERROR(
IF('Résultats des tournois'!E32="""", INDEX(FILTER($C32:E32, ISNUMBER($C32:E32)), COUNTA(FILTER($C32:E"&amp;"32, ISNUMBER($C32:E32)))),
lastVal + 'K dynamique'!E32 * ((SQRT('Résultats des tournois'!E$2 + 1)/'Résultats des tournois'!E32) - (1 / (1 + 10^((E$103 - lastVal)/400)))))
)
))"),"")</f>
        <v/>
      </c>
      <c r="G32" s="32" t="str">
        <f>IFERROR(__xludf.DUMMYFUNCTION("IF('Résultats des tournois'!F$2=0,"""",LET(
lastVal, INDEX(FILTER($B32:F32, ISNUMBER($B32:F32)), COUNTA(FILTER($B32:F32, ISNUMBER($B32:F32)))),
IFERROR(
IF('Résultats des tournois'!F32="""", INDEX(FILTER($C32:F32, ISNUMBER($C32:F32)), COUNTA(FILTER($C32:F"&amp;"32, ISNUMBER($C32:F32)))),
lastVal + 'K dynamique'!F32 * ((SQRT('Résultats des tournois'!F$2 + 1)/'Résultats des tournois'!F32) - (1 / (1 + 10^((F$103 - lastVal)/400)))))
)
))"),"")</f>
        <v/>
      </c>
      <c r="H32" s="32" t="str">
        <f>IFERROR(__xludf.DUMMYFUNCTION("IF('Résultats des tournois'!G$2=0,"""",LET(
lastVal, INDEX(FILTER($B32:G32, ISNUMBER($B32:G32)), COUNTA(FILTER($B32:G32, ISNUMBER($B32:G32)))),
IFERROR(
IF('Résultats des tournois'!G32="""", INDEX(FILTER($C32:G32, ISNUMBER($C32:G32)), COUNTA(FILTER($C32:G"&amp;"32, ISNUMBER($C32:G32)))),
lastVal + 'K dynamique'!G32 * ((SQRT('Résultats des tournois'!G$2 + 1)/'Résultats des tournois'!G32) - (1 / (1 + 10^((G$103 - lastVal)/400)))))
)
))"),"")</f>
        <v/>
      </c>
      <c r="I32" s="32" t="str">
        <f>IFERROR(__xludf.DUMMYFUNCTION("IF('Résultats des tournois'!H$2=0,"""",LET(
lastVal, INDEX(FILTER($B32:H32, ISNUMBER($B32:H32)), COUNTA(FILTER($B32:H32, ISNUMBER($B32:H32)))),
IFERROR(
IF('Résultats des tournois'!H32="""", INDEX(FILTER($C32:H32, ISNUMBER($C32:H32)), COUNTA(FILTER($C32:H"&amp;"32, ISNUMBER($C32:H32)))),
lastVal + 'K dynamique'!H32 * ((SQRT('Résultats des tournois'!H$2 + 1)/'Résultats des tournois'!H32) - (1 / (1 + 10^((H$103 - lastVal)/400)))))
)
))"),"")</f>
        <v/>
      </c>
      <c r="J32" s="32" t="str">
        <f>IFERROR(__xludf.DUMMYFUNCTION("IF('Résultats des tournois'!I$2=0,"""",LET(
lastVal, INDEX(FILTER($B32:I32, ISNUMBER($B32:I32)), COUNTA(FILTER($B32:I32, ISNUMBER($B32:I32)))),
IFERROR(
IF('Résultats des tournois'!I32="""", INDEX(FILTER($C32:I32, ISNUMBER($C32:I32)), COUNTA(FILTER($C32:I"&amp;"32, ISNUMBER($C32:I32)))),
lastVal + 'K dynamique'!I32 * ((SQRT('Résultats des tournois'!I$2 + 1)/'Résultats des tournois'!I32) - (1 / (1 + 10^((I$103 - lastVal)/400)))))
)
))"),"")</f>
        <v/>
      </c>
      <c r="K32" s="32" t="str">
        <f>IFERROR(__xludf.DUMMYFUNCTION("IF('Résultats des tournois'!J$2=0,"""",LET(
lastVal, INDEX(FILTER($B32:J32, ISNUMBER($B32:J32)), COUNTA(FILTER($B32:J32, ISNUMBER($B32:J32)))),
IFERROR(
IF('Résultats des tournois'!J32="""", INDEX(FILTER($C32:J32, ISNUMBER($C32:J32)), COUNTA(FILTER($C32:J"&amp;"32, ISNUMBER($C32:J32)))),
lastVal + 'K dynamique'!J32 * ((SQRT('Résultats des tournois'!J$2 + 1)/'Résultats des tournois'!J32) - (1 / (1 + 10^((J$103 - lastVal)/400)))))
)
))"),"")</f>
        <v/>
      </c>
      <c r="L32" s="32" t="str">
        <f>IFERROR(__xludf.DUMMYFUNCTION("IF('Résultats des tournois'!K$2=0,"""",LET(
lastVal, INDEX(FILTER($B32:K32, ISNUMBER($B32:K32)), COUNTA(FILTER($B32:K32, ISNUMBER($B32:K32)))),
IFERROR(
IF('Résultats des tournois'!K32="""", INDEX(FILTER($C32:K32, ISNUMBER($C32:K32)), COUNTA(FILTER($C32:K"&amp;"32, ISNUMBER($C32:K32)))),
lastVal + 'K dynamique'!K32 * ((SQRT('Résultats des tournois'!K$2 + 1)/'Résultats des tournois'!K32) - (1 / (1 + 10^((K$103 - lastVal)/400)))))
)
))"),"")</f>
        <v/>
      </c>
      <c r="M32" s="32" t="str">
        <f>IFERROR(__xludf.DUMMYFUNCTION("IF('Résultats des tournois'!L$2=0,"""",LET(
lastVal, INDEX(FILTER($B32:L32, ISNUMBER($B32:L32)), COUNTA(FILTER($B32:L32, ISNUMBER($B32:L32)))),
IFERROR(
IF('Résultats des tournois'!L32="""", INDEX(FILTER($C32:L32, ISNUMBER($C32:L32)), COUNTA(FILTER($C32:L"&amp;"32, ISNUMBER($C32:L32)))),
lastVal + 'K dynamique'!L32 * ((SQRT('Résultats des tournois'!L$2 + 1)/'Résultats des tournois'!L32) - (1 / (1 + 10^((L$103 - lastVal)/400)))))
)
))"),"")</f>
        <v/>
      </c>
      <c r="N32" s="32" t="str">
        <f>IFERROR(__xludf.DUMMYFUNCTION("IF('Résultats des tournois'!M$2=0,"""",LET(
lastVal, INDEX(FILTER($B32:M32, ISNUMBER($B32:M32)), COUNTA(FILTER($B32:M32, ISNUMBER($B32:M32)))),
IFERROR(
IF('Résultats des tournois'!M32="""", INDEX(FILTER($C32:M32, ISNUMBER($C32:M32)), COUNTA(FILTER($C32:M"&amp;"32, ISNUMBER($C32:M32)))),
lastVal + 'K dynamique'!M32 * ((SQRT('Résultats des tournois'!M$2 + 1)/'Résultats des tournois'!M32) - (1 / (1 + 10^((M$103 - lastVal)/400)))))
)
))"),"")</f>
        <v/>
      </c>
      <c r="O32" s="32" t="str">
        <f>IFERROR(__xludf.DUMMYFUNCTION("IF('Résultats des tournois'!N$2=0,"""",LET(
lastVal, INDEX(FILTER($B32:N32, ISNUMBER($B32:N32)), COUNTA(FILTER($B32:N32, ISNUMBER($B32:N32)))),
IFERROR(
IF('Résultats des tournois'!N32="""", INDEX(FILTER($C32:N32, ISNUMBER($C32:N32)), COUNTA(FILTER($C32:N"&amp;"32, ISNUMBER($C32:N32)))),
lastVal + 'K dynamique'!N32 * ((SQRT('Résultats des tournois'!N$2 + 1)/'Résultats des tournois'!N32) - (1 / (1 + 10^((N$103 - lastVal)/400)))))
)
))"),"")</f>
        <v/>
      </c>
      <c r="P32" s="32" t="str">
        <f>IFERROR(__xludf.DUMMYFUNCTION("IF('Résultats des tournois'!O$2=0,"""",LET(
lastVal, INDEX(FILTER($B32:O32, ISNUMBER($B32:O32)), COUNTA(FILTER($B32:O32, ISNUMBER($B32:O32)))),
IFERROR(
IF('Résultats des tournois'!O32="""", INDEX(FILTER($C32:O32, ISNUMBER($C32:O32)), COUNTA(FILTER($C32:O"&amp;"32, ISNUMBER($C32:O32)))),
lastVal + 'K dynamique'!O32 * ((SQRT('Résultats des tournois'!O$2 + 1)/'Résultats des tournois'!O32) - (1 / (1 + 10^((O$103 - lastVal)/400)))))
)
))"),"")</f>
        <v/>
      </c>
      <c r="Q32" s="32" t="str">
        <f>IFERROR(__xludf.DUMMYFUNCTION("IF('Résultats des tournois'!P$2=0,"""",LET(
lastVal, INDEX(FILTER($B32:P32, ISNUMBER($B32:P32)), COUNTA(FILTER($B32:P32, ISNUMBER($B32:P32)))),
IFERROR(
IF('Résultats des tournois'!P32="""", INDEX(FILTER($C32:P32, ISNUMBER($C32:P32)), COUNTA(FILTER($C32:P"&amp;"32, ISNUMBER($C32:P32)))),
lastVal + 'K dynamique'!P32 * ((SQRT('Résultats des tournois'!P$2 + 1)/'Résultats des tournois'!P32) - (1 / (1 + 10^((P$103 - lastVal)/400)))))
)
))"),"")</f>
        <v/>
      </c>
      <c r="R32" s="32" t="str">
        <f>IFERROR(__xludf.DUMMYFUNCTION("IF('Résultats des tournois'!Q$2=0,"""",LET(
lastVal, INDEX(FILTER($B32:Q32, ISNUMBER($B32:Q32)), COUNTA(FILTER($B32:Q32, ISNUMBER($B32:Q32)))),
IFERROR(
IF('Résultats des tournois'!Q32="""", INDEX(FILTER($C32:Q32, ISNUMBER($C32:Q32)), COUNTA(FILTER($C32:Q"&amp;"32, ISNUMBER($C32:Q32)))),
lastVal + 'K dynamique'!Q32 * ((SQRT('Résultats des tournois'!Q$2 + 1)/'Résultats des tournois'!Q32) - (1 / (1 + 10^((Q$103 - lastVal)/400)))))
)
))"),"")</f>
        <v/>
      </c>
      <c r="S32" s="32" t="str">
        <f>IFERROR(__xludf.DUMMYFUNCTION("IF('Résultats des tournois'!R$2=0,"""",LET(
lastVal, INDEX(FILTER($B32:R32, ISNUMBER($B32:R32)), COUNTA(FILTER($B32:R32, ISNUMBER($B32:R32)))),
IFERROR(
IF('Résultats des tournois'!R32="""", INDEX(FILTER($C32:R32, ISNUMBER($C32:R32)), COUNTA(FILTER($C32:R"&amp;"32, ISNUMBER($C32:R32)))),
lastVal + 'K dynamique'!R32 * ((SQRT('Résultats des tournois'!R$2 + 1)/'Résultats des tournois'!R32) - (1 / (1 + 10^((R$103 - lastVal)/400)))))
)
))"),"")</f>
        <v/>
      </c>
      <c r="T32" s="32" t="str">
        <f>IFERROR(__xludf.DUMMYFUNCTION("IF('Résultats des tournois'!S$2=0,"""",LET(
lastVal, INDEX(FILTER($B32:S32, ISNUMBER($B32:S32)), COUNTA(FILTER($B32:S32, ISNUMBER($B32:S32)))),
IFERROR(
IF('Résultats des tournois'!S32="""", INDEX(FILTER($C32:S32, ISNUMBER($C32:S32)), COUNTA(FILTER($C32:S"&amp;"32, ISNUMBER($C32:S32)))),
lastVal + 'K dynamique'!S32 * ((SQRT('Résultats des tournois'!S$2 + 1)/'Résultats des tournois'!S32) - (1 / (1 + 10^((S$103 - lastVal)/400)))))
)
))"),"")</f>
        <v/>
      </c>
      <c r="U32" s="32" t="str">
        <f>IFERROR(__xludf.DUMMYFUNCTION("IF('Résultats des tournois'!T$2=0,"""",LET(
lastVal, INDEX(FILTER($B32:T32, ISNUMBER($B32:T32)), COUNTA(FILTER($B32:T32, ISNUMBER($B32:T32)))),
IFERROR(
IF('Résultats des tournois'!T32="""", INDEX(FILTER($C32:T32, ISNUMBER($C32:T32)), COUNTA(FILTER($C32:T"&amp;"32, ISNUMBER($C32:T32)))),
lastVal + 'K dynamique'!T32 * ((SQRT('Résultats des tournois'!T$2 + 1)/'Résultats des tournois'!T32) - (1 / (1 + 10^((T$103 - lastVal)/400)))))
)
))"),"")</f>
        <v/>
      </c>
      <c r="V32" s="32" t="str">
        <f>IFERROR(__xludf.DUMMYFUNCTION("IF('Résultats des tournois'!U$2=0,"""",LET(
lastVal, INDEX(FILTER($B32:U32, ISNUMBER($B32:U32)), COUNTA(FILTER($B32:U32, ISNUMBER($B32:U32)))),
IFERROR(
IF('Résultats des tournois'!U32="""", INDEX(FILTER($C32:U32, ISNUMBER($C32:U32)), COUNTA(FILTER($C32:U"&amp;"32, ISNUMBER($C32:U32)))),
lastVal + 'K dynamique'!U32 * ((SQRT('Résultats des tournois'!U$2 + 1)/'Résultats des tournois'!U32) - (1 / (1 + 10^((U$103 - lastVal)/400)))))
)
))"),"")</f>
        <v/>
      </c>
      <c r="W32" s="32" t="str">
        <f>IFERROR(__xludf.DUMMYFUNCTION("IF('Résultats des tournois'!V$2=0,"""",LET(
lastVal, INDEX(FILTER($B32:V32, ISNUMBER($B32:V32)), COUNTA(FILTER($B32:V32, ISNUMBER($B32:V32)))),
IFERROR(
IF('Résultats des tournois'!V32="""", INDEX(FILTER($C32:V32, ISNUMBER($C32:V32)), COUNTA(FILTER($C32:V"&amp;"32, ISNUMBER($C32:V32)))),
lastVal + 'K dynamique'!V32 * ((SQRT('Résultats des tournois'!V$2 + 1)/'Résultats des tournois'!V32) - (1 / (1 + 10^((V$103 - lastVal)/400)))))
)
))"),"")</f>
        <v/>
      </c>
      <c r="X32" s="32" t="str">
        <f>IFERROR(__xludf.DUMMYFUNCTION("IF('Résultats des tournois'!W$2=0,"""",LET(
lastVal, INDEX(FILTER($B32:W32, ISNUMBER($B32:W32)), COUNTA(FILTER($B32:W32, ISNUMBER($B32:W32)))),
IFERROR(
IF('Résultats des tournois'!W32="""", INDEX(FILTER($C32:W32, ISNUMBER($C32:W32)), COUNTA(FILTER($C32:W"&amp;"32, ISNUMBER($C32:W32)))),
lastVal + 'K dynamique'!W32 * ((SQRT('Résultats des tournois'!W$2 + 1)/'Résultats des tournois'!W32) - (1 / (1 + 10^((W$103 - lastVal)/400)))))
)
))"),"")</f>
        <v/>
      </c>
      <c r="Y32" s="32" t="str">
        <f>IFERROR(__xludf.DUMMYFUNCTION("IF('Résultats des tournois'!X$2=0,"""",LET(
lastVal, INDEX(FILTER($B32:X32, ISNUMBER($B32:X32)), COUNTA(FILTER($B32:X32, ISNUMBER($B32:X32)))),
IFERROR(
IF('Résultats des tournois'!X32="""", INDEX(FILTER($C32:X32, ISNUMBER($C32:X32)), COUNTA(FILTER($C32:X"&amp;"32, ISNUMBER($C32:X32)))),
lastVal + 'K dynamique'!X32 * ((SQRT('Résultats des tournois'!X$2 + 1)/'Résultats des tournois'!X32) - (1 / (1 + 10^((X$103 - lastVal)/400)))))
)
))"),"")</f>
        <v/>
      </c>
      <c r="Z32" s="32" t="str">
        <f>IFERROR(__xludf.DUMMYFUNCTION("IF('Résultats des tournois'!Y$2=0,"""",LET(
lastVal, INDEX(FILTER($B32:Y32, ISNUMBER($B32:Y32)), COUNTA(FILTER($B32:Y32, ISNUMBER($B32:Y32)))),
IFERROR(
IF('Résultats des tournois'!Y32="""", INDEX(FILTER($C32:Y32, ISNUMBER($C32:Y32)), COUNTA(FILTER($C32:Y"&amp;"32, ISNUMBER($C32:Y32)))),
lastVal + 'K dynamique'!Y32 * ((SQRT('Résultats des tournois'!Y$2 + 1)/'Résultats des tournois'!Y32) - (1 / (1 + 10^((Y$103 - lastVal)/400)))))
)
))"),"")</f>
        <v/>
      </c>
      <c r="AA32" s="32" t="str">
        <f>IFERROR(__xludf.DUMMYFUNCTION("IF('Résultats des tournois'!Z$2=0,"""",LET(
lastVal, INDEX(FILTER($B32:Z32, ISNUMBER($B32:Z32)), COUNTA(FILTER($B32:Z32, ISNUMBER($B32:Z32)))),
IFERROR(
IF('Résultats des tournois'!Z32="""", INDEX(FILTER($C32:Z32, ISNUMBER($C32:Z32)), COUNTA(FILTER($C32:Z"&amp;"32, ISNUMBER($C32:Z32)))),
lastVal + 'K dynamique'!Z32 * ((SQRT('Résultats des tournois'!Z$2 + 1)/'Résultats des tournois'!Z32) - (1 / (1 + 10^((Z$103 - lastVal)/400)))))
)
))"),"")</f>
        <v/>
      </c>
      <c r="AB32" s="32" t="str">
        <f>IFERROR(__xludf.DUMMYFUNCTION("IF('Résultats des tournois'!AA$2=0,"""",LET(
lastVal, INDEX(FILTER($B32:AA32, ISNUMBER($B32:AA32)), COUNTA(FILTER($B32:AA32, ISNUMBER($B32:AA32)))),
IFERROR(
IF('Résultats des tournois'!AA32="""", INDEX(FILTER($C32:AA32, ISNUMBER($C32:AA32)), COUNTA(FILTE"&amp;"R($C32:AA32, ISNUMBER($C32:AA32)))),
lastVal + 'K dynamique'!AA32 * ((SQRT('Résultats des tournois'!AA$2 + 1)/'Résultats des tournois'!AA32) - (1 / (1 + 10^((AA$103 - lastVal)/400)))))
)
))"),"")</f>
        <v/>
      </c>
      <c r="AC32" s="32" t="str">
        <f>IFERROR(__xludf.DUMMYFUNCTION("IF('Résultats des tournois'!AB$2=0,"""",LET(
lastVal, INDEX(FILTER($B32:AB32, ISNUMBER($B32:AB32)), COUNTA(FILTER($B32:AB32, ISNUMBER($B32:AB32)))),
IFERROR(
IF('Résultats des tournois'!AB32="""", INDEX(FILTER($C32:AB32, ISNUMBER($C32:AB32)), COUNTA(FILTE"&amp;"R($C32:AB32, ISNUMBER($C32:AB32)))),
lastVal + 'K dynamique'!AB32 * ((SQRT('Résultats des tournois'!AB$2 + 1)/'Résultats des tournois'!AB32) - (1 / (1 + 10^((AB$103 - lastVal)/400)))))
)
))"),"")</f>
        <v/>
      </c>
      <c r="AD32" s="32" t="str">
        <f>IFERROR(__xludf.DUMMYFUNCTION("IF('Résultats des tournois'!AC$2=0,"""",LET(
lastVal, INDEX(FILTER($B32:AC32, ISNUMBER($B32:AC32)), COUNTA(FILTER($B32:AC32, ISNUMBER($B32:AC32)))),
IFERROR(
IF('Résultats des tournois'!AC32="""", INDEX(FILTER($C32:AC32, ISNUMBER($C32:AC32)), COUNTA(FILTE"&amp;"R($C32:AC32, ISNUMBER($C32:AC32)))),
lastVal + 'K dynamique'!AC32 * ((SQRT('Résultats des tournois'!AC$2 + 1)/'Résultats des tournois'!AC32) - (1 / (1 + 10^((AC$103 - lastVal)/400)))))
)
))"),"")</f>
        <v/>
      </c>
      <c r="AE32" s="32" t="str">
        <f>IFERROR(__xludf.DUMMYFUNCTION("IF('Résultats des tournois'!AD$2=0,"""",LET(
lastVal, INDEX(FILTER($B32:AD32, ISNUMBER($B32:AD32)), COUNTA(FILTER($B32:AD32, ISNUMBER($B32:AD32)))),
IFERROR(
IF('Résultats des tournois'!AD32="""", INDEX(FILTER($C32:AD32, ISNUMBER($C32:AD32)), COUNTA(FILTE"&amp;"R($C32:AD32, ISNUMBER($C32:AD32)))),
lastVal + 'K dynamique'!AD32 * ((SQRT('Résultats des tournois'!AD$2 + 1)/'Résultats des tournois'!AD32) - (1 / (1 + 10^((AD$103 - lastVal)/400)))))
)
))"),"")</f>
        <v/>
      </c>
      <c r="AF32" s="32" t="str">
        <f>IFERROR(__xludf.DUMMYFUNCTION("IF('Résultats des tournois'!AE$2=0,"""",LET(
lastVal, INDEX(FILTER($B32:AE32, ISNUMBER($B32:AE32)), COUNTA(FILTER($B32:AE32, ISNUMBER($B32:AE32)))),
IFERROR(
IF('Résultats des tournois'!AE32="""", INDEX(FILTER($C32:AE32, ISNUMBER($C32:AE32)), COUNTA(FILTE"&amp;"R($C32:AE32, ISNUMBER($C32:AE32)))),
lastVal + 'K dynamique'!AE32 * ((SQRT('Résultats des tournois'!AE$2 + 1)/'Résultats des tournois'!AE32) - (1 / (1 + 10^((AE$103 - lastVal)/400)))))
)
))"),"")</f>
        <v/>
      </c>
      <c r="AG32" s="32" t="str">
        <f>IFERROR(__xludf.DUMMYFUNCTION("IF('Résultats des tournois'!AF$2=0,"""",LET(
lastVal, INDEX(FILTER($B32:AF32, ISNUMBER($B32:AF32)), COUNTA(FILTER($B32:AF32, ISNUMBER($B32:AF32)))),
IFERROR(
IF('Résultats des tournois'!AF32="""", INDEX(FILTER($C32:AF32, ISNUMBER($C32:AF32)), COUNTA(FILTE"&amp;"R($C32:AF32, ISNUMBER($C32:AF32)))),
lastVal + 'K dynamique'!AF32 * ((SQRT('Résultats des tournois'!AF$2 + 1)/'Résultats des tournois'!AF32) - (1 / (1 + 10^((AF$103 - lastVal)/400)))))
)
))"),"")</f>
        <v/>
      </c>
      <c r="AH32" s="32" t="str">
        <f>IFERROR(__xludf.DUMMYFUNCTION("IF('Résultats des tournois'!AG$2=0,"""",LET(
lastVal, INDEX(FILTER($B32:AG32, ISNUMBER($B32:AG32)), COUNTA(FILTER($B32:AG32, ISNUMBER($B32:AG32)))),
IFERROR(
IF('Résultats des tournois'!AG32="""", INDEX(FILTER($C32:AG32, ISNUMBER($C32:AG32)), COUNTA(FILTE"&amp;"R($C32:AG32, ISNUMBER($C32:AG32)))),
lastVal + 'K dynamique'!AG32 * ((SQRT('Résultats des tournois'!AG$2 + 1)/'Résultats des tournois'!AG32) - (1 / (1 + 10^((AG$103 - lastVal)/400)))))
)
))"),"")</f>
        <v/>
      </c>
      <c r="AI32" s="32" t="str">
        <f>IFERROR(__xludf.DUMMYFUNCTION("IF('Résultats des tournois'!AH$2=0,"""",LET(
lastVal, INDEX(FILTER($B32:AH32, ISNUMBER($B32:AH32)), COUNTA(FILTER($B32:AH32, ISNUMBER($B32:AH32)))),
IFERROR(
IF('Résultats des tournois'!AH32="""", INDEX(FILTER($C32:AH32, ISNUMBER($C32:AH32)), COUNTA(FILTE"&amp;"R($C32:AH32, ISNUMBER($C32:AH32)))),
lastVal + 'K dynamique'!AH32 * ((SQRT('Résultats des tournois'!AH$2 + 1)/'Résultats des tournois'!AH32) - (1 / (1 + 10^((AH$103 - lastVal)/400)))))
)
))"),"")</f>
        <v/>
      </c>
      <c r="AJ32" s="32" t="str">
        <f>IFERROR(__xludf.DUMMYFUNCTION("IF('Résultats des tournois'!AI$2=0,"""",LET(
lastVal, INDEX(FILTER($B32:AI32, ISNUMBER($B32:AI32)), COUNTA(FILTER($B32:AI32, ISNUMBER($B32:AI32)))),
IFERROR(
IF('Résultats des tournois'!AI32="""", INDEX(FILTER($C32:AI32, ISNUMBER($C32:AI32)), COUNTA(FILTE"&amp;"R($C32:AI32, ISNUMBER($C32:AI32)))),
lastVal + 'K dynamique'!AI32 * ((SQRT('Résultats des tournois'!AI$2 + 1)/'Résultats des tournois'!AI32) - (1 / (1 + 10^((AI$103 - lastVal)/400)))))
)
))"),"")</f>
        <v/>
      </c>
      <c r="AK32" s="32" t="str">
        <f>IFERROR(__xludf.DUMMYFUNCTION("IF('Résultats des tournois'!AJ$2=0,"""",LET(
lastVal, INDEX(FILTER($B32:AJ32, ISNUMBER($B32:AJ32)), COUNTA(FILTER($B32:AJ32, ISNUMBER($B32:AJ32)))),
IFERROR(
IF('Résultats des tournois'!AJ32="""", INDEX(FILTER($C32:AJ32, ISNUMBER($C32:AJ32)), COUNTA(FILTE"&amp;"R($C32:AJ32, ISNUMBER($C32:AJ32)))),
lastVal + 'K dynamique'!AJ32 * ((SQRT('Résultats des tournois'!AJ$2 + 1)/'Résultats des tournois'!AJ32) - (1 / (1 + 10^((AJ$103 - lastVal)/400)))))
)
))"),"")</f>
        <v/>
      </c>
      <c r="AL32" s="32" t="str">
        <f>IFERROR(__xludf.DUMMYFUNCTION("IF('Résultats des tournois'!AK$2=0,"""",LET(
lastVal, INDEX(FILTER($B32:AK32, ISNUMBER($B32:AK32)), COUNTA(FILTER($B32:AK32, ISNUMBER($B32:AK32)))),
IFERROR(
IF('Résultats des tournois'!AK32="""", INDEX(FILTER($C32:AK32, ISNUMBER($C32:AK32)), COUNTA(FILTE"&amp;"R($C32:AK32, ISNUMBER($C32:AK32)))),
lastVal + 'K dynamique'!AK32 * ((SQRT('Résultats des tournois'!AK$2 + 1)/'Résultats des tournois'!AK32) - (1 / (1 + 10^((AK$103 - lastVal)/400)))))
)
))"),"")</f>
        <v/>
      </c>
      <c r="AM32" s="32" t="str">
        <f>IFERROR(__xludf.DUMMYFUNCTION("IF('Résultats des tournois'!AL$2=0,"""",LET(
lastVal, INDEX(FILTER($B32:AL32, ISNUMBER($B32:AL32)), COUNTA(FILTER($B32:AL32, ISNUMBER($B32:AL32)))),
IFERROR(
IF('Résultats des tournois'!AL32="""", INDEX(FILTER($C32:AL32, ISNUMBER($C32:AL32)), COUNTA(FILTE"&amp;"R($C32:AL32, ISNUMBER($C32:AL32)))),
lastVal + 'K dynamique'!AL32 * ((SQRT('Résultats des tournois'!AL$2 + 1)/'Résultats des tournois'!AL32) - (1 / (1 + 10^((AL$103 - lastVal)/400)))))
)
))"),"")</f>
        <v/>
      </c>
      <c r="AN32" s="32" t="str">
        <f>IFERROR(__xludf.DUMMYFUNCTION("IF('Résultats des tournois'!AM$2=0,"""",LET(
lastVal, INDEX(FILTER($B32:AM32, ISNUMBER($B32:AM32)), COUNTA(FILTER($B32:AM32, ISNUMBER($B32:AM32)))),
IFERROR(
IF('Résultats des tournois'!AM32="""", INDEX(FILTER($C32:AM32, ISNUMBER($C32:AM32)), COUNTA(FILTE"&amp;"R($C32:AM32, ISNUMBER($C32:AM32)))),
lastVal + 'K dynamique'!AM32 * ((SQRT('Résultats des tournois'!AM$2 + 1)/'Résultats des tournois'!AM32) - (1 / (1 + 10^((AM$103 - lastVal)/400)))))
)
))"),"")</f>
        <v/>
      </c>
      <c r="AO32" s="32" t="str">
        <f>IFERROR(__xludf.DUMMYFUNCTION("IF('Résultats des tournois'!AN$2=0,"""",LET(
lastVal, INDEX(FILTER($B32:AN32, ISNUMBER($B32:AN32)), COUNTA(FILTER($B32:AN32, ISNUMBER($B32:AN32)))),
IFERROR(
IF('Résultats des tournois'!AN32="""", INDEX(FILTER($C32:AN32, ISNUMBER($C32:AN32)), COUNTA(FILTE"&amp;"R($C32:AN32, ISNUMBER($C32:AN32)))),
lastVal + 'K dynamique'!AN32 * ((SQRT('Résultats des tournois'!AN$2 + 1)/'Résultats des tournois'!AN32) - (1 / (1 + 10^((AN$103 - lastVal)/400)))))
)
))"),"")</f>
        <v/>
      </c>
      <c r="AP32" s="32" t="str">
        <f>IFERROR(__xludf.DUMMYFUNCTION("IF('Résultats des tournois'!AO$2=0,"""",LET(
lastVal, INDEX(FILTER($B32:AO32, ISNUMBER($B32:AO32)), COUNTA(FILTER($B32:AO32, ISNUMBER($B32:AO32)))),
IFERROR(
IF('Résultats des tournois'!AO32="""", INDEX(FILTER($C32:AO32, ISNUMBER($C32:AO32)), COUNTA(FILTE"&amp;"R($C32:AO32, ISNUMBER($C32:AO32)))),
lastVal + 'K dynamique'!AO32 * ((SQRT('Résultats des tournois'!AO$2 + 1)/'Résultats des tournois'!AO32) - (1 / (1 + 10^((AO$103 - lastVal)/400)))))
)
))"),"")</f>
        <v/>
      </c>
      <c r="AQ32" s="32" t="str">
        <f>IFERROR(__xludf.DUMMYFUNCTION("IF('Résultats des tournois'!AP$2=0,"""",LET(
lastVal, INDEX(FILTER($B32:AP32, ISNUMBER($B32:AP32)), COUNTA(FILTER($B32:AP32, ISNUMBER($B32:AP32)))),
IFERROR(
IF('Résultats des tournois'!AP32="""", INDEX(FILTER($C32:AP32, ISNUMBER($C32:AP32)), COUNTA(FILTE"&amp;"R($C32:AP32, ISNUMBER($C32:AP32)))),
lastVal + 'K dynamique'!AP32 * ((SQRT('Résultats des tournois'!AP$2 + 1)/'Résultats des tournois'!AP32) - (1 / (1 + 10^((AP$103 - lastVal)/400)))))
)
))"),"")</f>
        <v/>
      </c>
      <c r="AR32" s="32" t="str">
        <f>IFERROR(__xludf.DUMMYFUNCTION("IF('Résultats des tournois'!AQ$2=0,"""",LET(
lastVal, INDEX(FILTER($B32:AQ32, ISNUMBER($B32:AQ32)), COUNTA(FILTER($B32:AQ32, ISNUMBER($B32:AQ32)))),
IFERROR(
IF('Résultats des tournois'!AQ32="""", INDEX(FILTER($C32:AQ32, ISNUMBER($C32:AQ32)), COUNTA(FILTE"&amp;"R($C32:AQ32, ISNUMBER($C32:AQ32)))),
lastVal + 'K dynamique'!AQ32 * ((SQRT('Résultats des tournois'!AQ$2 + 1)/'Résultats des tournois'!AQ32) - (1 / (1 + 10^((AQ$103 - lastVal)/400)))))
)
))"),"")</f>
        <v/>
      </c>
      <c r="AS32" s="32" t="str">
        <f>IFERROR(__xludf.DUMMYFUNCTION("IF('Résultats des tournois'!AR$2=0,"""",LET(
lastVal, INDEX(FILTER($B32:AR32, ISNUMBER($B32:AR32)), COUNTA(FILTER($B32:AR32, ISNUMBER($B32:AR32)))),
IFERROR(
IF('Résultats des tournois'!AR32="""", INDEX(FILTER($C32:AR32, ISNUMBER($C32:AR32)), COUNTA(FILTE"&amp;"R($C32:AR32, ISNUMBER($C32:AR32)))),
lastVal + 'K dynamique'!AR32 * ((SQRT('Résultats des tournois'!AR$2 + 1)/'Résultats des tournois'!AR32) - (1 / (1 + 10^((AR$103 - lastVal)/400)))))
)
))"),"")</f>
        <v/>
      </c>
      <c r="AT32" s="32" t="str">
        <f>IFERROR(__xludf.DUMMYFUNCTION("IF('Résultats des tournois'!AS$2=0,"""",LET(
lastVal, INDEX(FILTER($B32:AS32, ISNUMBER($B32:AS32)), COUNTA(FILTER($B32:AS32, ISNUMBER($B32:AS32)))),
IFERROR(
IF('Résultats des tournois'!AS32="""", INDEX(FILTER($C32:AS32, ISNUMBER($C32:AS32)), COUNTA(FILTE"&amp;"R($C32:AS32, ISNUMBER($C32:AS32)))),
lastVal + 'K dynamique'!AS32 * ((SQRT('Résultats des tournois'!AS$2 + 1)/'Résultats des tournois'!AS32) - (1 / (1 + 10^((AS$103 - lastVal)/400)))))
)
))"),"")</f>
        <v/>
      </c>
      <c r="AU32" s="32" t="str">
        <f>IFERROR(__xludf.DUMMYFUNCTION("IF('Résultats des tournois'!AT$2=0,"""",LET(
lastVal, INDEX(FILTER($B32:AT32, ISNUMBER($B32:AT32)), COUNTA(FILTER($B32:AT32, ISNUMBER($B32:AT32)))),
IFERROR(
IF('Résultats des tournois'!AT32="""", INDEX(FILTER($C32:AT32, ISNUMBER($C32:AT32)), COUNTA(FILTE"&amp;"R($C32:AT32, ISNUMBER($C32:AT32)))),
lastVal + 'K dynamique'!AT32 * ((SQRT('Résultats des tournois'!AT$2 + 1)/'Résultats des tournois'!AT32) - (1 / (1 + 10^((AT$103 - lastVal)/400)))))
)
))"),"")</f>
        <v/>
      </c>
      <c r="AV32" s="32" t="str">
        <f>IFERROR(__xludf.DUMMYFUNCTION("IF('Résultats des tournois'!AU$2=0,"""",LET(
lastVal, INDEX(FILTER($B32:AU32, ISNUMBER($B32:AU32)), COUNTA(FILTER($B32:AU32, ISNUMBER($B32:AU32)))),
IFERROR(
IF('Résultats des tournois'!AU32="""", INDEX(FILTER($C32:AU32, ISNUMBER($C32:AU32)), COUNTA(FILTE"&amp;"R($C32:AU32, ISNUMBER($C32:AU32)))),
lastVal + 'K dynamique'!AU32 * ((SQRT('Résultats des tournois'!AU$2 + 1)/'Résultats des tournois'!AU32) - (1 / (1 + 10^((AU$103 - lastVal)/400)))))
)
))"),"")</f>
        <v/>
      </c>
      <c r="AW32" s="32" t="str">
        <f>IFERROR(__xludf.DUMMYFUNCTION("IF('Résultats des tournois'!AV$2=0,"""",LET(
lastVal, INDEX(FILTER($B32:AV32, ISNUMBER($B32:AV32)), COUNTA(FILTER($B32:AV32, ISNUMBER($B32:AV32)))),
IFERROR(
IF('Résultats des tournois'!AV32="""", INDEX(FILTER($C32:AV32, ISNUMBER($C32:AV32)), COUNTA(FILTE"&amp;"R($C32:AV32, ISNUMBER($C32:AV32)))),
lastVal + 'K dynamique'!AV32 * ((SQRT('Résultats des tournois'!AV$2 + 1)/'Résultats des tournois'!AV32) - (1 / (1 + 10^((AV$103 - lastVal)/400)))))
)
))"),"")</f>
        <v/>
      </c>
      <c r="AX32" s="32" t="str">
        <f>IFERROR(__xludf.DUMMYFUNCTION("IF('Résultats des tournois'!AW$2=0,"""",LET(
lastVal, INDEX(FILTER($B32:AW32, ISNUMBER($B32:AW32)), COUNTA(FILTER($B32:AW32, ISNUMBER($B32:AW32)))),
IFERROR(
IF('Résultats des tournois'!AW32="""", INDEX(FILTER($C32:AW32, ISNUMBER($C32:AW32)), COUNTA(FILTE"&amp;"R($C32:AW32, ISNUMBER($C32:AW32)))),
lastVal + 'K dynamique'!AW32 * ((SQRT('Résultats des tournois'!AW$2 + 1)/'Résultats des tournois'!AW32) - (1 / (1 + 10^((AW$103 - lastVal)/400)))))
)
))"),"")</f>
        <v/>
      </c>
      <c r="AY32" s="32" t="str">
        <f>IFERROR(__xludf.DUMMYFUNCTION("IF('Résultats des tournois'!AX$2=0,"""",LET(
lastVal, INDEX(FILTER($B32:AX32, ISNUMBER($B32:AX32)), COUNTA(FILTER($B32:AX32, ISNUMBER($B32:AX32)))),
IFERROR(
IF('Résultats des tournois'!AX32="""", INDEX(FILTER($C32:AX32, ISNUMBER($C32:AX32)), COUNTA(FILTE"&amp;"R($C32:AX32, ISNUMBER($C32:AX32)))),
lastVal + 'K dynamique'!AX32 * ((SQRT('Résultats des tournois'!AX$2 + 1)/'Résultats des tournois'!AX32) - (1 / (1 + 10^((AX$103 - lastVal)/400)))))
)
))"),"")</f>
        <v/>
      </c>
      <c r="AZ32" s="4" t="str">
        <f t="array" ref="AZ32">IF(MAX(($C32:AY32&lt;&gt;"")*COLUMN($C32:AY32))=0,"",INDEX($C32:AY32,1,MAX(($C32:AY32&lt;&gt;"")*COLUMN($C32:AY32))-COLUMN($C32)+1))</f>
        <v/>
      </c>
      <c r="BA32" s="33" t="str">
        <f t="shared" si="1"/>
        <v/>
      </c>
    </row>
    <row r="33" ht="14.25" customHeight="1">
      <c r="A33" s="32" t="str">
        <f>IF('Résultats des tournois'!A33="","",'Résultats des tournois'!A33)</f>
        <v/>
      </c>
      <c r="B33" s="32">
        <v>1500.0</v>
      </c>
      <c r="C33" s="32" t="str">
        <f>IF('Résultats des tournois'!B33="","",B33+'K dynamique'!B33*((SQRT('Résultats des tournois'!B$2+1)/'Résultats des tournois'!B33)-(1/(1+10^((B33-B33)/400)))))</f>
        <v/>
      </c>
      <c r="D33" s="32" t="str">
        <f>IFERROR(__xludf.DUMMYFUNCTION("IF('Résultats des tournois'!C$2=0,"""",LET(
lastVal, INDEX(FILTER($B33:C33, ISNUMBER($B33:C33)), COUNTA(FILTER($B33:C33, ISNUMBER($B33:C33)))),
IFERROR(
IF('Résultats des tournois'!C33="""", INDEX(FILTER($C33:C33, ISNUMBER($C33:C33)), COUNTA(FILTER($C33:C"&amp;"33, ISNUMBER($C33:C33)))),
lastVal + 'K dynamique'!C33 * ((SQRT('Résultats des tournois'!C$2 + 1)/'Résultats des tournois'!C33) - (1 / (1 + 10^((C$103 - lastVal)/400)))))
)
))"),"")</f>
        <v/>
      </c>
      <c r="E33" s="32" t="str">
        <f>IFERROR(__xludf.DUMMYFUNCTION("IF('Résultats des tournois'!D$2=0,"""",LET(
lastVal, INDEX(FILTER($B33:D33, ISNUMBER($B33:D33)), COUNTA(FILTER($B33:D33, ISNUMBER($B33:D33)))),
IFERROR(
IF('Résultats des tournois'!D33="""", INDEX(FILTER($C33:D33, ISNUMBER($C33:D33)), COUNTA(FILTER($C33:D"&amp;"33, ISNUMBER($C33:D33)))),
lastVal + 'K dynamique'!D33 * ((SQRT('Résultats des tournois'!D$2 + 1)/'Résultats des tournois'!D33) - (1 / (1 + 10^((D$103 - lastVal)/400)))))
)
))"),"")</f>
        <v/>
      </c>
      <c r="F33" s="32" t="str">
        <f>IFERROR(__xludf.DUMMYFUNCTION("IF('Résultats des tournois'!E$2=0,"""",LET(
lastVal, INDEX(FILTER($B33:E33, ISNUMBER($B33:E33)), COUNTA(FILTER($B33:E33, ISNUMBER($B33:E33)))),
IFERROR(
IF('Résultats des tournois'!E33="""", INDEX(FILTER($C33:E33, ISNUMBER($C33:E33)), COUNTA(FILTER($C33:E"&amp;"33, ISNUMBER($C33:E33)))),
lastVal + 'K dynamique'!E33 * ((SQRT('Résultats des tournois'!E$2 + 1)/'Résultats des tournois'!E33) - (1 / (1 + 10^((E$103 - lastVal)/400)))))
)
))"),"")</f>
        <v/>
      </c>
      <c r="G33" s="32" t="str">
        <f>IFERROR(__xludf.DUMMYFUNCTION("IF('Résultats des tournois'!F$2=0,"""",LET(
lastVal, INDEX(FILTER($B33:F33, ISNUMBER($B33:F33)), COUNTA(FILTER($B33:F33, ISNUMBER($B33:F33)))),
IFERROR(
IF('Résultats des tournois'!F33="""", INDEX(FILTER($C33:F33, ISNUMBER($C33:F33)), COUNTA(FILTER($C33:F"&amp;"33, ISNUMBER($C33:F33)))),
lastVal + 'K dynamique'!F33 * ((SQRT('Résultats des tournois'!F$2 + 1)/'Résultats des tournois'!F33) - (1 / (1 + 10^((F$103 - lastVal)/400)))))
)
))"),"")</f>
        <v/>
      </c>
      <c r="H33" s="32" t="str">
        <f>IFERROR(__xludf.DUMMYFUNCTION("IF('Résultats des tournois'!G$2=0,"""",LET(
lastVal, INDEX(FILTER($B33:G33, ISNUMBER($B33:G33)), COUNTA(FILTER($B33:G33, ISNUMBER($B33:G33)))),
IFERROR(
IF('Résultats des tournois'!G33="""", INDEX(FILTER($C33:G33, ISNUMBER($C33:G33)), COUNTA(FILTER($C33:G"&amp;"33, ISNUMBER($C33:G33)))),
lastVal + 'K dynamique'!G33 * ((SQRT('Résultats des tournois'!G$2 + 1)/'Résultats des tournois'!G33) - (1 / (1 + 10^((G$103 - lastVal)/400)))))
)
))"),"")</f>
        <v/>
      </c>
      <c r="I33" s="32" t="str">
        <f>IFERROR(__xludf.DUMMYFUNCTION("IF('Résultats des tournois'!H$2=0,"""",LET(
lastVal, INDEX(FILTER($B33:H33, ISNUMBER($B33:H33)), COUNTA(FILTER($B33:H33, ISNUMBER($B33:H33)))),
IFERROR(
IF('Résultats des tournois'!H33="""", INDEX(FILTER($C33:H33, ISNUMBER($C33:H33)), COUNTA(FILTER($C33:H"&amp;"33, ISNUMBER($C33:H33)))),
lastVal + 'K dynamique'!H33 * ((SQRT('Résultats des tournois'!H$2 + 1)/'Résultats des tournois'!H33) - (1 / (1 + 10^((H$103 - lastVal)/400)))))
)
))"),"")</f>
        <v/>
      </c>
      <c r="J33" s="32" t="str">
        <f>IFERROR(__xludf.DUMMYFUNCTION("IF('Résultats des tournois'!I$2=0,"""",LET(
lastVal, INDEX(FILTER($B33:I33, ISNUMBER($B33:I33)), COUNTA(FILTER($B33:I33, ISNUMBER($B33:I33)))),
IFERROR(
IF('Résultats des tournois'!I33="""", INDEX(FILTER($C33:I33, ISNUMBER($C33:I33)), COUNTA(FILTER($C33:I"&amp;"33, ISNUMBER($C33:I33)))),
lastVal + 'K dynamique'!I33 * ((SQRT('Résultats des tournois'!I$2 + 1)/'Résultats des tournois'!I33) - (1 / (1 + 10^((I$103 - lastVal)/400)))))
)
))"),"")</f>
        <v/>
      </c>
      <c r="K33" s="32" t="str">
        <f>IFERROR(__xludf.DUMMYFUNCTION("IF('Résultats des tournois'!J$2=0,"""",LET(
lastVal, INDEX(FILTER($B33:J33, ISNUMBER($B33:J33)), COUNTA(FILTER($B33:J33, ISNUMBER($B33:J33)))),
IFERROR(
IF('Résultats des tournois'!J33="""", INDEX(FILTER($C33:J33, ISNUMBER($C33:J33)), COUNTA(FILTER($C33:J"&amp;"33, ISNUMBER($C33:J33)))),
lastVal + 'K dynamique'!J33 * ((SQRT('Résultats des tournois'!J$2 + 1)/'Résultats des tournois'!J33) - (1 / (1 + 10^((J$103 - lastVal)/400)))))
)
))"),"")</f>
        <v/>
      </c>
      <c r="L33" s="32" t="str">
        <f>IFERROR(__xludf.DUMMYFUNCTION("IF('Résultats des tournois'!K$2=0,"""",LET(
lastVal, INDEX(FILTER($B33:K33, ISNUMBER($B33:K33)), COUNTA(FILTER($B33:K33, ISNUMBER($B33:K33)))),
IFERROR(
IF('Résultats des tournois'!K33="""", INDEX(FILTER($C33:K33, ISNUMBER($C33:K33)), COUNTA(FILTER($C33:K"&amp;"33, ISNUMBER($C33:K33)))),
lastVal + 'K dynamique'!K33 * ((SQRT('Résultats des tournois'!K$2 + 1)/'Résultats des tournois'!K33) - (1 / (1 + 10^((K$103 - lastVal)/400)))))
)
))"),"")</f>
        <v/>
      </c>
      <c r="M33" s="32" t="str">
        <f>IFERROR(__xludf.DUMMYFUNCTION("IF('Résultats des tournois'!L$2=0,"""",LET(
lastVal, INDEX(FILTER($B33:L33, ISNUMBER($B33:L33)), COUNTA(FILTER($B33:L33, ISNUMBER($B33:L33)))),
IFERROR(
IF('Résultats des tournois'!L33="""", INDEX(FILTER($C33:L33, ISNUMBER($C33:L33)), COUNTA(FILTER($C33:L"&amp;"33, ISNUMBER($C33:L33)))),
lastVal + 'K dynamique'!L33 * ((SQRT('Résultats des tournois'!L$2 + 1)/'Résultats des tournois'!L33) - (1 / (1 + 10^((L$103 - lastVal)/400)))))
)
))"),"")</f>
        <v/>
      </c>
      <c r="N33" s="32" t="str">
        <f>IFERROR(__xludf.DUMMYFUNCTION("IF('Résultats des tournois'!M$2=0,"""",LET(
lastVal, INDEX(FILTER($B33:M33, ISNUMBER($B33:M33)), COUNTA(FILTER($B33:M33, ISNUMBER($B33:M33)))),
IFERROR(
IF('Résultats des tournois'!M33="""", INDEX(FILTER($C33:M33, ISNUMBER($C33:M33)), COUNTA(FILTER($C33:M"&amp;"33, ISNUMBER($C33:M33)))),
lastVal + 'K dynamique'!M33 * ((SQRT('Résultats des tournois'!M$2 + 1)/'Résultats des tournois'!M33) - (1 / (1 + 10^((M$103 - lastVal)/400)))))
)
))"),"")</f>
        <v/>
      </c>
      <c r="O33" s="32" t="str">
        <f>IFERROR(__xludf.DUMMYFUNCTION("IF('Résultats des tournois'!N$2=0,"""",LET(
lastVal, INDEX(FILTER($B33:N33, ISNUMBER($B33:N33)), COUNTA(FILTER($B33:N33, ISNUMBER($B33:N33)))),
IFERROR(
IF('Résultats des tournois'!N33="""", INDEX(FILTER($C33:N33, ISNUMBER($C33:N33)), COUNTA(FILTER($C33:N"&amp;"33, ISNUMBER($C33:N33)))),
lastVal + 'K dynamique'!N33 * ((SQRT('Résultats des tournois'!N$2 + 1)/'Résultats des tournois'!N33) - (1 / (1 + 10^((N$103 - lastVal)/400)))))
)
))"),"")</f>
        <v/>
      </c>
      <c r="P33" s="32" t="str">
        <f>IFERROR(__xludf.DUMMYFUNCTION("IF('Résultats des tournois'!O$2=0,"""",LET(
lastVal, INDEX(FILTER($B33:O33, ISNUMBER($B33:O33)), COUNTA(FILTER($B33:O33, ISNUMBER($B33:O33)))),
IFERROR(
IF('Résultats des tournois'!O33="""", INDEX(FILTER($C33:O33, ISNUMBER($C33:O33)), COUNTA(FILTER($C33:O"&amp;"33, ISNUMBER($C33:O33)))),
lastVal + 'K dynamique'!O33 * ((SQRT('Résultats des tournois'!O$2 + 1)/'Résultats des tournois'!O33) - (1 / (1 + 10^((O$103 - lastVal)/400)))))
)
))"),"")</f>
        <v/>
      </c>
      <c r="Q33" s="32" t="str">
        <f>IFERROR(__xludf.DUMMYFUNCTION("IF('Résultats des tournois'!P$2=0,"""",LET(
lastVal, INDEX(FILTER($B33:P33, ISNUMBER($B33:P33)), COUNTA(FILTER($B33:P33, ISNUMBER($B33:P33)))),
IFERROR(
IF('Résultats des tournois'!P33="""", INDEX(FILTER($C33:P33, ISNUMBER($C33:P33)), COUNTA(FILTER($C33:P"&amp;"33, ISNUMBER($C33:P33)))),
lastVal + 'K dynamique'!P33 * ((SQRT('Résultats des tournois'!P$2 + 1)/'Résultats des tournois'!P33) - (1 / (1 + 10^((P$103 - lastVal)/400)))))
)
))"),"")</f>
        <v/>
      </c>
      <c r="R33" s="32" t="str">
        <f>IFERROR(__xludf.DUMMYFUNCTION("IF('Résultats des tournois'!Q$2=0,"""",LET(
lastVal, INDEX(FILTER($B33:Q33, ISNUMBER($B33:Q33)), COUNTA(FILTER($B33:Q33, ISNUMBER($B33:Q33)))),
IFERROR(
IF('Résultats des tournois'!Q33="""", INDEX(FILTER($C33:Q33, ISNUMBER($C33:Q33)), COUNTA(FILTER($C33:Q"&amp;"33, ISNUMBER($C33:Q33)))),
lastVal + 'K dynamique'!Q33 * ((SQRT('Résultats des tournois'!Q$2 + 1)/'Résultats des tournois'!Q33) - (1 / (1 + 10^((Q$103 - lastVal)/400)))))
)
))"),"")</f>
        <v/>
      </c>
      <c r="S33" s="32" t="str">
        <f>IFERROR(__xludf.DUMMYFUNCTION("IF('Résultats des tournois'!R$2=0,"""",LET(
lastVal, INDEX(FILTER($B33:R33, ISNUMBER($B33:R33)), COUNTA(FILTER($B33:R33, ISNUMBER($B33:R33)))),
IFERROR(
IF('Résultats des tournois'!R33="""", INDEX(FILTER($C33:R33, ISNUMBER($C33:R33)), COUNTA(FILTER($C33:R"&amp;"33, ISNUMBER($C33:R33)))),
lastVal + 'K dynamique'!R33 * ((SQRT('Résultats des tournois'!R$2 + 1)/'Résultats des tournois'!R33) - (1 / (1 + 10^((R$103 - lastVal)/400)))))
)
))"),"")</f>
        <v/>
      </c>
      <c r="T33" s="32" t="str">
        <f>IFERROR(__xludf.DUMMYFUNCTION("IF('Résultats des tournois'!S$2=0,"""",LET(
lastVal, INDEX(FILTER($B33:S33, ISNUMBER($B33:S33)), COUNTA(FILTER($B33:S33, ISNUMBER($B33:S33)))),
IFERROR(
IF('Résultats des tournois'!S33="""", INDEX(FILTER($C33:S33, ISNUMBER($C33:S33)), COUNTA(FILTER($C33:S"&amp;"33, ISNUMBER($C33:S33)))),
lastVal + 'K dynamique'!S33 * ((SQRT('Résultats des tournois'!S$2 + 1)/'Résultats des tournois'!S33) - (1 / (1 + 10^((S$103 - lastVal)/400)))))
)
))"),"")</f>
        <v/>
      </c>
      <c r="U33" s="32" t="str">
        <f>IFERROR(__xludf.DUMMYFUNCTION("IF('Résultats des tournois'!T$2=0,"""",LET(
lastVal, INDEX(FILTER($B33:T33, ISNUMBER($B33:T33)), COUNTA(FILTER($B33:T33, ISNUMBER($B33:T33)))),
IFERROR(
IF('Résultats des tournois'!T33="""", INDEX(FILTER($C33:T33, ISNUMBER($C33:T33)), COUNTA(FILTER($C33:T"&amp;"33, ISNUMBER($C33:T33)))),
lastVal + 'K dynamique'!T33 * ((SQRT('Résultats des tournois'!T$2 + 1)/'Résultats des tournois'!T33) - (1 / (1 + 10^((T$103 - lastVal)/400)))))
)
))"),"")</f>
        <v/>
      </c>
      <c r="V33" s="32" t="str">
        <f>IFERROR(__xludf.DUMMYFUNCTION("IF('Résultats des tournois'!U$2=0,"""",LET(
lastVal, INDEX(FILTER($B33:U33, ISNUMBER($B33:U33)), COUNTA(FILTER($B33:U33, ISNUMBER($B33:U33)))),
IFERROR(
IF('Résultats des tournois'!U33="""", INDEX(FILTER($C33:U33, ISNUMBER($C33:U33)), COUNTA(FILTER($C33:U"&amp;"33, ISNUMBER($C33:U33)))),
lastVal + 'K dynamique'!U33 * ((SQRT('Résultats des tournois'!U$2 + 1)/'Résultats des tournois'!U33) - (1 / (1 + 10^((U$103 - lastVal)/400)))))
)
))"),"")</f>
        <v/>
      </c>
      <c r="W33" s="32" t="str">
        <f>IFERROR(__xludf.DUMMYFUNCTION("IF('Résultats des tournois'!V$2=0,"""",LET(
lastVal, INDEX(FILTER($B33:V33, ISNUMBER($B33:V33)), COUNTA(FILTER($B33:V33, ISNUMBER($B33:V33)))),
IFERROR(
IF('Résultats des tournois'!V33="""", INDEX(FILTER($C33:V33, ISNUMBER($C33:V33)), COUNTA(FILTER($C33:V"&amp;"33, ISNUMBER($C33:V33)))),
lastVal + 'K dynamique'!V33 * ((SQRT('Résultats des tournois'!V$2 + 1)/'Résultats des tournois'!V33) - (1 / (1 + 10^((V$103 - lastVal)/400)))))
)
))"),"")</f>
        <v/>
      </c>
      <c r="X33" s="32" t="str">
        <f>IFERROR(__xludf.DUMMYFUNCTION("IF('Résultats des tournois'!W$2=0,"""",LET(
lastVal, INDEX(FILTER($B33:W33, ISNUMBER($B33:W33)), COUNTA(FILTER($B33:W33, ISNUMBER($B33:W33)))),
IFERROR(
IF('Résultats des tournois'!W33="""", INDEX(FILTER($C33:W33, ISNUMBER($C33:W33)), COUNTA(FILTER($C33:W"&amp;"33, ISNUMBER($C33:W33)))),
lastVal + 'K dynamique'!W33 * ((SQRT('Résultats des tournois'!W$2 + 1)/'Résultats des tournois'!W33) - (1 / (1 + 10^((W$103 - lastVal)/400)))))
)
))"),"")</f>
        <v/>
      </c>
      <c r="Y33" s="32" t="str">
        <f>IFERROR(__xludf.DUMMYFUNCTION("IF('Résultats des tournois'!X$2=0,"""",LET(
lastVal, INDEX(FILTER($B33:X33, ISNUMBER($B33:X33)), COUNTA(FILTER($B33:X33, ISNUMBER($B33:X33)))),
IFERROR(
IF('Résultats des tournois'!X33="""", INDEX(FILTER($C33:X33, ISNUMBER($C33:X33)), COUNTA(FILTER($C33:X"&amp;"33, ISNUMBER($C33:X33)))),
lastVal + 'K dynamique'!X33 * ((SQRT('Résultats des tournois'!X$2 + 1)/'Résultats des tournois'!X33) - (1 / (1 + 10^((X$103 - lastVal)/400)))))
)
))"),"")</f>
        <v/>
      </c>
      <c r="Z33" s="32" t="str">
        <f>IFERROR(__xludf.DUMMYFUNCTION("IF('Résultats des tournois'!Y$2=0,"""",LET(
lastVal, INDEX(FILTER($B33:Y33, ISNUMBER($B33:Y33)), COUNTA(FILTER($B33:Y33, ISNUMBER($B33:Y33)))),
IFERROR(
IF('Résultats des tournois'!Y33="""", INDEX(FILTER($C33:Y33, ISNUMBER($C33:Y33)), COUNTA(FILTER($C33:Y"&amp;"33, ISNUMBER($C33:Y33)))),
lastVal + 'K dynamique'!Y33 * ((SQRT('Résultats des tournois'!Y$2 + 1)/'Résultats des tournois'!Y33) - (1 / (1 + 10^((Y$103 - lastVal)/400)))))
)
))"),"")</f>
        <v/>
      </c>
      <c r="AA33" s="32" t="str">
        <f>IFERROR(__xludf.DUMMYFUNCTION("IF('Résultats des tournois'!Z$2=0,"""",LET(
lastVal, INDEX(FILTER($B33:Z33, ISNUMBER($B33:Z33)), COUNTA(FILTER($B33:Z33, ISNUMBER($B33:Z33)))),
IFERROR(
IF('Résultats des tournois'!Z33="""", INDEX(FILTER($C33:Z33, ISNUMBER($C33:Z33)), COUNTA(FILTER($C33:Z"&amp;"33, ISNUMBER($C33:Z33)))),
lastVal + 'K dynamique'!Z33 * ((SQRT('Résultats des tournois'!Z$2 + 1)/'Résultats des tournois'!Z33) - (1 / (1 + 10^((Z$103 - lastVal)/400)))))
)
))"),"")</f>
        <v/>
      </c>
      <c r="AB33" s="32" t="str">
        <f>IFERROR(__xludf.DUMMYFUNCTION("IF('Résultats des tournois'!AA$2=0,"""",LET(
lastVal, INDEX(FILTER($B33:AA33, ISNUMBER($B33:AA33)), COUNTA(FILTER($B33:AA33, ISNUMBER($B33:AA33)))),
IFERROR(
IF('Résultats des tournois'!AA33="""", INDEX(FILTER($C33:AA33, ISNUMBER($C33:AA33)), COUNTA(FILTE"&amp;"R($C33:AA33, ISNUMBER($C33:AA33)))),
lastVal + 'K dynamique'!AA33 * ((SQRT('Résultats des tournois'!AA$2 + 1)/'Résultats des tournois'!AA33) - (1 / (1 + 10^((AA$103 - lastVal)/400)))))
)
))"),"")</f>
        <v/>
      </c>
      <c r="AC33" s="32" t="str">
        <f>IFERROR(__xludf.DUMMYFUNCTION("IF('Résultats des tournois'!AB$2=0,"""",LET(
lastVal, INDEX(FILTER($B33:AB33, ISNUMBER($B33:AB33)), COUNTA(FILTER($B33:AB33, ISNUMBER($B33:AB33)))),
IFERROR(
IF('Résultats des tournois'!AB33="""", INDEX(FILTER($C33:AB33, ISNUMBER($C33:AB33)), COUNTA(FILTE"&amp;"R($C33:AB33, ISNUMBER($C33:AB33)))),
lastVal + 'K dynamique'!AB33 * ((SQRT('Résultats des tournois'!AB$2 + 1)/'Résultats des tournois'!AB33) - (1 / (1 + 10^((AB$103 - lastVal)/400)))))
)
))"),"")</f>
        <v/>
      </c>
      <c r="AD33" s="32" t="str">
        <f>IFERROR(__xludf.DUMMYFUNCTION("IF('Résultats des tournois'!AC$2=0,"""",LET(
lastVal, INDEX(FILTER($B33:AC33, ISNUMBER($B33:AC33)), COUNTA(FILTER($B33:AC33, ISNUMBER($B33:AC33)))),
IFERROR(
IF('Résultats des tournois'!AC33="""", INDEX(FILTER($C33:AC33, ISNUMBER($C33:AC33)), COUNTA(FILTE"&amp;"R($C33:AC33, ISNUMBER($C33:AC33)))),
lastVal + 'K dynamique'!AC33 * ((SQRT('Résultats des tournois'!AC$2 + 1)/'Résultats des tournois'!AC33) - (1 / (1 + 10^((AC$103 - lastVal)/400)))))
)
))"),"")</f>
        <v/>
      </c>
      <c r="AE33" s="32" t="str">
        <f>IFERROR(__xludf.DUMMYFUNCTION("IF('Résultats des tournois'!AD$2=0,"""",LET(
lastVal, INDEX(FILTER($B33:AD33, ISNUMBER($B33:AD33)), COUNTA(FILTER($B33:AD33, ISNUMBER($B33:AD33)))),
IFERROR(
IF('Résultats des tournois'!AD33="""", INDEX(FILTER($C33:AD33, ISNUMBER($C33:AD33)), COUNTA(FILTE"&amp;"R($C33:AD33, ISNUMBER($C33:AD33)))),
lastVal + 'K dynamique'!AD33 * ((SQRT('Résultats des tournois'!AD$2 + 1)/'Résultats des tournois'!AD33) - (1 / (1 + 10^((AD$103 - lastVal)/400)))))
)
))"),"")</f>
        <v/>
      </c>
      <c r="AF33" s="32" t="str">
        <f>IFERROR(__xludf.DUMMYFUNCTION("IF('Résultats des tournois'!AE$2=0,"""",LET(
lastVal, INDEX(FILTER($B33:AE33, ISNUMBER($B33:AE33)), COUNTA(FILTER($B33:AE33, ISNUMBER($B33:AE33)))),
IFERROR(
IF('Résultats des tournois'!AE33="""", INDEX(FILTER($C33:AE33, ISNUMBER($C33:AE33)), COUNTA(FILTE"&amp;"R($C33:AE33, ISNUMBER($C33:AE33)))),
lastVal + 'K dynamique'!AE33 * ((SQRT('Résultats des tournois'!AE$2 + 1)/'Résultats des tournois'!AE33) - (1 / (1 + 10^((AE$103 - lastVal)/400)))))
)
))"),"")</f>
        <v/>
      </c>
      <c r="AG33" s="32" t="str">
        <f>IFERROR(__xludf.DUMMYFUNCTION("IF('Résultats des tournois'!AF$2=0,"""",LET(
lastVal, INDEX(FILTER($B33:AF33, ISNUMBER($B33:AF33)), COUNTA(FILTER($B33:AF33, ISNUMBER($B33:AF33)))),
IFERROR(
IF('Résultats des tournois'!AF33="""", INDEX(FILTER($C33:AF33, ISNUMBER($C33:AF33)), COUNTA(FILTE"&amp;"R($C33:AF33, ISNUMBER($C33:AF33)))),
lastVal + 'K dynamique'!AF33 * ((SQRT('Résultats des tournois'!AF$2 + 1)/'Résultats des tournois'!AF33) - (1 / (1 + 10^((AF$103 - lastVal)/400)))))
)
))"),"")</f>
        <v/>
      </c>
      <c r="AH33" s="32" t="str">
        <f>IFERROR(__xludf.DUMMYFUNCTION("IF('Résultats des tournois'!AG$2=0,"""",LET(
lastVal, INDEX(FILTER($B33:AG33, ISNUMBER($B33:AG33)), COUNTA(FILTER($B33:AG33, ISNUMBER($B33:AG33)))),
IFERROR(
IF('Résultats des tournois'!AG33="""", INDEX(FILTER($C33:AG33, ISNUMBER($C33:AG33)), COUNTA(FILTE"&amp;"R($C33:AG33, ISNUMBER($C33:AG33)))),
lastVal + 'K dynamique'!AG33 * ((SQRT('Résultats des tournois'!AG$2 + 1)/'Résultats des tournois'!AG33) - (1 / (1 + 10^((AG$103 - lastVal)/400)))))
)
))"),"")</f>
        <v/>
      </c>
      <c r="AI33" s="32" t="str">
        <f>IFERROR(__xludf.DUMMYFUNCTION("IF('Résultats des tournois'!AH$2=0,"""",LET(
lastVal, INDEX(FILTER($B33:AH33, ISNUMBER($B33:AH33)), COUNTA(FILTER($B33:AH33, ISNUMBER($B33:AH33)))),
IFERROR(
IF('Résultats des tournois'!AH33="""", INDEX(FILTER($C33:AH33, ISNUMBER($C33:AH33)), COUNTA(FILTE"&amp;"R($C33:AH33, ISNUMBER($C33:AH33)))),
lastVal + 'K dynamique'!AH33 * ((SQRT('Résultats des tournois'!AH$2 + 1)/'Résultats des tournois'!AH33) - (1 / (1 + 10^((AH$103 - lastVal)/400)))))
)
))"),"")</f>
        <v/>
      </c>
      <c r="AJ33" s="32" t="str">
        <f>IFERROR(__xludf.DUMMYFUNCTION("IF('Résultats des tournois'!AI$2=0,"""",LET(
lastVal, INDEX(FILTER($B33:AI33, ISNUMBER($B33:AI33)), COUNTA(FILTER($B33:AI33, ISNUMBER($B33:AI33)))),
IFERROR(
IF('Résultats des tournois'!AI33="""", INDEX(FILTER($C33:AI33, ISNUMBER($C33:AI33)), COUNTA(FILTE"&amp;"R($C33:AI33, ISNUMBER($C33:AI33)))),
lastVal + 'K dynamique'!AI33 * ((SQRT('Résultats des tournois'!AI$2 + 1)/'Résultats des tournois'!AI33) - (1 / (1 + 10^((AI$103 - lastVal)/400)))))
)
))"),"")</f>
        <v/>
      </c>
      <c r="AK33" s="32" t="str">
        <f>IFERROR(__xludf.DUMMYFUNCTION("IF('Résultats des tournois'!AJ$2=0,"""",LET(
lastVal, INDEX(FILTER($B33:AJ33, ISNUMBER($B33:AJ33)), COUNTA(FILTER($B33:AJ33, ISNUMBER($B33:AJ33)))),
IFERROR(
IF('Résultats des tournois'!AJ33="""", INDEX(FILTER($C33:AJ33, ISNUMBER($C33:AJ33)), COUNTA(FILTE"&amp;"R($C33:AJ33, ISNUMBER($C33:AJ33)))),
lastVal + 'K dynamique'!AJ33 * ((SQRT('Résultats des tournois'!AJ$2 + 1)/'Résultats des tournois'!AJ33) - (1 / (1 + 10^((AJ$103 - lastVal)/400)))))
)
))"),"")</f>
        <v/>
      </c>
      <c r="AL33" s="32" t="str">
        <f>IFERROR(__xludf.DUMMYFUNCTION("IF('Résultats des tournois'!AK$2=0,"""",LET(
lastVal, INDEX(FILTER($B33:AK33, ISNUMBER($B33:AK33)), COUNTA(FILTER($B33:AK33, ISNUMBER($B33:AK33)))),
IFERROR(
IF('Résultats des tournois'!AK33="""", INDEX(FILTER($C33:AK33, ISNUMBER($C33:AK33)), COUNTA(FILTE"&amp;"R($C33:AK33, ISNUMBER($C33:AK33)))),
lastVal + 'K dynamique'!AK33 * ((SQRT('Résultats des tournois'!AK$2 + 1)/'Résultats des tournois'!AK33) - (1 / (1 + 10^((AK$103 - lastVal)/400)))))
)
))"),"")</f>
        <v/>
      </c>
      <c r="AM33" s="32" t="str">
        <f>IFERROR(__xludf.DUMMYFUNCTION("IF('Résultats des tournois'!AL$2=0,"""",LET(
lastVal, INDEX(FILTER($B33:AL33, ISNUMBER($B33:AL33)), COUNTA(FILTER($B33:AL33, ISNUMBER($B33:AL33)))),
IFERROR(
IF('Résultats des tournois'!AL33="""", INDEX(FILTER($C33:AL33, ISNUMBER($C33:AL33)), COUNTA(FILTE"&amp;"R($C33:AL33, ISNUMBER($C33:AL33)))),
lastVal + 'K dynamique'!AL33 * ((SQRT('Résultats des tournois'!AL$2 + 1)/'Résultats des tournois'!AL33) - (1 / (1 + 10^((AL$103 - lastVal)/400)))))
)
))"),"")</f>
        <v/>
      </c>
      <c r="AN33" s="32" t="str">
        <f>IFERROR(__xludf.DUMMYFUNCTION("IF('Résultats des tournois'!AM$2=0,"""",LET(
lastVal, INDEX(FILTER($B33:AM33, ISNUMBER($B33:AM33)), COUNTA(FILTER($B33:AM33, ISNUMBER($B33:AM33)))),
IFERROR(
IF('Résultats des tournois'!AM33="""", INDEX(FILTER($C33:AM33, ISNUMBER($C33:AM33)), COUNTA(FILTE"&amp;"R($C33:AM33, ISNUMBER($C33:AM33)))),
lastVal + 'K dynamique'!AM33 * ((SQRT('Résultats des tournois'!AM$2 + 1)/'Résultats des tournois'!AM33) - (1 / (1 + 10^((AM$103 - lastVal)/400)))))
)
))"),"")</f>
        <v/>
      </c>
      <c r="AO33" s="32" t="str">
        <f>IFERROR(__xludf.DUMMYFUNCTION("IF('Résultats des tournois'!AN$2=0,"""",LET(
lastVal, INDEX(FILTER($B33:AN33, ISNUMBER($B33:AN33)), COUNTA(FILTER($B33:AN33, ISNUMBER($B33:AN33)))),
IFERROR(
IF('Résultats des tournois'!AN33="""", INDEX(FILTER($C33:AN33, ISNUMBER($C33:AN33)), COUNTA(FILTE"&amp;"R($C33:AN33, ISNUMBER($C33:AN33)))),
lastVal + 'K dynamique'!AN33 * ((SQRT('Résultats des tournois'!AN$2 + 1)/'Résultats des tournois'!AN33) - (1 / (1 + 10^((AN$103 - lastVal)/400)))))
)
))"),"")</f>
        <v/>
      </c>
      <c r="AP33" s="32" t="str">
        <f>IFERROR(__xludf.DUMMYFUNCTION("IF('Résultats des tournois'!AO$2=0,"""",LET(
lastVal, INDEX(FILTER($B33:AO33, ISNUMBER($B33:AO33)), COUNTA(FILTER($B33:AO33, ISNUMBER($B33:AO33)))),
IFERROR(
IF('Résultats des tournois'!AO33="""", INDEX(FILTER($C33:AO33, ISNUMBER($C33:AO33)), COUNTA(FILTE"&amp;"R($C33:AO33, ISNUMBER($C33:AO33)))),
lastVal + 'K dynamique'!AO33 * ((SQRT('Résultats des tournois'!AO$2 + 1)/'Résultats des tournois'!AO33) - (1 / (1 + 10^((AO$103 - lastVal)/400)))))
)
))"),"")</f>
        <v/>
      </c>
      <c r="AQ33" s="32" t="str">
        <f>IFERROR(__xludf.DUMMYFUNCTION("IF('Résultats des tournois'!AP$2=0,"""",LET(
lastVal, INDEX(FILTER($B33:AP33, ISNUMBER($B33:AP33)), COUNTA(FILTER($B33:AP33, ISNUMBER($B33:AP33)))),
IFERROR(
IF('Résultats des tournois'!AP33="""", INDEX(FILTER($C33:AP33, ISNUMBER($C33:AP33)), COUNTA(FILTE"&amp;"R($C33:AP33, ISNUMBER($C33:AP33)))),
lastVal + 'K dynamique'!AP33 * ((SQRT('Résultats des tournois'!AP$2 + 1)/'Résultats des tournois'!AP33) - (1 / (1 + 10^((AP$103 - lastVal)/400)))))
)
))"),"")</f>
        <v/>
      </c>
      <c r="AR33" s="32" t="str">
        <f>IFERROR(__xludf.DUMMYFUNCTION("IF('Résultats des tournois'!AQ$2=0,"""",LET(
lastVal, INDEX(FILTER($B33:AQ33, ISNUMBER($B33:AQ33)), COUNTA(FILTER($B33:AQ33, ISNUMBER($B33:AQ33)))),
IFERROR(
IF('Résultats des tournois'!AQ33="""", INDEX(FILTER($C33:AQ33, ISNUMBER($C33:AQ33)), COUNTA(FILTE"&amp;"R($C33:AQ33, ISNUMBER($C33:AQ33)))),
lastVal + 'K dynamique'!AQ33 * ((SQRT('Résultats des tournois'!AQ$2 + 1)/'Résultats des tournois'!AQ33) - (1 / (1 + 10^((AQ$103 - lastVal)/400)))))
)
))"),"")</f>
        <v/>
      </c>
      <c r="AS33" s="32" t="str">
        <f>IFERROR(__xludf.DUMMYFUNCTION("IF('Résultats des tournois'!AR$2=0,"""",LET(
lastVal, INDEX(FILTER($B33:AR33, ISNUMBER($B33:AR33)), COUNTA(FILTER($B33:AR33, ISNUMBER($B33:AR33)))),
IFERROR(
IF('Résultats des tournois'!AR33="""", INDEX(FILTER($C33:AR33, ISNUMBER($C33:AR33)), COUNTA(FILTE"&amp;"R($C33:AR33, ISNUMBER($C33:AR33)))),
lastVal + 'K dynamique'!AR33 * ((SQRT('Résultats des tournois'!AR$2 + 1)/'Résultats des tournois'!AR33) - (1 / (1 + 10^((AR$103 - lastVal)/400)))))
)
))"),"")</f>
        <v/>
      </c>
      <c r="AT33" s="32" t="str">
        <f>IFERROR(__xludf.DUMMYFUNCTION("IF('Résultats des tournois'!AS$2=0,"""",LET(
lastVal, INDEX(FILTER($B33:AS33, ISNUMBER($B33:AS33)), COUNTA(FILTER($B33:AS33, ISNUMBER($B33:AS33)))),
IFERROR(
IF('Résultats des tournois'!AS33="""", INDEX(FILTER($C33:AS33, ISNUMBER($C33:AS33)), COUNTA(FILTE"&amp;"R($C33:AS33, ISNUMBER($C33:AS33)))),
lastVal + 'K dynamique'!AS33 * ((SQRT('Résultats des tournois'!AS$2 + 1)/'Résultats des tournois'!AS33) - (1 / (1 + 10^((AS$103 - lastVal)/400)))))
)
))"),"")</f>
        <v/>
      </c>
      <c r="AU33" s="32" t="str">
        <f>IFERROR(__xludf.DUMMYFUNCTION("IF('Résultats des tournois'!AT$2=0,"""",LET(
lastVal, INDEX(FILTER($B33:AT33, ISNUMBER($B33:AT33)), COUNTA(FILTER($B33:AT33, ISNUMBER($B33:AT33)))),
IFERROR(
IF('Résultats des tournois'!AT33="""", INDEX(FILTER($C33:AT33, ISNUMBER($C33:AT33)), COUNTA(FILTE"&amp;"R($C33:AT33, ISNUMBER($C33:AT33)))),
lastVal + 'K dynamique'!AT33 * ((SQRT('Résultats des tournois'!AT$2 + 1)/'Résultats des tournois'!AT33) - (1 / (1 + 10^((AT$103 - lastVal)/400)))))
)
))"),"")</f>
        <v/>
      </c>
      <c r="AV33" s="32" t="str">
        <f>IFERROR(__xludf.DUMMYFUNCTION("IF('Résultats des tournois'!AU$2=0,"""",LET(
lastVal, INDEX(FILTER($B33:AU33, ISNUMBER($B33:AU33)), COUNTA(FILTER($B33:AU33, ISNUMBER($B33:AU33)))),
IFERROR(
IF('Résultats des tournois'!AU33="""", INDEX(FILTER($C33:AU33, ISNUMBER($C33:AU33)), COUNTA(FILTE"&amp;"R($C33:AU33, ISNUMBER($C33:AU33)))),
lastVal + 'K dynamique'!AU33 * ((SQRT('Résultats des tournois'!AU$2 + 1)/'Résultats des tournois'!AU33) - (1 / (1 + 10^((AU$103 - lastVal)/400)))))
)
))"),"")</f>
        <v/>
      </c>
      <c r="AW33" s="32" t="str">
        <f>IFERROR(__xludf.DUMMYFUNCTION("IF('Résultats des tournois'!AV$2=0,"""",LET(
lastVal, INDEX(FILTER($B33:AV33, ISNUMBER($B33:AV33)), COUNTA(FILTER($B33:AV33, ISNUMBER($B33:AV33)))),
IFERROR(
IF('Résultats des tournois'!AV33="""", INDEX(FILTER($C33:AV33, ISNUMBER($C33:AV33)), COUNTA(FILTE"&amp;"R($C33:AV33, ISNUMBER($C33:AV33)))),
lastVal + 'K dynamique'!AV33 * ((SQRT('Résultats des tournois'!AV$2 + 1)/'Résultats des tournois'!AV33) - (1 / (1 + 10^((AV$103 - lastVal)/400)))))
)
))"),"")</f>
        <v/>
      </c>
      <c r="AX33" s="32" t="str">
        <f>IFERROR(__xludf.DUMMYFUNCTION("IF('Résultats des tournois'!AW$2=0,"""",LET(
lastVal, INDEX(FILTER($B33:AW33, ISNUMBER($B33:AW33)), COUNTA(FILTER($B33:AW33, ISNUMBER($B33:AW33)))),
IFERROR(
IF('Résultats des tournois'!AW33="""", INDEX(FILTER($C33:AW33, ISNUMBER($C33:AW33)), COUNTA(FILTE"&amp;"R($C33:AW33, ISNUMBER($C33:AW33)))),
lastVal + 'K dynamique'!AW33 * ((SQRT('Résultats des tournois'!AW$2 + 1)/'Résultats des tournois'!AW33) - (1 / (1 + 10^((AW$103 - lastVal)/400)))))
)
))"),"")</f>
        <v/>
      </c>
      <c r="AY33" s="32" t="str">
        <f>IFERROR(__xludf.DUMMYFUNCTION("IF('Résultats des tournois'!AX$2=0,"""",LET(
lastVal, INDEX(FILTER($B33:AX33, ISNUMBER($B33:AX33)), COUNTA(FILTER($B33:AX33, ISNUMBER($B33:AX33)))),
IFERROR(
IF('Résultats des tournois'!AX33="""", INDEX(FILTER($C33:AX33, ISNUMBER($C33:AX33)), COUNTA(FILTE"&amp;"R($C33:AX33, ISNUMBER($C33:AX33)))),
lastVal + 'K dynamique'!AX33 * ((SQRT('Résultats des tournois'!AX$2 + 1)/'Résultats des tournois'!AX33) - (1 / (1 + 10^((AX$103 - lastVal)/400)))))
)
))"),"")</f>
        <v/>
      </c>
      <c r="AZ33" s="4" t="str">
        <f t="array" ref="AZ33">IF(MAX(($C33:AY33&lt;&gt;"")*COLUMN($C33:AY33))=0,"",INDEX($C33:AY33,1,MAX(($C33:AY33&lt;&gt;"")*COLUMN($C33:AY33))-COLUMN($C33)+1))</f>
        <v/>
      </c>
      <c r="BA33" s="33" t="str">
        <f t="shared" si="1"/>
        <v/>
      </c>
    </row>
    <row r="34" ht="14.25" customHeight="1">
      <c r="A34" s="32" t="str">
        <f>IF('Résultats des tournois'!A34="","",'Résultats des tournois'!A34)</f>
        <v/>
      </c>
      <c r="B34" s="32">
        <v>1500.0</v>
      </c>
      <c r="C34" s="32" t="str">
        <f>IF('Résultats des tournois'!B34="","",B34+'K dynamique'!B34*((SQRT('Résultats des tournois'!B$2+1)/'Résultats des tournois'!B34)-(1/(1+10^((B34-B34)/400)))))</f>
        <v/>
      </c>
      <c r="D34" s="32" t="str">
        <f>IFERROR(__xludf.DUMMYFUNCTION("IF('Résultats des tournois'!C$2=0,"""",LET(
lastVal, INDEX(FILTER($B34:C34, ISNUMBER($B34:C34)), COUNTA(FILTER($B34:C34, ISNUMBER($B34:C34)))),
IFERROR(
IF('Résultats des tournois'!C34="""", INDEX(FILTER($C34:C34, ISNUMBER($C34:C34)), COUNTA(FILTER($C34:C"&amp;"34, ISNUMBER($C34:C34)))),
lastVal + 'K dynamique'!C34 * ((SQRT('Résultats des tournois'!C$2 + 1)/'Résultats des tournois'!C34) - (1 / (1 + 10^((C$103 - lastVal)/400)))))
)
))"),"")</f>
        <v/>
      </c>
      <c r="E34" s="32" t="str">
        <f>IFERROR(__xludf.DUMMYFUNCTION("IF('Résultats des tournois'!D$2=0,"""",LET(
lastVal, INDEX(FILTER($B34:D34, ISNUMBER($B34:D34)), COUNTA(FILTER($B34:D34, ISNUMBER($B34:D34)))),
IFERROR(
IF('Résultats des tournois'!D34="""", INDEX(FILTER($C34:D34, ISNUMBER($C34:D34)), COUNTA(FILTER($C34:D"&amp;"34, ISNUMBER($C34:D34)))),
lastVal + 'K dynamique'!D34 * ((SQRT('Résultats des tournois'!D$2 + 1)/'Résultats des tournois'!D34) - (1 / (1 + 10^((D$103 - lastVal)/400)))))
)
))"),"")</f>
        <v/>
      </c>
      <c r="F34" s="32" t="str">
        <f>IFERROR(__xludf.DUMMYFUNCTION("IF('Résultats des tournois'!E$2=0,"""",LET(
lastVal, INDEX(FILTER($B34:E34, ISNUMBER($B34:E34)), COUNTA(FILTER($B34:E34, ISNUMBER($B34:E34)))),
IFERROR(
IF('Résultats des tournois'!E34="""", INDEX(FILTER($C34:E34, ISNUMBER($C34:E34)), COUNTA(FILTER($C34:E"&amp;"34, ISNUMBER($C34:E34)))),
lastVal + 'K dynamique'!E34 * ((SQRT('Résultats des tournois'!E$2 + 1)/'Résultats des tournois'!E34) - (1 / (1 + 10^((E$103 - lastVal)/400)))))
)
))"),"")</f>
        <v/>
      </c>
      <c r="G34" s="32" t="str">
        <f>IFERROR(__xludf.DUMMYFUNCTION("IF('Résultats des tournois'!F$2=0,"""",LET(
lastVal, INDEX(FILTER($B34:F34, ISNUMBER($B34:F34)), COUNTA(FILTER($B34:F34, ISNUMBER($B34:F34)))),
IFERROR(
IF('Résultats des tournois'!F34="""", INDEX(FILTER($C34:F34, ISNUMBER($C34:F34)), COUNTA(FILTER($C34:F"&amp;"34, ISNUMBER($C34:F34)))),
lastVal + 'K dynamique'!F34 * ((SQRT('Résultats des tournois'!F$2 + 1)/'Résultats des tournois'!F34) - (1 / (1 + 10^((F$103 - lastVal)/400)))))
)
))"),"")</f>
        <v/>
      </c>
      <c r="H34" s="32" t="str">
        <f>IFERROR(__xludf.DUMMYFUNCTION("IF('Résultats des tournois'!G$2=0,"""",LET(
lastVal, INDEX(FILTER($B34:G34, ISNUMBER($B34:G34)), COUNTA(FILTER($B34:G34, ISNUMBER($B34:G34)))),
IFERROR(
IF('Résultats des tournois'!G34="""", INDEX(FILTER($C34:G34, ISNUMBER($C34:G34)), COUNTA(FILTER($C34:G"&amp;"34, ISNUMBER($C34:G34)))),
lastVal + 'K dynamique'!G34 * ((SQRT('Résultats des tournois'!G$2 + 1)/'Résultats des tournois'!G34) - (1 / (1 + 10^((G$103 - lastVal)/400)))))
)
))"),"")</f>
        <v/>
      </c>
      <c r="I34" s="32" t="str">
        <f>IFERROR(__xludf.DUMMYFUNCTION("IF('Résultats des tournois'!H$2=0,"""",LET(
lastVal, INDEX(FILTER($B34:H34, ISNUMBER($B34:H34)), COUNTA(FILTER($B34:H34, ISNUMBER($B34:H34)))),
IFERROR(
IF('Résultats des tournois'!H34="""", INDEX(FILTER($C34:H34, ISNUMBER($C34:H34)), COUNTA(FILTER($C34:H"&amp;"34, ISNUMBER($C34:H34)))),
lastVal + 'K dynamique'!H34 * ((SQRT('Résultats des tournois'!H$2 + 1)/'Résultats des tournois'!H34) - (1 / (1 + 10^((H$103 - lastVal)/400)))))
)
))"),"")</f>
        <v/>
      </c>
      <c r="J34" s="32" t="str">
        <f>IFERROR(__xludf.DUMMYFUNCTION("IF('Résultats des tournois'!I$2=0,"""",LET(
lastVal, INDEX(FILTER($B34:I34, ISNUMBER($B34:I34)), COUNTA(FILTER($B34:I34, ISNUMBER($B34:I34)))),
IFERROR(
IF('Résultats des tournois'!I34="""", INDEX(FILTER($C34:I34, ISNUMBER($C34:I34)), COUNTA(FILTER($C34:I"&amp;"34, ISNUMBER($C34:I34)))),
lastVal + 'K dynamique'!I34 * ((SQRT('Résultats des tournois'!I$2 + 1)/'Résultats des tournois'!I34) - (1 / (1 + 10^((I$103 - lastVal)/400)))))
)
))"),"")</f>
        <v/>
      </c>
      <c r="K34" s="32" t="str">
        <f>IFERROR(__xludf.DUMMYFUNCTION("IF('Résultats des tournois'!J$2=0,"""",LET(
lastVal, INDEX(FILTER($B34:J34, ISNUMBER($B34:J34)), COUNTA(FILTER($B34:J34, ISNUMBER($B34:J34)))),
IFERROR(
IF('Résultats des tournois'!J34="""", INDEX(FILTER($C34:J34, ISNUMBER($C34:J34)), COUNTA(FILTER($C34:J"&amp;"34, ISNUMBER($C34:J34)))),
lastVal + 'K dynamique'!J34 * ((SQRT('Résultats des tournois'!J$2 + 1)/'Résultats des tournois'!J34) - (1 / (1 + 10^((J$103 - lastVal)/400)))))
)
))"),"")</f>
        <v/>
      </c>
      <c r="L34" s="32" t="str">
        <f>IFERROR(__xludf.DUMMYFUNCTION("IF('Résultats des tournois'!K$2=0,"""",LET(
lastVal, INDEX(FILTER($B34:K34, ISNUMBER($B34:K34)), COUNTA(FILTER($B34:K34, ISNUMBER($B34:K34)))),
IFERROR(
IF('Résultats des tournois'!K34="""", INDEX(FILTER($C34:K34, ISNUMBER($C34:K34)), COUNTA(FILTER($C34:K"&amp;"34, ISNUMBER($C34:K34)))),
lastVal + 'K dynamique'!K34 * ((SQRT('Résultats des tournois'!K$2 + 1)/'Résultats des tournois'!K34) - (1 / (1 + 10^((K$103 - lastVal)/400)))))
)
))"),"")</f>
        <v/>
      </c>
      <c r="M34" s="32" t="str">
        <f>IFERROR(__xludf.DUMMYFUNCTION("IF('Résultats des tournois'!L$2=0,"""",LET(
lastVal, INDEX(FILTER($B34:L34, ISNUMBER($B34:L34)), COUNTA(FILTER($B34:L34, ISNUMBER($B34:L34)))),
IFERROR(
IF('Résultats des tournois'!L34="""", INDEX(FILTER($C34:L34, ISNUMBER($C34:L34)), COUNTA(FILTER($C34:L"&amp;"34, ISNUMBER($C34:L34)))),
lastVal + 'K dynamique'!L34 * ((SQRT('Résultats des tournois'!L$2 + 1)/'Résultats des tournois'!L34) - (1 / (1 + 10^((L$103 - lastVal)/400)))))
)
))"),"")</f>
        <v/>
      </c>
      <c r="N34" s="32" t="str">
        <f>IFERROR(__xludf.DUMMYFUNCTION("IF('Résultats des tournois'!M$2=0,"""",LET(
lastVal, INDEX(FILTER($B34:M34, ISNUMBER($B34:M34)), COUNTA(FILTER($B34:M34, ISNUMBER($B34:M34)))),
IFERROR(
IF('Résultats des tournois'!M34="""", INDEX(FILTER($C34:M34, ISNUMBER($C34:M34)), COUNTA(FILTER($C34:M"&amp;"34, ISNUMBER($C34:M34)))),
lastVal + 'K dynamique'!M34 * ((SQRT('Résultats des tournois'!M$2 + 1)/'Résultats des tournois'!M34) - (1 / (1 + 10^((M$103 - lastVal)/400)))))
)
))"),"")</f>
        <v/>
      </c>
      <c r="O34" s="32" t="str">
        <f>IFERROR(__xludf.DUMMYFUNCTION("IF('Résultats des tournois'!N$2=0,"""",LET(
lastVal, INDEX(FILTER($B34:N34, ISNUMBER($B34:N34)), COUNTA(FILTER($B34:N34, ISNUMBER($B34:N34)))),
IFERROR(
IF('Résultats des tournois'!N34="""", INDEX(FILTER($C34:N34, ISNUMBER($C34:N34)), COUNTA(FILTER($C34:N"&amp;"34, ISNUMBER($C34:N34)))),
lastVal + 'K dynamique'!N34 * ((SQRT('Résultats des tournois'!N$2 + 1)/'Résultats des tournois'!N34) - (1 / (1 + 10^((N$103 - lastVal)/400)))))
)
))"),"")</f>
        <v/>
      </c>
      <c r="P34" s="32" t="str">
        <f>IFERROR(__xludf.DUMMYFUNCTION("IF('Résultats des tournois'!O$2=0,"""",LET(
lastVal, INDEX(FILTER($B34:O34, ISNUMBER($B34:O34)), COUNTA(FILTER($B34:O34, ISNUMBER($B34:O34)))),
IFERROR(
IF('Résultats des tournois'!O34="""", INDEX(FILTER($C34:O34, ISNUMBER($C34:O34)), COUNTA(FILTER($C34:O"&amp;"34, ISNUMBER($C34:O34)))),
lastVal + 'K dynamique'!O34 * ((SQRT('Résultats des tournois'!O$2 + 1)/'Résultats des tournois'!O34) - (1 / (1 + 10^((O$103 - lastVal)/400)))))
)
))"),"")</f>
        <v/>
      </c>
      <c r="Q34" s="32" t="str">
        <f>IFERROR(__xludf.DUMMYFUNCTION("IF('Résultats des tournois'!P$2=0,"""",LET(
lastVal, INDEX(FILTER($B34:P34, ISNUMBER($B34:P34)), COUNTA(FILTER($B34:P34, ISNUMBER($B34:P34)))),
IFERROR(
IF('Résultats des tournois'!P34="""", INDEX(FILTER($C34:P34, ISNUMBER($C34:P34)), COUNTA(FILTER($C34:P"&amp;"34, ISNUMBER($C34:P34)))),
lastVal + 'K dynamique'!P34 * ((SQRT('Résultats des tournois'!P$2 + 1)/'Résultats des tournois'!P34) - (1 / (1 + 10^((P$103 - lastVal)/400)))))
)
))"),"")</f>
        <v/>
      </c>
      <c r="R34" s="32" t="str">
        <f>IFERROR(__xludf.DUMMYFUNCTION("IF('Résultats des tournois'!Q$2=0,"""",LET(
lastVal, INDEX(FILTER($B34:Q34, ISNUMBER($B34:Q34)), COUNTA(FILTER($B34:Q34, ISNUMBER($B34:Q34)))),
IFERROR(
IF('Résultats des tournois'!Q34="""", INDEX(FILTER($C34:Q34, ISNUMBER($C34:Q34)), COUNTA(FILTER($C34:Q"&amp;"34, ISNUMBER($C34:Q34)))),
lastVal + 'K dynamique'!Q34 * ((SQRT('Résultats des tournois'!Q$2 + 1)/'Résultats des tournois'!Q34) - (1 / (1 + 10^((Q$103 - lastVal)/400)))))
)
))"),"")</f>
        <v/>
      </c>
      <c r="S34" s="32" t="str">
        <f>IFERROR(__xludf.DUMMYFUNCTION("IF('Résultats des tournois'!R$2=0,"""",LET(
lastVal, INDEX(FILTER($B34:R34, ISNUMBER($B34:R34)), COUNTA(FILTER($B34:R34, ISNUMBER($B34:R34)))),
IFERROR(
IF('Résultats des tournois'!R34="""", INDEX(FILTER($C34:R34, ISNUMBER($C34:R34)), COUNTA(FILTER($C34:R"&amp;"34, ISNUMBER($C34:R34)))),
lastVal + 'K dynamique'!R34 * ((SQRT('Résultats des tournois'!R$2 + 1)/'Résultats des tournois'!R34) - (1 / (1 + 10^((R$103 - lastVal)/400)))))
)
))"),"")</f>
        <v/>
      </c>
      <c r="T34" s="32" t="str">
        <f>IFERROR(__xludf.DUMMYFUNCTION("IF('Résultats des tournois'!S$2=0,"""",LET(
lastVal, INDEX(FILTER($B34:S34, ISNUMBER($B34:S34)), COUNTA(FILTER($B34:S34, ISNUMBER($B34:S34)))),
IFERROR(
IF('Résultats des tournois'!S34="""", INDEX(FILTER($C34:S34, ISNUMBER($C34:S34)), COUNTA(FILTER($C34:S"&amp;"34, ISNUMBER($C34:S34)))),
lastVal + 'K dynamique'!S34 * ((SQRT('Résultats des tournois'!S$2 + 1)/'Résultats des tournois'!S34) - (1 / (1 + 10^((S$103 - lastVal)/400)))))
)
))"),"")</f>
        <v/>
      </c>
      <c r="U34" s="32" t="str">
        <f>IFERROR(__xludf.DUMMYFUNCTION("IF('Résultats des tournois'!T$2=0,"""",LET(
lastVal, INDEX(FILTER($B34:T34, ISNUMBER($B34:T34)), COUNTA(FILTER($B34:T34, ISNUMBER($B34:T34)))),
IFERROR(
IF('Résultats des tournois'!T34="""", INDEX(FILTER($C34:T34, ISNUMBER($C34:T34)), COUNTA(FILTER($C34:T"&amp;"34, ISNUMBER($C34:T34)))),
lastVal + 'K dynamique'!T34 * ((SQRT('Résultats des tournois'!T$2 + 1)/'Résultats des tournois'!T34) - (1 / (1 + 10^((T$103 - lastVal)/400)))))
)
))"),"")</f>
        <v/>
      </c>
      <c r="V34" s="32" t="str">
        <f>IFERROR(__xludf.DUMMYFUNCTION("IF('Résultats des tournois'!U$2=0,"""",LET(
lastVal, INDEX(FILTER($B34:U34, ISNUMBER($B34:U34)), COUNTA(FILTER($B34:U34, ISNUMBER($B34:U34)))),
IFERROR(
IF('Résultats des tournois'!U34="""", INDEX(FILTER($C34:U34, ISNUMBER($C34:U34)), COUNTA(FILTER($C34:U"&amp;"34, ISNUMBER($C34:U34)))),
lastVal + 'K dynamique'!U34 * ((SQRT('Résultats des tournois'!U$2 + 1)/'Résultats des tournois'!U34) - (1 / (1 + 10^((U$103 - lastVal)/400)))))
)
))"),"")</f>
        <v/>
      </c>
      <c r="W34" s="32" t="str">
        <f>IFERROR(__xludf.DUMMYFUNCTION("IF('Résultats des tournois'!V$2=0,"""",LET(
lastVal, INDEX(FILTER($B34:V34, ISNUMBER($B34:V34)), COUNTA(FILTER($B34:V34, ISNUMBER($B34:V34)))),
IFERROR(
IF('Résultats des tournois'!V34="""", INDEX(FILTER($C34:V34, ISNUMBER($C34:V34)), COUNTA(FILTER($C34:V"&amp;"34, ISNUMBER($C34:V34)))),
lastVal + 'K dynamique'!V34 * ((SQRT('Résultats des tournois'!V$2 + 1)/'Résultats des tournois'!V34) - (1 / (1 + 10^((V$103 - lastVal)/400)))))
)
))"),"")</f>
        <v/>
      </c>
      <c r="X34" s="32" t="str">
        <f>IFERROR(__xludf.DUMMYFUNCTION("IF('Résultats des tournois'!W$2=0,"""",LET(
lastVal, INDEX(FILTER($B34:W34, ISNUMBER($B34:W34)), COUNTA(FILTER($B34:W34, ISNUMBER($B34:W34)))),
IFERROR(
IF('Résultats des tournois'!W34="""", INDEX(FILTER($C34:W34, ISNUMBER($C34:W34)), COUNTA(FILTER($C34:W"&amp;"34, ISNUMBER($C34:W34)))),
lastVal + 'K dynamique'!W34 * ((SQRT('Résultats des tournois'!W$2 + 1)/'Résultats des tournois'!W34) - (1 / (1 + 10^((W$103 - lastVal)/400)))))
)
))"),"")</f>
        <v/>
      </c>
      <c r="Y34" s="32" t="str">
        <f>IFERROR(__xludf.DUMMYFUNCTION("IF('Résultats des tournois'!X$2=0,"""",LET(
lastVal, INDEX(FILTER($B34:X34, ISNUMBER($B34:X34)), COUNTA(FILTER($B34:X34, ISNUMBER($B34:X34)))),
IFERROR(
IF('Résultats des tournois'!X34="""", INDEX(FILTER($C34:X34, ISNUMBER($C34:X34)), COUNTA(FILTER($C34:X"&amp;"34, ISNUMBER($C34:X34)))),
lastVal + 'K dynamique'!X34 * ((SQRT('Résultats des tournois'!X$2 + 1)/'Résultats des tournois'!X34) - (1 / (1 + 10^((X$103 - lastVal)/400)))))
)
))"),"")</f>
        <v/>
      </c>
      <c r="Z34" s="32" t="str">
        <f>IFERROR(__xludf.DUMMYFUNCTION("IF('Résultats des tournois'!Y$2=0,"""",LET(
lastVal, INDEX(FILTER($B34:Y34, ISNUMBER($B34:Y34)), COUNTA(FILTER($B34:Y34, ISNUMBER($B34:Y34)))),
IFERROR(
IF('Résultats des tournois'!Y34="""", INDEX(FILTER($C34:Y34, ISNUMBER($C34:Y34)), COUNTA(FILTER($C34:Y"&amp;"34, ISNUMBER($C34:Y34)))),
lastVal + 'K dynamique'!Y34 * ((SQRT('Résultats des tournois'!Y$2 + 1)/'Résultats des tournois'!Y34) - (1 / (1 + 10^((Y$103 - lastVal)/400)))))
)
))"),"")</f>
        <v/>
      </c>
      <c r="AA34" s="32" t="str">
        <f>IFERROR(__xludf.DUMMYFUNCTION("IF('Résultats des tournois'!Z$2=0,"""",LET(
lastVal, INDEX(FILTER($B34:Z34, ISNUMBER($B34:Z34)), COUNTA(FILTER($B34:Z34, ISNUMBER($B34:Z34)))),
IFERROR(
IF('Résultats des tournois'!Z34="""", INDEX(FILTER($C34:Z34, ISNUMBER($C34:Z34)), COUNTA(FILTER($C34:Z"&amp;"34, ISNUMBER($C34:Z34)))),
lastVal + 'K dynamique'!Z34 * ((SQRT('Résultats des tournois'!Z$2 + 1)/'Résultats des tournois'!Z34) - (1 / (1 + 10^((Z$103 - lastVal)/400)))))
)
))"),"")</f>
        <v/>
      </c>
      <c r="AB34" s="32" t="str">
        <f>IFERROR(__xludf.DUMMYFUNCTION("IF('Résultats des tournois'!AA$2=0,"""",LET(
lastVal, INDEX(FILTER($B34:AA34, ISNUMBER($B34:AA34)), COUNTA(FILTER($B34:AA34, ISNUMBER($B34:AA34)))),
IFERROR(
IF('Résultats des tournois'!AA34="""", INDEX(FILTER($C34:AA34, ISNUMBER($C34:AA34)), COUNTA(FILTE"&amp;"R($C34:AA34, ISNUMBER($C34:AA34)))),
lastVal + 'K dynamique'!AA34 * ((SQRT('Résultats des tournois'!AA$2 + 1)/'Résultats des tournois'!AA34) - (1 / (1 + 10^((AA$103 - lastVal)/400)))))
)
))"),"")</f>
        <v/>
      </c>
      <c r="AC34" s="32" t="str">
        <f>IFERROR(__xludf.DUMMYFUNCTION("IF('Résultats des tournois'!AB$2=0,"""",LET(
lastVal, INDEX(FILTER($B34:AB34, ISNUMBER($B34:AB34)), COUNTA(FILTER($B34:AB34, ISNUMBER($B34:AB34)))),
IFERROR(
IF('Résultats des tournois'!AB34="""", INDEX(FILTER($C34:AB34, ISNUMBER($C34:AB34)), COUNTA(FILTE"&amp;"R($C34:AB34, ISNUMBER($C34:AB34)))),
lastVal + 'K dynamique'!AB34 * ((SQRT('Résultats des tournois'!AB$2 + 1)/'Résultats des tournois'!AB34) - (1 / (1 + 10^((AB$103 - lastVal)/400)))))
)
))"),"")</f>
        <v/>
      </c>
      <c r="AD34" s="32" t="str">
        <f>IFERROR(__xludf.DUMMYFUNCTION("IF('Résultats des tournois'!AC$2=0,"""",LET(
lastVal, INDEX(FILTER($B34:AC34, ISNUMBER($B34:AC34)), COUNTA(FILTER($B34:AC34, ISNUMBER($B34:AC34)))),
IFERROR(
IF('Résultats des tournois'!AC34="""", INDEX(FILTER($C34:AC34, ISNUMBER($C34:AC34)), COUNTA(FILTE"&amp;"R($C34:AC34, ISNUMBER($C34:AC34)))),
lastVal + 'K dynamique'!AC34 * ((SQRT('Résultats des tournois'!AC$2 + 1)/'Résultats des tournois'!AC34) - (1 / (1 + 10^((AC$103 - lastVal)/400)))))
)
))"),"")</f>
        <v/>
      </c>
      <c r="AE34" s="32" t="str">
        <f>IFERROR(__xludf.DUMMYFUNCTION("IF('Résultats des tournois'!AD$2=0,"""",LET(
lastVal, INDEX(FILTER($B34:AD34, ISNUMBER($B34:AD34)), COUNTA(FILTER($B34:AD34, ISNUMBER($B34:AD34)))),
IFERROR(
IF('Résultats des tournois'!AD34="""", INDEX(FILTER($C34:AD34, ISNUMBER($C34:AD34)), COUNTA(FILTE"&amp;"R($C34:AD34, ISNUMBER($C34:AD34)))),
lastVal + 'K dynamique'!AD34 * ((SQRT('Résultats des tournois'!AD$2 + 1)/'Résultats des tournois'!AD34) - (1 / (1 + 10^((AD$103 - lastVal)/400)))))
)
))"),"")</f>
        <v/>
      </c>
      <c r="AF34" s="32" t="str">
        <f>IFERROR(__xludf.DUMMYFUNCTION("IF('Résultats des tournois'!AE$2=0,"""",LET(
lastVal, INDEX(FILTER($B34:AE34, ISNUMBER($B34:AE34)), COUNTA(FILTER($B34:AE34, ISNUMBER($B34:AE34)))),
IFERROR(
IF('Résultats des tournois'!AE34="""", INDEX(FILTER($C34:AE34, ISNUMBER($C34:AE34)), COUNTA(FILTE"&amp;"R($C34:AE34, ISNUMBER($C34:AE34)))),
lastVal + 'K dynamique'!AE34 * ((SQRT('Résultats des tournois'!AE$2 + 1)/'Résultats des tournois'!AE34) - (1 / (1 + 10^((AE$103 - lastVal)/400)))))
)
))"),"")</f>
        <v/>
      </c>
      <c r="AG34" s="32" t="str">
        <f>IFERROR(__xludf.DUMMYFUNCTION("IF('Résultats des tournois'!AF$2=0,"""",LET(
lastVal, INDEX(FILTER($B34:AF34, ISNUMBER($B34:AF34)), COUNTA(FILTER($B34:AF34, ISNUMBER($B34:AF34)))),
IFERROR(
IF('Résultats des tournois'!AF34="""", INDEX(FILTER($C34:AF34, ISNUMBER($C34:AF34)), COUNTA(FILTE"&amp;"R($C34:AF34, ISNUMBER($C34:AF34)))),
lastVal + 'K dynamique'!AF34 * ((SQRT('Résultats des tournois'!AF$2 + 1)/'Résultats des tournois'!AF34) - (1 / (1 + 10^((AF$103 - lastVal)/400)))))
)
))"),"")</f>
        <v/>
      </c>
      <c r="AH34" s="32" t="str">
        <f>IFERROR(__xludf.DUMMYFUNCTION("IF('Résultats des tournois'!AG$2=0,"""",LET(
lastVal, INDEX(FILTER($B34:AG34, ISNUMBER($B34:AG34)), COUNTA(FILTER($B34:AG34, ISNUMBER($B34:AG34)))),
IFERROR(
IF('Résultats des tournois'!AG34="""", INDEX(FILTER($C34:AG34, ISNUMBER($C34:AG34)), COUNTA(FILTE"&amp;"R($C34:AG34, ISNUMBER($C34:AG34)))),
lastVal + 'K dynamique'!AG34 * ((SQRT('Résultats des tournois'!AG$2 + 1)/'Résultats des tournois'!AG34) - (1 / (1 + 10^((AG$103 - lastVal)/400)))))
)
))"),"")</f>
        <v/>
      </c>
      <c r="AI34" s="32" t="str">
        <f>IFERROR(__xludf.DUMMYFUNCTION("IF('Résultats des tournois'!AH$2=0,"""",LET(
lastVal, INDEX(FILTER($B34:AH34, ISNUMBER($B34:AH34)), COUNTA(FILTER($B34:AH34, ISNUMBER($B34:AH34)))),
IFERROR(
IF('Résultats des tournois'!AH34="""", INDEX(FILTER($C34:AH34, ISNUMBER($C34:AH34)), COUNTA(FILTE"&amp;"R($C34:AH34, ISNUMBER($C34:AH34)))),
lastVal + 'K dynamique'!AH34 * ((SQRT('Résultats des tournois'!AH$2 + 1)/'Résultats des tournois'!AH34) - (1 / (1 + 10^((AH$103 - lastVal)/400)))))
)
))"),"")</f>
        <v/>
      </c>
      <c r="AJ34" s="32" t="str">
        <f>IFERROR(__xludf.DUMMYFUNCTION("IF('Résultats des tournois'!AI$2=0,"""",LET(
lastVal, INDEX(FILTER($B34:AI34, ISNUMBER($B34:AI34)), COUNTA(FILTER($B34:AI34, ISNUMBER($B34:AI34)))),
IFERROR(
IF('Résultats des tournois'!AI34="""", INDEX(FILTER($C34:AI34, ISNUMBER($C34:AI34)), COUNTA(FILTE"&amp;"R($C34:AI34, ISNUMBER($C34:AI34)))),
lastVal + 'K dynamique'!AI34 * ((SQRT('Résultats des tournois'!AI$2 + 1)/'Résultats des tournois'!AI34) - (1 / (1 + 10^((AI$103 - lastVal)/400)))))
)
))"),"")</f>
        <v/>
      </c>
      <c r="AK34" s="32" t="str">
        <f>IFERROR(__xludf.DUMMYFUNCTION("IF('Résultats des tournois'!AJ$2=0,"""",LET(
lastVal, INDEX(FILTER($B34:AJ34, ISNUMBER($B34:AJ34)), COUNTA(FILTER($B34:AJ34, ISNUMBER($B34:AJ34)))),
IFERROR(
IF('Résultats des tournois'!AJ34="""", INDEX(FILTER($C34:AJ34, ISNUMBER($C34:AJ34)), COUNTA(FILTE"&amp;"R($C34:AJ34, ISNUMBER($C34:AJ34)))),
lastVal + 'K dynamique'!AJ34 * ((SQRT('Résultats des tournois'!AJ$2 + 1)/'Résultats des tournois'!AJ34) - (1 / (1 + 10^((AJ$103 - lastVal)/400)))))
)
))"),"")</f>
        <v/>
      </c>
      <c r="AL34" s="32" t="str">
        <f>IFERROR(__xludf.DUMMYFUNCTION("IF('Résultats des tournois'!AK$2=0,"""",LET(
lastVal, INDEX(FILTER($B34:AK34, ISNUMBER($B34:AK34)), COUNTA(FILTER($B34:AK34, ISNUMBER($B34:AK34)))),
IFERROR(
IF('Résultats des tournois'!AK34="""", INDEX(FILTER($C34:AK34, ISNUMBER($C34:AK34)), COUNTA(FILTE"&amp;"R($C34:AK34, ISNUMBER($C34:AK34)))),
lastVal + 'K dynamique'!AK34 * ((SQRT('Résultats des tournois'!AK$2 + 1)/'Résultats des tournois'!AK34) - (1 / (1 + 10^((AK$103 - lastVal)/400)))))
)
))"),"")</f>
        <v/>
      </c>
      <c r="AM34" s="32" t="str">
        <f>IFERROR(__xludf.DUMMYFUNCTION("IF('Résultats des tournois'!AL$2=0,"""",LET(
lastVal, INDEX(FILTER($B34:AL34, ISNUMBER($B34:AL34)), COUNTA(FILTER($B34:AL34, ISNUMBER($B34:AL34)))),
IFERROR(
IF('Résultats des tournois'!AL34="""", INDEX(FILTER($C34:AL34, ISNUMBER($C34:AL34)), COUNTA(FILTE"&amp;"R($C34:AL34, ISNUMBER($C34:AL34)))),
lastVal + 'K dynamique'!AL34 * ((SQRT('Résultats des tournois'!AL$2 + 1)/'Résultats des tournois'!AL34) - (1 / (1 + 10^((AL$103 - lastVal)/400)))))
)
))"),"")</f>
        <v/>
      </c>
      <c r="AN34" s="32" t="str">
        <f>IFERROR(__xludf.DUMMYFUNCTION("IF('Résultats des tournois'!AM$2=0,"""",LET(
lastVal, INDEX(FILTER($B34:AM34, ISNUMBER($B34:AM34)), COUNTA(FILTER($B34:AM34, ISNUMBER($B34:AM34)))),
IFERROR(
IF('Résultats des tournois'!AM34="""", INDEX(FILTER($C34:AM34, ISNUMBER($C34:AM34)), COUNTA(FILTE"&amp;"R($C34:AM34, ISNUMBER($C34:AM34)))),
lastVal + 'K dynamique'!AM34 * ((SQRT('Résultats des tournois'!AM$2 + 1)/'Résultats des tournois'!AM34) - (1 / (1 + 10^((AM$103 - lastVal)/400)))))
)
))"),"")</f>
        <v/>
      </c>
      <c r="AO34" s="32" t="str">
        <f>IFERROR(__xludf.DUMMYFUNCTION("IF('Résultats des tournois'!AN$2=0,"""",LET(
lastVal, INDEX(FILTER($B34:AN34, ISNUMBER($B34:AN34)), COUNTA(FILTER($B34:AN34, ISNUMBER($B34:AN34)))),
IFERROR(
IF('Résultats des tournois'!AN34="""", INDEX(FILTER($C34:AN34, ISNUMBER($C34:AN34)), COUNTA(FILTE"&amp;"R($C34:AN34, ISNUMBER($C34:AN34)))),
lastVal + 'K dynamique'!AN34 * ((SQRT('Résultats des tournois'!AN$2 + 1)/'Résultats des tournois'!AN34) - (1 / (1 + 10^((AN$103 - lastVal)/400)))))
)
))"),"")</f>
        <v/>
      </c>
      <c r="AP34" s="32" t="str">
        <f>IFERROR(__xludf.DUMMYFUNCTION("IF('Résultats des tournois'!AO$2=0,"""",LET(
lastVal, INDEX(FILTER($B34:AO34, ISNUMBER($B34:AO34)), COUNTA(FILTER($B34:AO34, ISNUMBER($B34:AO34)))),
IFERROR(
IF('Résultats des tournois'!AO34="""", INDEX(FILTER($C34:AO34, ISNUMBER($C34:AO34)), COUNTA(FILTE"&amp;"R($C34:AO34, ISNUMBER($C34:AO34)))),
lastVal + 'K dynamique'!AO34 * ((SQRT('Résultats des tournois'!AO$2 + 1)/'Résultats des tournois'!AO34) - (1 / (1 + 10^((AO$103 - lastVal)/400)))))
)
))"),"")</f>
        <v/>
      </c>
      <c r="AQ34" s="32" t="str">
        <f>IFERROR(__xludf.DUMMYFUNCTION("IF('Résultats des tournois'!AP$2=0,"""",LET(
lastVal, INDEX(FILTER($B34:AP34, ISNUMBER($B34:AP34)), COUNTA(FILTER($B34:AP34, ISNUMBER($B34:AP34)))),
IFERROR(
IF('Résultats des tournois'!AP34="""", INDEX(FILTER($C34:AP34, ISNUMBER($C34:AP34)), COUNTA(FILTE"&amp;"R($C34:AP34, ISNUMBER($C34:AP34)))),
lastVal + 'K dynamique'!AP34 * ((SQRT('Résultats des tournois'!AP$2 + 1)/'Résultats des tournois'!AP34) - (1 / (1 + 10^((AP$103 - lastVal)/400)))))
)
))"),"")</f>
        <v/>
      </c>
      <c r="AR34" s="32" t="str">
        <f>IFERROR(__xludf.DUMMYFUNCTION("IF('Résultats des tournois'!AQ$2=0,"""",LET(
lastVal, INDEX(FILTER($B34:AQ34, ISNUMBER($B34:AQ34)), COUNTA(FILTER($B34:AQ34, ISNUMBER($B34:AQ34)))),
IFERROR(
IF('Résultats des tournois'!AQ34="""", INDEX(FILTER($C34:AQ34, ISNUMBER($C34:AQ34)), COUNTA(FILTE"&amp;"R($C34:AQ34, ISNUMBER($C34:AQ34)))),
lastVal + 'K dynamique'!AQ34 * ((SQRT('Résultats des tournois'!AQ$2 + 1)/'Résultats des tournois'!AQ34) - (1 / (1 + 10^((AQ$103 - lastVal)/400)))))
)
))"),"")</f>
        <v/>
      </c>
      <c r="AS34" s="32" t="str">
        <f>IFERROR(__xludf.DUMMYFUNCTION("IF('Résultats des tournois'!AR$2=0,"""",LET(
lastVal, INDEX(FILTER($B34:AR34, ISNUMBER($B34:AR34)), COUNTA(FILTER($B34:AR34, ISNUMBER($B34:AR34)))),
IFERROR(
IF('Résultats des tournois'!AR34="""", INDEX(FILTER($C34:AR34, ISNUMBER($C34:AR34)), COUNTA(FILTE"&amp;"R($C34:AR34, ISNUMBER($C34:AR34)))),
lastVal + 'K dynamique'!AR34 * ((SQRT('Résultats des tournois'!AR$2 + 1)/'Résultats des tournois'!AR34) - (1 / (1 + 10^((AR$103 - lastVal)/400)))))
)
))"),"")</f>
        <v/>
      </c>
      <c r="AT34" s="32" t="str">
        <f>IFERROR(__xludf.DUMMYFUNCTION("IF('Résultats des tournois'!AS$2=0,"""",LET(
lastVal, INDEX(FILTER($B34:AS34, ISNUMBER($B34:AS34)), COUNTA(FILTER($B34:AS34, ISNUMBER($B34:AS34)))),
IFERROR(
IF('Résultats des tournois'!AS34="""", INDEX(FILTER($C34:AS34, ISNUMBER($C34:AS34)), COUNTA(FILTE"&amp;"R($C34:AS34, ISNUMBER($C34:AS34)))),
lastVal + 'K dynamique'!AS34 * ((SQRT('Résultats des tournois'!AS$2 + 1)/'Résultats des tournois'!AS34) - (1 / (1 + 10^((AS$103 - lastVal)/400)))))
)
))"),"")</f>
        <v/>
      </c>
      <c r="AU34" s="32" t="str">
        <f>IFERROR(__xludf.DUMMYFUNCTION("IF('Résultats des tournois'!AT$2=0,"""",LET(
lastVal, INDEX(FILTER($B34:AT34, ISNUMBER($B34:AT34)), COUNTA(FILTER($B34:AT34, ISNUMBER($B34:AT34)))),
IFERROR(
IF('Résultats des tournois'!AT34="""", INDEX(FILTER($C34:AT34, ISNUMBER($C34:AT34)), COUNTA(FILTE"&amp;"R($C34:AT34, ISNUMBER($C34:AT34)))),
lastVal + 'K dynamique'!AT34 * ((SQRT('Résultats des tournois'!AT$2 + 1)/'Résultats des tournois'!AT34) - (1 / (1 + 10^((AT$103 - lastVal)/400)))))
)
))"),"")</f>
        <v/>
      </c>
      <c r="AV34" s="32" t="str">
        <f>IFERROR(__xludf.DUMMYFUNCTION("IF('Résultats des tournois'!AU$2=0,"""",LET(
lastVal, INDEX(FILTER($B34:AU34, ISNUMBER($B34:AU34)), COUNTA(FILTER($B34:AU34, ISNUMBER($B34:AU34)))),
IFERROR(
IF('Résultats des tournois'!AU34="""", INDEX(FILTER($C34:AU34, ISNUMBER($C34:AU34)), COUNTA(FILTE"&amp;"R($C34:AU34, ISNUMBER($C34:AU34)))),
lastVal + 'K dynamique'!AU34 * ((SQRT('Résultats des tournois'!AU$2 + 1)/'Résultats des tournois'!AU34) - (1 / (1 + 10^((AU$103 - lastVal)/400)))))
)
))"),"")</f>
        <v/>
      </c>
      <c r="AW34" s="32" t="str">
        <f>IFERROR(__xludf.DUMMYFUNCTION("IF('Résultats des tournois'!AV$2=0,"""",LET(
lastVal, INDEX(FILTER($B34:AV34, ISNUMBER($B34:AV34)), COUNTA(FILTER($B34:AV34, ISNUMBER($B34:AV34)))),
IFERROR(
IF('Résultats des tournois'!AV34="""", INDEX(FILTER($C34:AV34, ISNUMBER($C34:AV34)), COUNTA(FILTE"&amp;"R($C34:AV34, ISNUMBER($C34:AV34)))),
lastVal + 'K dynamique'!AV34 * ((SQRT('Résultats des tournois'!AV$2 + 1)/'Résultats des tournois'!AV34) - (1 / (1 + 10^((AV$103 - lastVal)/400)))))
)
))"),"")</f>
        <v/>
      </c>
      <c r="AX34" s="32" t="str">
        <f>IFERROR(__xludf.DUMMYFUNCTION("IF('Résultats des tournois'!AW$2=0,"""",LET(
lastVal, INDEX(FILTER($B34:AW34, ISNUMBER($B34:AW34)), COUNTA(FILTER($B34:AW34, ISNUMBER($B34:AW34)))),
IFERROR(
IF('Résultats des tournois'!AW34="""", INDEX(FILTER($C34:AW34, ISNUMBER($C34:AW34)), COUNTA(FILTE"&amp;"R($C34:AW34, ISNUMBER($C34:AW34)))),
lastVal + 'K dynamique'!AW34 * ((SQRT('Résultats des tournois'!AW$2 + 1)/'Résultats des tournois'!AW34) - (1 / (1 + 10^((AW$103 - lastVal)/400)))))
)
))"),"")</f>
        <v/>
      </c>
      <c r="AY34" s="32" t="str">
        <f>IFERROR(__xludf.DUMMYFUNCTION("IF('Résultats des tournois'!AX$2=0,"""",LET(
lastVal, INDEX(FILTER($B34:AX34, ISNUMBER($B34:AX34)), COUNTA(FILTER($B34:AX34, ISNUMBER($B34:AX34)))),
IFERROR(
IF('Résultats des tournois'!AX34="""", INDEX(FILTER($C34:AX34, ISNUMBER($C34:AX34)), COUNTA(FILTE"&amp;"R($C34:AX34, ISNUMBER($C34:AX34)))),
lastVal + 'K dynamique'!AX34 * ((SQRT('Résultats des tournois'!AX$2 + 1)/'Résultats des tournois'!AX34) - (1 / (1 + 10^((AX$103 - lastVal)/400)))))
)
))"),"")</f>
        <v/>
      </c>
      <c r="AZ34" s="4" t="str">
        <f t="array" ref="AZ34">IF(MAX(($C34:AY34&lt;&gt;"")*COLUMN($C34:AY34))=0,"",INDEX($C34:AY34,1,MAX(($C34:AY34&lt;&gt;"")*COLUMN($C34:AY34))-COLUMN($C34)+1))</f>
        <v/>
      </c>
      <c r="BA34" s="33" t="str">
        <f t="shared" si="1"/>
        <v/>
      </c>
    </row>
    <row r="35" ht="14.25" customHeight="1">
      <c r="A35" s="32" t="str">
        <f>IF('Résultats des tournois'!A35="","",'Résultats des tournois'!A35)</f>
        <v/>
      </c>
      <c r="B35" s="32">
        <v>1500.0</v>
      </c>
      <c r="C35" s="32" t="str">
        <f>IF('Résultats des tournois'!B35="","",B35+'K dynamique'!B35*((SQRT('Résultats des tournois'!B$2+1)/'Résultats des tournois'!B35)-(1/(1+10^((B35-B35)/400)))))</f>
        <v/>
      </c>
      <c r="D35" s="32" t="str">
        <f>IFERROR(__xludf.DUMMYFUNCTION("IF('Résultats des tournois'!C$2=0,"""",LET(
lastVal, INDEX(FILTER($B35:C35, ISNUMBER($B35:C35)), COUNTA(FILTER($B35:C35, ISNUMBER($B35:C35)))),
IFERROR(
IF('Résultats des tournois'!C35="""", INDEX(FILTER($C35:C35, ISNUMBER($C35:C35)), COUNTA(FILTER($C35:C"&amp;"35, ISNUMBER($C35:C35)))),
lastVal + 'K dynamique'!C35 * ((SQRT('Résultats des tournois'!C$2 + 1)/'Résultats des tournois'!C35) - (1 / (1 + 10^((C$103 - lastVal)/400)))))
)
))"),"")</f>
        <v/>
      </c>
      <c r="E35" s="32" t="str">
        <f>IFERROR(__xludf.DUMMYFUNCTION("IF('Résultats des tournois'!D$2=0,"""",LET(
lastVal, INDEX(FILTER($B35:D35, ISNUMBER($B35:D35)), COUNTA(FILTER($B35:D35, ISNUMBER($B35:D35)))),
IFERROR(
IF('Résultats des tournois'!D35="""", INDEX(FILTER($C35:D35, ISNUMBER($C35:D35)), COUNTA(FILTER($C35:D"&amp;"35, ISNUMBER($C35:D35)))),
lastVal + 'K dynamique'!D35 * ((SQRT('Résultats des tournois'!D$2 + 1)/'Résultats des tournois'!D35) - (1 / (1 + 10^((D$103 - lastVal)/400)))))
)
))"),"")</f>
        <v/>
      </c>
      <c r="F35" s="32" t="str">
        <f>IFERROR(__xludf.DUMMYFUNCTION("IF('Résultats des tournois'!E$2=0,"""",LET(
lastVal, INDEX(FILTER($B35:E35, ISNUMBER($B35:E35)), COUNTA(FILTER($B35:E35, ISNUMBER($B35:E35)))),
IFERROR(
IF('Résultats des tournois'!E35="""", INDEX(FILTER($C35:E35, ISNUMBER($C35:E35)), COUNTA(FILTER($C35:E"&amp;"35, ISNUMBER($C35:E35)))),
lastVal + 'K dynamique'!E35 * ((SQRT('Résultats des tournois'!E$2 + 1)/'Résultats des tournois'!E35) - (1 / (1 + 10^((E$103 - lastVal)/400)))))
)
))"),"")</f>
        <v/>
      </c>
      <c r="G35" s="32" t="str">
        <f>IFERROR(__xludf.DUMMYFUNCTION("IF('Résultats des tournois'!F$2=0,"""",LET(
lastVal, INDEX(FILTER($B35:F35, ISNUMBER($B35:F35)), COUNTA(FILTER($B35:F35, ISNUMBER($B35:F35)))),
IFERROR(
IF('Résultats des tournois'!F35="""", INDEX(FILTER($C35:F35, ISNUMBER($C35:F35)), COUNTA(FILTER($C35:F"&amp;"35, ISNUMBER($C35:F35)))),
lastVal + 'K dynamique'!F35 * ((SQRT('Résultats des tournois'!F$2 + 1)/'Résultats des tournois'!F35) - (1 / (1 + 10^((F$103 - lastVal)/400)))))
)
))"),"")</f>
        <v/>
      </c>
      <c r="H35" s="32" t="str">
        <f>IFERROR(__xludf.DUMMYFUNCTION("IF('Résultats des tournois'!G$2=0,"""",LET(
lastVal, INDEX(FILTER($B35:G35, ISNUMBER($B35:G35)), COUNTA(FILTER($B35:G35, ISNUMBER($B35:G35)))),
IFERROR(
IF('Résultats des tournois'!G35="""", INDEX(FILTER($C35:G35, ISNUMBER($C35:G35)), COUNTA(FILTER($C35:G"&amp;"35, ISNUMBER($C35:G35)))),
lastVal + 'K dynamique'!G35 * ((SQRT('Résultats des tournois'!G$2 + 1)/'Résultats des tournois'!G35) - (1 / (1 + 10^((G$103 - lastVal)/400)))))
)
))"),"")</f>
        <v/>
      </c>
      <c r="I35" s="32" t="str">
        <f>IFERROR(__xludf.DUMMYFUNCTION("IF('Résultats des tournois'!H$2=0,"""",LET(
lastVal, INDEX(FILTER($B35:H35, ISNUMBER($B35:H35)), COUNTA(FILTER($B35:H35, ISNUMBER($B35:H35)))),
IFERROR(
IF('Résultats des tournois'!H35="""", INDEX(FILTER($C35:H35, ISNUMBER($C35:H35)), COUNTA(FILTER($C35:H"&amp;"35, ISNUMBER($C35:H35)))),
lastVal + 'K dynamique'!H35 * ((SQRT('Résultats des tournois'!H$2 + 1)/'Résultats des tournois'!H35) - (1 / (1 + 10^((H$103 - lastVal)/400)))))
)
))"),"")</f>
        <v/>
      </c>
      <c r="J35" s="32" t="str">
        <f>IFERROR(__xludf.DUMMYFUNCTION("IF('Résultats des tournois'!I$2=0,"""",LET(
lastVal, INDEX(FILTER($B35:I35, ISNUMBER($B35:I35)), COUNTA(FILTER($B35:I35, ISNUMBER($B35:I35)))),
IFERROR(
IF('Résultats des tournois'!I35="""", INDEX(FILTER($C35:I35, ISNUMBER($C35:I35)), COUNTA(FILTER($C35:I"&amp;"35, ISNUMBER($C35:I35)))),
lastVal + 'K dynamique'!I35 * ((SQRT('Résultats des tournois'!I$2 + 1)/'Résultats des tournois'!I35) - (1 / (1 + 10^((I$103 - lastVal)/400)))))
)
))"),"")</f>
        <v/>
      </c>
      <c r="K35" s="32" t="str">
        <f>IFERROR(__xludf.DUMMYFUNCTION("IF('Résultats des tournois'!J$2=0,"""",LET(
lastVal, INDEX(FILTER($B35:J35, ISNUMBER($B35:J35)), COUNTA(FILTER($B35:J35, ISNUMBER($B35:J35)))),
IFERROR(
IF('Résultats des tournois'!J35="""", INDEX(FILTER($C35:J35, ISNUMBER($C35:J35)), COUNTA(FILTER($C35:J"&amp;"35, ISNUMBER($C35:J35)))),
lastVal + 'K dynamique'!J35 * ((SQRT('Résultats des tournois'!J$2 + 1)/'Résultats des tournois'!J35) - (1 / (1 + 10^((J$103 - lastVal)/400)))))
)
))"),"")</f>
        <v/>
      </c>
      <c r="L35" s="32" t="str">
        <f>IFERROR(__xludf.DUMMYFUNCTION("IF('Résultats des tournois'!K$2=0,"""",LET(
lastVal, INDEX(FILTER($B35:K35, ISNUMBER($B35:K35)), COUNTA(FILTER($B35:K35, ISNUMBER($B35:K35)))),
IFERROR(
IF('Résultats des tournois'!K35="""", INDEX(FILTER($C35:K35, ISNUMBER($C35:K35)), COUNTA(FILTER($C35:K"&amp;"35, ISNUMBER($C35:K35)))),
lastVal + 'K dynamique'!K35 * ((SQRT('Résultats des tournois'!K$2 + 1)/'Résultats des tournois'!K35) - (1 / (1 + 10^((K$103 - lastVal)/400)))))
)
))"),"")</f>
        <v/>
      </c>
      <c r="M35" s="32" t="str">
        <f>IFERROR(__xludf.DUMMYFUNCTION("IF('Résultats des tournois'!L$2=0,"""",LET(
lastVal, INDEX(FILTER($B35:L35, ISNUMBER($B35:L35)), COUNTA(FILTER($B35:L35, ISNUMBER($B35:L35)))),
IFERROR(
IF('Résultats des tournois'!L35="""", INDEX(FILTER($C35:L35, ISNUMBER($C35:L35)), COUNTA(FILTER($C35:L"&amp;"35, ISNUMBER($C35:L35)))),
lastVal + 'K dynamique'!L35 * ((SQRT('Résultats des tournois'!L$2 + 1)/'Résultats des tournois'!L35) - (1 / (1 + 10^((L$103 - lastVal)/400)))))
)
))"),"")</f>
        <v/>
      </c>
      <c r="N35" s="32" t="str">
        <f>IFERROR(__xludf.DUMMYFUNCTION("IF('Résultats des tournois'!M$2=0,"""",LET(
lastVal, INDEX(FILTER($B35:M35, ISNUMBER($B35:M35)), COUNTA(FILTER($B35:M35, ISNUMBER($B35:M35)))),
IFERROR(
IF('Résultats des tournois'!M35="""", INDEX(FILTER($C35:M35, ISNUMBER($C35:M35)), COUNTA(FILTER($C35:M"&amp;"35, ISNUMBER($C35:M35)))),
lastVal + 'K dynamique'!M35 * ((SQRT('Résultats des tournois'!M$2 + 1)/'Résultats des tournois'!M35) - (1 / (1 + 10^((M$103 - lastVal)/400)))))
)
))"),"")</f>
        <v/>
      </c>
      <c r="O35" s="32" t="str">
        <f>IFERROR(__xludf.DUMMYFUNCTION("IF('Résultats des tournois'!N$2=0,"""",LET(
lastVal, INDEX(FILTER($B35:N35, ISNUMBER($B35:N35)), COUNTA(FILTER($B35:N35, ISNUMBER($B35:N35)))),
IFERROR(
IF('Résultats des tournois'!N35="""", INDEX(FILTER($C35:N35, ISNUMBER($C35:N35)), COUNTA(FILTER($C35:N"&amp;"35, ISNUMBER($C35:N35)))),
lastVal + 'K dynamique'!N35 * ((SQRT('Résultats des tournois'!N$2 + 1)/'Résultats des tournois'!N35) - (1 / (1 + 10^((N$103 - lastVal)/400)))))
)
))"),"")</f>
        <v/>
      </c>
      <c r="P35" s="32" t="str">
        <f>IFERROR(__xludf.DUMMYFUNCTION("IF('Résultats des tournois'!O$2=0,"""",LET(
lastVal, INDEX(FILTER($B35:O35, ISNUMBER($B35:O35)), COUNTA(FILTER($B35:O35, ISNUMBER($B35:O35)))),
IFERROR(
IF('Résultats des tournois'!O35="""", INDEX(FILTER($C35:O35, ISNUMBER($C35:O35)), COUNTA(FILTER($C35:O"&amp;"35, ISNUMBER($C35:O35)))),
lastVal + 'K dynamique'!O35 * ((SQRT('Résultats des tournois'!O$2 + 1)/'Résultats des tournois'!O35) - (1 / (1 + 10^((O$103 - lastVal)/400)))))
)
))"),"")</f>
        <v/>
      </c>
      <c r="Q35" s="32" t="str">
        <f>IFERROR(__xludf.DUMMYFUNCTION("IF('Résultats des tournois'!P$2=0,"""",LET(
lastVal, INDEX(FILTER($B35:P35, ISNUMBER($B35:P35)), COUNTA(FILTER($B35:P35, ISNUMBER($B35:P35)))),
IFERROR(
IF('Résultats des tournois'!P35="""", INDEX(FILTER($C35:P35, ISNUMBER($C35:P35)), COUNTA(FILTER($C35:P"&amp;"35, ISNUMBER($C35:P35)))),
lastVal + 'K dynamique'!P35 * ((SQRT('Résultats des tournois'!P$2 + 1)/'Résultats des tournois'!P35) - (1 / (1 + 10^((P$103 - lastVal)/400)))))
)
))"),"")</f>
        <v/>
      </c>
      <c r="R35" s="32" t="str">
        <f>IFERROR(__xludf.DUMMYFUNCTION("IF('Résultats des tournois'!Q$2=0,"""",LET(
lastVal, INDEX(FILTER($B35:Q35, ISNUMBER($B35:Q35)), COUNTA(FILTER($B35:Q35, ISNUMBER($B35:Q35)))),
IFERROR(
IF('Résultats des tournois'!Q35="""", INDEX(FILTER($C35:Q35, ISNUMBER($C35:Q35)), COUNTA(FILTER($C35:Q"&amp;"35, ISNUMBER($C35:Q35)))),
lastVal + 'K dynamique'!Q35 * ((SQRT('Résultats des tournois'!Q$2 + 1)/'Résultats des tournois'!Q35) - (1 / (1 + 10^((Q$103 - lastVal)/400)))))
)
))"),"")</f>
        <v/>
      </c>
      <c r="S35" s="32" t="str">
        <f>IFERROR(__xludf.DUMMYFUNCTION("IF('Résultats des tournois'!R$2=0,"""",LET(
lastVal, INDEX(FILTER($B35:R35, ISNUMBER($B35:R35)), COUNTA(FILTER($B35:R35, ISNUMBER($B35:R35)))),
IFERROR(
IF('Résultats des tournois'!R35="""", INDEX(FILTER($C35:R35, ISNUMBER($C35:R35)), COUNTA(FILTER($C35:R"&amp;"35, ISNUMBER($C35:R35)))),
lastVal + 'K dynamique'!R35 * ((SQRT('Résultats des tournois'!R$2 + 1)/'Résultats des tournois'!R35) - (1 / (1 + 10^((R$103 - lastVal)/400)))))
)
))"),"")</f>
        <v/>
      </c>
      <c r="T35" s="32" t="str">
        <f>IFERROR(__xludf.DUMMYFUNCTION("IF('Résultats des tournois'!S$2=0,"""",LET(
lastVal, INDEX(FILTER($B35:S35, ISNUMBER($B35:S35)), COUNTA(FILTER($B35:S35, ISNUMBER($B35:S35)))),
IFERROR(
IF('Résultats des tournois'!S35="""", INDEX(FILTER($C35:S35, ISNUMBER($C35:S35)), COUNTA(FILTER($C35:S"&amp;"35, ISNUMBER($C35:S35)))),
lastVal + 'K dynamique'!S35 * ((SQRT('Résultats des tournois'!S$2 + 1)/'Résultats des tournois'!S35) - (1 / (1 + 10^((S$103 - lastVal)/400)))))
)
))"),"")</f>
        <v/>
      </c>
      <c r="U35" s="32" t="str">
        <f>IFERROR(__xludf.DUMMYFUNCTION("IF('Résultats des tournois'!T$2=0,"""",LET(
lastVal, INDEX(FILTER($B35:T35, ISNUMBER($B35:T35)), COUNTA(FILTER($B35:T35, ISNUMBER($B35:T35)))),
IFERROR(
IF('Résultats des tournois'!T35="""", INDEX(FILTER($C35:T35, ISNUMBER($C35:T35)), COUNTA(FILTER($C35:T"&amp;"35, ISNUMBER($C35:T35)))),
lastVal + 'K dynamique'!T35 * ((SQRT('Résultats des tournois'!T$2 + 1)/'Résultats des tournois'!T35) - (1 / (1 + 10^((T$103 - lastVal)/400)))))
)
))"),"")</f>
        <v/>
      </c>
      <c r="V35" s="32" t="str">
        <f>IFERROR(__xludf.DUMMYFUNCTION("IF('Résultats des tournois'!U$2=0,"""",LET(
lastVal, INDEX(FILTER($B35:U35, ISNUMBER($B35:U35)), COUNTA(FILTER($B35:U35, ISNUMBER($B35:U35)))),
IFERROR(
IF('Résultats des tournois'!U35="""", INDEX(FILTER($C35:U35, ISNUMBER($C35:U35)), COUNTA(FILTER($C35:U"&amp;"35, ISNUMBER($C35:U35)))),
lastVal + 'K dynamique'!U35 * ((SQRT('Résultats des tournois'!U$2 + 1)/'Résultats des tournois'!U35) - (1 / (1 + 10^((U$103 - lastVal)/400)))))
)
))"),"")</f>
        <v/>
      </c>
      <c r="W35" s="32" t="str">
        <f>IFERROR(__xludf.DUMMYFUNCTION("IF('Résultats des tournois'!V$2=0,"""",LET(
lastVal, INDEX(FILTER($B35:V35, ISNUMBER($B35:V35)), COUNTA(FILTER($B35:V35, ISNUMBER($B35:V35)))),
IFERROR(
IF('Résultats des tournois'!V35="""", INDEX(FILTER($C35:V35, ISNUMBER($C35:V35)), COUNTA(FILTER($C35:V"&amp;"35, ISNUMBER($C35:V35)))),
lastVal + 'K dynamique'!V35 * ((SQRT('Résultats des tournois'!V$2 + 1)/'Résultats des tournois'!V35) - (1 / (1 + 10^((V$103 - lastVal)/400)))))
)
))"),"")</f>
        <v/>
      </c>
      <c r="X35" s="32" t="str">
        <f>IFERROR(__xludf.DUMMYFUNCTION("IF('Résultats des tournois'!W$2=0,"""",LET(
lastVal, INDEX(FILTER($B35:W35, ISNUMBER($B35:W35)), COUNTA(FILTER($B35:W35, ISNUMBER($B35:W35)))),
IFERROR(
IF('Résultats des tournois'!W35="""", INDEX(FILTER($C35:W35, ISNUMBER($C35:W35)), COUNTA(FILTER($C35:W"&amp;"35, ISNUMBER($C35:W35)))),
lastVal + 'K dynamique'!W35 * ((SQRT('Résultats des tournois'!W$2 + 1)/'Résultats des tournois'!W35) - (1 / (1 + 10^((W$103 - lastVal)/400)))))
)
))"),"")</f>
        <v/>
      </c>
      <c r="Y35" s="32" t="str">
        <f>IFERROR(__xludf.DUMMYFUNCTION("IF('Résultats des tournois'!X$2=0,"""",LET(
lastVal, INDEX(FILTER($B35:X35, ISNUMBER($B35:X35)), COUNTA(FILTER($B35:X35, ISNUMBER($B35:X35)))),
IFERROR(
IF('Résultats des tournois'!X35="""", INDEX(FILTER($C35:X35, ISNUMBER($C35:X35)), COUNTA(FILTER($C35:X"&amp;"35, ISNUMBER($C35:X35)))),
lastVal + 'K dynamique'!X35 * ((SQRT('Résultats des tournois'!X$2 + 1)/'Résultats des tournois'!X35) - (1 / (1 + 10^((X$103 - lastVal)/400)))))
)
))"),"")</f>
        <v/>
      </c>
      <c r="Z35" s="32" t="str">
        <f>IFERROR(__xludf.DUMMYFUNCTION("IF('Résultats des tournois'!Y$2=0,"""",LET(
lastVal, INDEX(FILTER($B35:Y35, ISNUMBER($B35:Y35)), COUNTA(FILTER($B35:Y35, ISNUMBER($B35:Y35)))),
IFERROR(
IF('Résultats des tournois'!Y35="""", INDEX(FILTER($C35:Y35, ISNUMBER($C35:Y35)), COUNTA(FILTER($C35:Y"&amp;"35, ISNUMBER($C35:Y35)))),
lastVal + 'K dynamique'!Y35 * ((SQRT('Résultats des tournois'!Y$2 + 1)/'Résultats des tournois'!Y35) - (1 / (1 + 10^((Y$103 - lastVal)/400)))))
)
))"),"")</f>
        <v/>
      </c>
      <c r="AA35" s="32" t="str">
        <f>IFERROR(__xludf.DUMMYFUNCTION("IF('Résultats des tournois'!Z$2=0,"""",LET(
lastVal, INDEX(FILTER($B35:Z35, ISNUMBER($B35:Z35)), COUNTA(FILTER($B35:Z35, ISNUMBER($B35:Z35)))),
IFERROR(
IF('Résultats des tournois'!Z35="""", INDEX(FILTER($C35:Z35, ISNUMBER($C35:Z35)), COUNTA(FILTER($C35:Z"&amp;"35, ISNUMBER($C35:Z35)))),
lastVal + 'K dynamique'!Z35 * ((SQRT('Résultats des tournois'!Z$2 + 1)/'Résultats des tournois'!Z35) - (1 / (1 + 10^((Z$103 - lastVal)/400)))))
)
))"),"")</f>
        <v/>
      </c>
      <c r="AB35" s="32" t="str">
        <f>IFERROR(__xludf.DUMMYFUNCTION("IF('Résultats des tournois'!AA$2=0,"""",LET(
lastVal, INDEX(FILTER($B35:AA35, ISNUMBER($B35:AA35)), COUNTA(FILTER($B35:AA35, ISNUMBER($B35:AA35)))),
IFERROR(
IF('Résultats des tournois'!AA35="""", INDEX(FILTER($C35:AA35, ISNUMBER($C35:AA35)), COUNTA(FILTE"&amp;"R($C35:AA35, ISNUMBER($C35:AA35)))),
lastVal + 'K dynamique'!AA35 * ((SQRT('Résultats des tournois'!AA$2 + 1)/'Résultats des tournois'!AA35) - (1 / (1 + 10^((AA$103 - lastVal)/400)))))
)
))"),"")</f>
        <v/>
      </c>
      <c r="AC35" s="32" t="str">
        <f>IFERROR(__xludf.DUMMYFUNCTION("IF('Résultats des tournois'!AB$2=0,"""",LET(
lastVal, INDEX(FILTER($B35:AB35, ISNUMBER($B35:AB35)), COUNTA(FILTER($B35:AB35, ISNUMBER($B35:AB35)))),
IFERROR(
IF('Résultats des tournois'!AB35="""", INDEX(FILTER($C35:AB35, ISNUMBER($C35:AB35)), COUNTA(FILTE"&amp;"R($C35:AB35, ISNUMBER($C35:AB35)))),
lastVal + 'K dynamique'!AB35 * ((SQRT('Résultats des tournois'!AB$2 + 1)/'Résultats des tournois'!AB35) - (1 / (1 + 10^((AB$103 - lastVal)/400)))))
)
))"),"")</f>
        <v/>
      </c>
      <c r="AD35" s="32" t="str">
        <f>IFERROR(__xludf.DUMMYFUNCTION("IF('Résultats des tournois'!AC$2=0,"""",LET(
lastVal, INDEX(FILTER($B35:AC35, ISNUMBER($B35:AC35)), COUNTA(FILTER($B35:AC35, ISNUMBER($B35:AC35)))),
IFERROR(
IF('Résultats des tournois'!AC35="""", INDEX(FILTER($C35:AC35, ISNUMBER($C35:AC35)), COUNTA(FILTE"&amp;"R($C35:AC35, ISNUMBER($C35:AC35)))),
lastVal + 'K dynamique'!AC35 * ((SQRT('Résultats des tournois'!AC$2 + 1)/'Résultats des tournois'!AC35) - (1 / (1 + 10^((AC$103 - lastVal)/400)))))
)
))"),"")</f>
        <v/>
      </c>
      <c r="AE35" s="32" t="str">
        <f>IFERROR(__xludf.DUMMYFUNCTION("IF('Résultats des tournois'!AD$2=0,"""",LET(
lastVal, INDEX(FILTER($B35:AD35, ISNUMBER($B35:AD35)), COUNTA(FILTER($B35:AD35, ISNUMBER($B35:AD35)))),
IFERROR(
IF('Résultats des tournois'!AD35="""", INDEX(FILTER($C35:AD35, ISNUMBER($C35:AD35)), COUNTA(FILTE"&amp;"R($C35:AD35, ISNUMBER($C35:AD35)))),
lastVal + 'K dynamique'!AD35 * ((SQRT('Résultats des tournois'!AD$2 + 1)/'Résultats des tournois'!AD35) - (1 / (1 + 10^((AD$103 - lastVal)/400)))))
)
))"),"")</f>
        <v/>
      </c>
      <c r="AF35" s="32" t="str">
        <f>IFERROR(__xludf.DUMMYFUNCTION("IF('Résultats des tournois'!AE$2=0,"""",LET(
lastVal, INDEX(FILTER($B35:AE35, ISNUMBER($B35:AE35)), COUNTA(FILTER($B35:AE35, ISNUMBER($B35:AE35)))),
IFERROR(
IF('Résultats des tournois'!AE35="""", INDEX(FILTER($C35:AE35, ISNUMBER($C35:AE35)), COUNTA(FILTE"&amp;"R($C35:AE35, ISNUMBER($C35:AE35)))),
lastVal + 'K dynamique'!AE35 * ((SQRT('Résultats des tournois'!AE$2 + 1)/'Résultats des tournois'!AE35) - (1 / (1 + 10^((AE$103 - lastVal)/400)))))
)
))"),"")</f>
        <v/>
      </c>
      <c r="AG35" s="32" t="str">
        <f>IFERROR(__xludf.DUMMYFUNCTION("IF('Résultats des tournois'!AF$2=0,"""",LET(
lastVal, INDEX(FILTER($B35:AF35, ISNUMBER($B35:AF35)), COUNTA(FILTER($B35:AF35, ISNUMBER($B35:AF35)))),
IFERROR(
IF('Résultats des tournois'!AF35="""", INDEX(FILTER($C35:AF35, ISNUMBER($C35:AF35)), COUNTA(FILTE"&amp;"R($C35:AF35, ISNUMBER($C35:AF35)))),
lastVal + 'K dynamique'!AF35 * ((SQRT('Résultats des tournois'!AF$2 + 1)/'Résultats des tournois'!AF35) - (1 / (1 + 10^((AF$103 - lastVal)/400)))))
)
))"),"")</f>
        <v/>
      </c>
      <c r="AH35" s="32" t="str">
        <f>IFERROR(__xludf.DUMMYFUNCTION("IF('Résultats des tournois'!AG$2=0,"""",LET(
lastVal, INDEX(FILTER($B35:AG35, ISNUMBER($B35:AG35)), COUNTA(FILTER($B35:AG35, ISNUMBER($B35:AG35)))),
IFERROR(
IF('Résultats des tournois'!AG35="""", INDEX(FILTER($C35:AG35, ISNUMBER($C35:AG35)), COUNTA(FILTE"&amp;"R($C35:AG35, ISNUMBER($C35:AG35)))),
lastVal + 'K dynamique'!AG35 * ((SQRT('Résultats des tournois'!AG$2 + 1)/'Résultats des tournois'!AG35) - (1 / (1 + 10^((AG$103 - lastVal)/400)))))
)
))"),"")</f>
        <v/>
      </c>
      <c r="AI35" s="32" t="str">
        <f>IFERROR(__xludf.DUMMYFUNCTION("IF('Résultats des tournois'!AH$2=0,"""",LET(
lastVal, INDEX(FILTER($B35:AH35, ISNUMBER($B35:AH35)), COUNTA(FILTER($B35:AH35, ISNUMBER($B35:AH35)))),
IFERROR(
IF('Résultats des tournois'!AH35="""", INDEX(FILTER($C35:AH35, ISNUMBER($C35:AH35)), COUNTA(FILTE"&amp;"R($C35:AH35, ISNUMBER($C35:AH35)))),
lastVal + 'K dynamique'!AH35 * ((SQRT('Résultats des tournois'!AH$2 + 1)/'Résultats des tournois'!AH35) - (1 / (1 + 10^((AH$103 - lastVal)/400)))))
)
))"),"")</f>
        <v/>
      </c>
      <c r="AJ35" s="32" t="str">
        <f>IFERROR(__xludf.DUMMYFUNCTION("IF('Résultats des tournois'!AI$2=0,"""",LET(
lastVal, INDEX(FILTER($B35:AI35, ISNUMBER($B35:AI35)), COUNTA(FILTER($B35:AI35, ISNUMBER($B35:AI35)))),
IFERROR(
IF('Résultats des tournois'!AI35="""", INDEX(FILTER($C35:AI35, ISNUMBER($C35:AI35)), COUNTA(FILTE"&amp;"R($C35:AI35, ISNUMBER($C35:AI35)))),
lastVal + 'K dynamique'!AI35 * ((SQRT('Résultats des tournois'!AI$2 + 1)/'Résultats des tournois'!AI35) - (1 / (1 + 10^((AI$103 - lastVal)/400)))))
)
))"),"")</f>
        <v/>
      </c>
      <c r="AK35" s="32" t="str">
        <f>IFERROR(__xludf.DUMMYFUNCTION("IF('Résultats des tournois'!AJ$2=0,"""",LET(
lastVal, INDEX(FILTER($B35:AJ35, ISNUMBER($B35:AJ35)), COUNTA(FILTER($B35:AJ35, ISNUMBER($B35:AJ35)))),
IFERROR(
IF('Résultats des tournois'!AJ35="""", INDEX(FILTER($C35:AJ35, ISNUMBER($C35:AJ35)), COUNTA(FILTE"&amp;"R($C35:AJ35, ISNUMBER($C35:AJ35)))),
lastVal + 'K dynamique'!AJ35 * ((SQRT('Résultats des tournois'!AJ$2 + 1)/'Résultats des tournois'!AJ35) - (1 / (1 + 10^((AJ$103 - lastVal)/400)))))
)
))"),"")</f>
        <v/>
      </c>
      <c r="AL35" s="32" t="str">
        <f>IFERROR(__xludf.DUMMYFUNCTION("IF('Résultats des tournois'!AK$2=0,"""",LET(
lastVal, INDEX(FILTER($B35:AK35, ISNUMBER($B35:AK35)), COUNTA(FILTER($B35:AK35, ISNUMBER($B35:AK35)))),
IFERROR(
IF('Résultats des tournois'!AK35="""", INDEX(FILTER($C35:AK35, ISNUMBER($C35:AK35)), COUNTA(FILTE"&amp;"R($C35:AK35, ISNUMBER($C35:AK35)))),
lastVal + 'K dynamique'!AK35 * ((SQRT('Résultats des tournois'!AK$2 + 1)/'Résultats des tournois'!AK35) - (1 / (1 + 10^((AK$103 - lastVal)/400)))))
)
))"),"")</f>
        <v/>
      </c>
      <c r="AM35" s="32" t="str">
        <f>IFERROR(__xludf.DUMMYFUNCTION("IF('Résultats des tournois'!AL$2=0,"""",LET(
lastVal, INDEX(FILTER($B35:AL35, ISNUMBER($B35:AL35)), COUNTA(FILTER($B35:AL35, ISNUMBER($B35:AL35)))),
IFERROR(
IF('Résultats des tournois'!AL35="""", INDEX(FILTER($C35:AL35, ISNUMBER($C35:AL35)), COUNTA(FILTE"&amp;"R($C35:AL35, ISNUMBER($C35:AL35)))),
lastVal + 'K dynamique'!AL35 * ((SQRT('Résultats des tournois'!AL$2 + 1)/'Résultats des tournois'!AL35) - (1 / (1 + 10^((AL$103 - lastVal)/400)))))
)
))"),"")</f>
        <v/>
      </c>
      <c r="AN35" s="32" t="str">
        <f>IFERROR(__xludf.DUMMYFUNCTION("IF('Résultats des tournois'!AM$2=0,"""",LET(
lastVal, INDEX(FILTER($B35:AM35, ISNUMBER($B35:AM35)), COUNTA(FILTER($B35:AM35, ISNUMBER($B35:AM35)))),
IFERROR(
IF('Résultats des tournois'!AM35="""", INDEX(FILTER($C35:AM35, ISNUMBER($C35:AM35)), COUNTA(FILTE"&amp;"R($C35:AM35, ISNUMBER($C35:AM35)))),
lastVal + 'K dynamique'!AM35 * ((SQRT('Résultats des tournois'!AM$2 + 1)/'Résultats des tournois'!AM35) - (1 / (1 + 10^((AM$103 - lastVal)/400)))))
)
))"),"")</f>
        <v/>
      </c>
      <c r="AO35" s="32" t="str">
        <f>IFERROR(__xludf.DUMMYFUNCTION("IF('Résultats des tournois'!AN$2=0,"""",LET(
lastVal, INDEX(FILTER($B35:AN35, ISNUMBER($B35:AN35)), COUNTA(FILTER($B35:AN35, ISNUMBER($B35:AN35)))),
IFERROR(
IF('Résultats des tournois'!AN35="""", INDEX(FILTER($C35:AN35, ISNUMBER($C35:AN35)), COUNTA(FILTE"&amp;"R($C35:AN35, ISNUMBER($C35:AN35)))),
lastVal + 'K dynamique'!AN35 * ((SQRT('Résultats des tournois'!AN$2 + 1)/'Résultats des tournois'!AN35) - (1 / (1 + 10^((AN$103 - lastVal)/400)))))
)
))"),"")</f>
        <v/>
      </c>
      <c r="AP35" s="32" t="str">
        <f>IFERROR(__xludf.DUMMYFUNCTION("IF('Résultats des tournois'!AO$2=0,"""",LET(
lastVal, INDEX(FILTER($B35:AO35, ISNUMBER($B35:AO35)), COUNTA(FILTER($B35:AO35, ISNUMBER($B35:AO35)))),
IFERROR(
IF('Résultats des tournois'!AO35="""", INDEX(FILTER($C35:AO35, ISNUMBER($C35:AO35)), COUNTA(FILTE"&amp;"R($C35:AO35, ISNUMBER($C35:AO35)))),
lastVal + 'K dynamique'!AO35 * ((SQRT('Résultats des tournois'!AO$2 + 1)/'Résultats des tournois'!AO35) - (1 / (1 + 10^((AO$103 - lastVal)/400)))))
)
))"),"")</f>
        <v/>
      </c>
      <c r="AQ35" s="32" t="str">
        <f>IFERROR(__xludf.DUMMYFUNCTION("IF('Résultats des tournois'!AP$2=0,"""",LET(
lastVal, INDEX(FILTER($B35:AP35, ISNUMBER($B35:AP35)), COUNTA(FILTER($B35:AP35, ISNUMBER($B35:AP35)))),
IFERROR(
IF('Résultats des tournois'!AP35="""", INDEX(FILTER($C35:AP35, ISNUMBER($C35:AP35)), COUNTA(FILTE"&amp;"R($C35:AP35, ISNUMBER($C35:AP35)))),
lastVal + 'K dynamique'!AP35 * ((SQRT('Résultats des tournois'!AP$2 + 1)/'Résultats des tournois'!AP35) - (1 / (1 + 10^((AP$103 - lastVal)/400)))))
)
))"),"")</f>
        <v/>
      </c>
      <c r="AR35" s="32" t="str">
        <f>IFERROR(__xludf.DUMMYFUNCTION("IF('Résultats des tournois'!AQ$2=0,"""",LET(
lastVal, INDEX(FILTER($B35:AQ35, ISNUMBER($B35:AQ35)), COUNTA(FILTER($B35:AQ35, ISNUMBER($B35:AQ35)))),
IFERROR(
IF('Résultats des tournois'!AQ35="""", INDEX(FILTER($C35:AQ35, ISNUMBER($C35:AQ35)), COUNTA(FILTE"&amp;"R($C35:AQ35, ISNUMBER($C35:AQ35)))),
lastVal + 'K dynamique'!AQ35 * ((SQRT('Résultats des tournois'!AQ$2 + 1)/'Résultats des tournois'!AQ35) - (1 / (1 + 10^((AQ$103 - lastVal)/400)))))
)
))"),"")</f>
        <v/>
      </c>
      <c r="AS35" s="32" t="str">
        <f>IFERROR(__xludf.DUMMYFUNCTION("IF('Résultats des tournois'!AR$2=0,"""",LET(
lastVal, INDEX(FILTER($B35:AR35, ISNUMBER($B35:AR35)), COUNTA(FILTER($B35:AR35, ISNUMBER($B35:AR35)))),
IFERROR(
IF('Résultats des tournois'!AR35="""", INDEX(FILTER($C35:AR35, ISNUMBER($C35:AR35)), COUNTA(FILTE"&amp;"R($C35:AR35, ISNUMBER($C35:AR35)))),
lastVal + 'K dynamique'!AR35 * ((SQRT('Résultats des tournois'!AR$2 + 1)/'Résultats des tournois'!AR35) - (1 / (1 + 10^((AR$103 - lastVal)/400)))))
)
))"),"")</f>
        <v/>
      </c>
      <c r="AT35" s="32" t="str">
        <f>IFERROR(__xludf.DUMMYFUNCTION("IF('Résultats des tournois'!AS$2=0,"""",LET(
lastVal, INDEX(FILTER($B35:AS35, ISNUMBER($B35:AS35)), COUNTA(FILTER($B35:AS35, ISNUMBER($B35:AS35)))),
IFERROR(
IF('Résultats des tournois'!AS35="""", INDEX(FILTER($C35:AS35, ISNUMBER($C35:AS35)), COUNTA(FILTE"&amp;"R($C35:AS35, ISNUMBER($C35:AS35)))),
lastVal + 'K dynamique'!AS35 * ((SQRT('Résultats des tournois'!AS$2 + 1)/'Résultats des tournois'!AS35) - (1 / (1 + 10^((AS$103 - lastVal)/400)))))
)
))"),"")</f>
        <v/>
      </c>
      <c r="AU35" s="32" t="str">
        <f>IFERROR(__xludf.DUMMYFUNCTION("IF('Résultats des tournois'!AT$2=0,"""",LET(
lastVal, INDEX(FILTER($B35:AT35, ISNUMBER($B35:AT35)), COUNTA(FILTER($B35:AT35, ISNUMBER($B35:AT35)))),
IFERROR(
IF('Résultats des tournois'!AT35="""", INDEX(FILTER($C35:AT35, ISNUMBER($C35:AT35)), COUNTA(FILTE"&amp;"R($C35:AT35, ISNUMBER($C35:AT35)))),
lastVal + 'K dynamique'!AT35 * ((SQRT('Résultats des tournois'!AT$2 + 1)/'Résultats des tournois'!AT35) - (1 / (1 + 10^((AT$103 - lastVal)/400)))))
)
))"),"")</f>
        <v/>
      </c>
      <c r="AV35" s="32" t="str">
        <f>IFERROR(__xludf.DUMMYFUNCTION("IF('Résultats des tournois'!AU$2=0,"""",LET(
lastVal, INDEX(FILTER($B35:AU35, ISNUMBER($B35:AU35)), COUNTA(FILTER($B35:AU35, ISNUMBER($B35:AU35)))),
IFERROR(
IF('Résultats des tournois'!AU35="""", INDEX(FILTER($C35:AU35, ISNUMBER($C35:AU35)), COUNTA(FILTE"&amp;"R($C35:AU35, ISNUMBER($C35:AU35)))),
lastVal + 'K dynamique'!AU35 * ((SQRT('Résultats des tournois'!AU$2 + 1)/'Résultats des tournois'!AU35) - (1 / (1 + 10^((AU$103 - lastVal)/400)))))
)
))"),"")</f>
        <v/>
      </c>
      <c r="AW35" s="32" t="str">
        <f>IFERROR(__xludf.DUMMYFUNCTION("IF('Résultats des tournois'!AV$2=0,"""",LET(
lastVal, INDEX(FILTER($B35:AV35, ISNUMBER($B35:AV35)), COUNTA(FILTER($B35:AV35, ISNUMBER($B35:AV35)))),
IFERROR(
IF('Résultats des tournois'!AV35="""", INDEX(FILTER($C35:AV35, ISNUMBER($C35:AV35)), COUNTA(FILTE"&amp;"R($C35:AV35, ISNUMBER($C35:AV35)))),
lastVal + 'K dynamique'!AV35 * ((SQRT('Résultats des tournois'!AV$2 + 1)/'Résultats des tournois'!AV35) - (1 / (1 + 10^((AV$103 - lastVal)/400)))))
)
))"),"")</f>
        <v/>
      </c>
      <c r="AX35" s="32" t="str">
        <f>IFERROR(__xludf.DUMMYFUNCTION("IF('Résultats des tournois'!AW$2=0,"""",LET(
lastVal, INDEX(FILTER($B35:AW35, ISNUMBER($B35:AW35)), COUNTA(FILTER($B35:AW35, ISNUMBER($B35:AW35)))),
IFERROR(
IF('Résultats des tournois'!AW35="""", INDEX(FILTER($C35:AW35, ISNUMBER($C35:AW35)), COUNTA(FILTE"&amp;"R($C35:AW35, ISNUMBER($C35:AW35)))),
lastVal + 'K dynamique'!AW35 * ((SQRT('Résultats des tournois'!AW$2 + 1)/'Résultats des tournois'!AW35) - (1 / (1 + 10^((AW$103 - lastVal)/400)))))
)
))"),"")</f>
        <v/>
      </c>
      <c r="AY35" s="32" t="str">
        <f>IFERROR(__xludf.DUMMYFUNCTION("IF('Résultats des tournois'!AX$2=0,"""",LET(
lastVal, INDEX(FILTER($B35:AX35, ISNUMBER($B35:AX35)), COUNTA(FILTER($B35:AX35, ISNUMBER($B35:AX35)))),
IFERROR(
IF('Résultats des tournois'!AX35="""", INDEX(FILTER($C35:AX35, ISNUMBER($C35:AX35)), COUNTA(FILTE"&amp;"R($C35:AX35, ISNUMBER($C35:AX35)))),
lastVal + 'K dynamique'!AX35 * ((SQRT('Résultats des tournois'!AX$2 + 1)/'Résultats des tournois'!AX35) - (1 / (1 + 10^((AX$103 - lastVal)/400)))))
)
))"),"")</f>
        <v/>
      </c>
      <c r="AZ35" s="4" t="str">
        <f t="array" ref="AZ35">IF(MAX(($C35:AY35&lt;&gt;"")*COLUMN($C35:AY35))=0,"",INDEX($C35:AY35,1,MAX(($C35:AY35&lt;&gt;"")*COLUMN($C35:AY35))-COLUMN($C35)+1))</f>
        <v/>
      </c>
      <c r="BA35" s="33" t="str">
        <f t="shared" si="1"/>
        <v/>
      </c>
    </row>
    <row r="36" ht="14.25" customHeight="1">
      <c r="A36" s="32" t="str">
        <f>IF('Résultats des tournois'!A36="","",'Résultats des tournois'!A36)</f>
        <v/>
      </c>
      <c r="B36" s="32">
        <v>1500.0</v>
      </c>
      <c r="C36" s="32" t="str">
        <f>IF('Résultats des tournois'!B36="","",B36+'K dynamique'!B36*((SQRT('Résultats des tournois'!B$2+1)/'Résultats des tournois'!B36)-(1/(1+10^((B36-B36)/400)))))</f>
        <v/>
      </c>
      <c r="D36" s="32" t="str">
        <f>IFERROR(__xludf.DUMMYFUNCTION("IF('Résultats des tournois'!C$2=0,"""",LET(
lastVal, INDEX(FILTER($B36:C36, ISNUMBER($B36:C36)), COUNTA(FILTER($B36:C36, ISNUMBER($B36:C36)))),
IFERROR(
IF('Résultats des tournois'!C36="""", INDEX(FILTER($C36:C36, ISNUMBER($C36:C36)), COUNTA(FILTER($C36:C"&amp;"36, ISNUMBER($C36:C36)))),
lastVal + 'K dynamique'!C36 * ((SQRT('Résultats des tournois'!C$2 + 1)/'Résultats des tournois'!C36) - (1 / (1 + 10^((C$103 - lastVal)/400)))))
)
))"),"")</f>
        <v/>
      </c>
      <c r="E36" s="32" t="str">
        <f>IFERROR(__xludf.DUMMYFUNCTION("IF('Résultats des tournois'!D$2=0,"""",LET(
lastVal, INDEX(FILTER($B36:D36, ISNUMBER($B36:D36)), COUNTA(FILTER($B36:D36, ISNUMBER($B36:D36)))),
IFERROR(
IF('Résultats des tournois'!D36="""", INDEX(FILTER($C36:D36, ISNUMBER($C36:D36)), COUNTA(FILTER($C36:D"&amp;"36, ISNUMBER($C36:D36)))),
lastVal + 'K dynamique'!D36 * ((SQRT('Résultats des tournois'!D$2 + 1)/'Résultats des tournois'!D36) - (1 / (1 + 10^((D$103 - lastVal)/400)))))
)
))"),"")</f>
        <v/>
      </c>
      <c r="F36" s="32" t="str">
        <f>IFERROR(__xludf.DUMMYFUNCTION("IF('Résultats des tournois'!E$2=0,"""",LET(
lastVal, INDEX(FILTER($B36:E36, ISNUMBER($B36:E36)), COUNTA(FILTER($B36:E36, ISNUMBER($B36:E36)))),
IFERROR(
IF('Résultats des tournois'!E36="""", INDEX(FILTER($C36:E36, ISNUMBER($C36:E36)), COUNTA(FILTER($C36:E"&amp;"36, ISNUMBER($C36:E36)))),
lastVal + 'K dynamique'!E36 * ((SQRT('Résultats des tournois'!E$2 + 1)/'Résultats des tournois'!E36) - (1 / (1 + 10^((E$103 - lastVal)/400)))))
)
))"),"")</f>
        <v/>
      </c>
      <c r="G36" s="32" t="str">
        <f>IFERROR(__xludf.DUMMYFUNCTION("IF('Résultats des tournois'!F$2=0,"""",LET(
lastVal, INDEX(FILTER($B36:F36, ISNUMBER($B36:F36)), COUNTA(FILTER($B36:F36, ISNUMBER($B36:F36)))),
IFERROR(
IF('Résultats des tournois'!F36="""", INDEX(FILTER($C36:F36, ISNUMBER($C36:F36)), COUNTA(FILTER($C36:F"&amp;"36, ISNUMBER($C36:F36)))),
lastVal + 'K dynamique'!F36 * ((SQRT('Résultats des tournois'!F$2 + 1)/'Résultats des tournois'!F36) - (1 / (1 + 10^((F$103 - lastVal)/400)))))
)
))"),"")</f>
        <v/>
      </c>
      <c r="H36" s="32" t="str">
        <f>IFERROR(__xludf.DUMMYFUNCTION("IF('Résultats des tournois'!G$2=0,"""",LET(
lastVal, INDEX(FILTER($B36:G36, ISNUMBER($B36:G36)), COUNTA(FILTER($B36:G36, ISNUMBER($B36:G36)))),
IFERROR(
IF('Résultats des tournois'!G36="""", INDEX(FILTER($C36:G36, ISNUMBER($C36:G36)), COUNTA(FILTER($C36:G"&amp;"36, ISNUMBER($C36:G36)))),
lastVal + 'K dynamique'!G36 * ((SQRT('Résultats des tournois'!G$2 + 1)/'Résultats des tournois'!G36) - (1 / (1 + 10^((G$103 - lastVal)/400)))))
)
))"),"")</f>
        <v/>
      </c>
      <c r="I36" s="32" t="str">
        <f>IFERROR(__xludf.DUMMYFUNCTION("IF('Résultats des tournois'!H$2=0,"""",LET(
lastVal, INDEX(FILTER($B36:H36, ISNUMBER($B36:H36)), COUNTA(FILTER($B36:H36, ISNUMBER($B36:H36)))),
IFERROR(
IF('Résultats des tournois'!H36="""", INDEX(FILTER($C36:H36, ISNUMBER($C36:H36)), COUNTA(FILTER($C36:H"&amp;"36, ISNUMBER($C36:H36)))),
lastVal + 'K dynamique'!H36 * ((SQRT('Résultats des tournois'!H$2 + 1)/'Résultats des tournois'!H36) - (1 / (1 + 10^((H$103 - lastVal)/400)))))
)
))"),"")</f>
        <v/>
      </c>
      <c r="J36" s="32" t="str">
        <f>IFERROR(__xludf.DUMMYFUNCTION("IF('Résultats des tournois'!I$2=0,"""",LET(
lastVal, INDEX(FILTER($B36:I36, ISNUMBER($B36:I36)), COUNTA(FILTER($B36:I36, ISNUMBER($B36:I36)))),
IFERROR(
IF('Résultats des tournois'!I36="""", INDEX(FILTER($C36:I36, ISNUMBER($C36:I36)), COUNTA(FILTER($C36:I"&amp;"36, ISNUMBER($C36:I36)))),
lastVal + 'K dynamique'!I36 * ((SQRT('Résultats des tournois'!I$2 + 1)/'Résultats des tournois'!I36) - (1 / (1 + 10^((I$103 - lastVal)/400)))))
)
))"),"")</f>
        <v/>
      </c>
      <c r="K36" s="32" t="str">
        <f>IFERROR(__xludf.DUMMYFUNCTION("IF('Résultats des tournois'!J$2=0,"""",LET(
lastVal, INDEX(FILTER($B36:J36, ISNUMBER($B36:J36)), COUNTA(FILTER($B36:J36, ISNUMBER($B36:J36)))),
IFERROR(
IF('Résultats des tournois'!J36="""", INDEX(FILTER($C36:J36, ISNUMBER($C36:J36)), COUNTA(FILTER($C36:J"&amp;"36, ISNUMBER($C36:J36)))),
lastVal + 'K dynamique'!J36 * ((SQRT('Résultats des tournois'!J$2 + 1)/'Résultats des tournois'!J36) - (1 / (1 + 10^((J$103 - lastVal)/400)))))
)
))"),"")</f>
        <v/>
      </c>
      <c r="L36" s="32" t="str">
        <f>IFERROR(__xludf.DUMMYFUNCTION("IF('Résultats des tournois'!K$2=0,"""",LET(
lastVal, INDEX(FILTER($B36:K36, ISNUMBER($B36:K36)), COUNTA(FILTER($B36:K36, ISNUMBER($B36:K36)))),
IFERROR(
IF('Résultats des tournois'!K36="""", INDEX(FILTER($C36:K36, ISNUMBER($C36:K36)), COUNTA(FILTER($C36:K"&amp;"36, ISNUMBER($C36:K36)))),
lastVal + 'K dynamique'!K36 * ((SQRT('Résultats des tournois'!K$2 + 1)/'Résultats des tournois'!K36) - (1 / (1 + 10^((K$103 - lastVal)/400)))))
)
))"),"")</f>
        <v/>
      </c>
      <c r="M36" s="32" t="str">
        <f>IFERROR(__xludf.DUMMYFUNCTION("IF('Résultats des tournois'!L$2=0,"""",LET(
lastVal, INDEX(FILTER($B36:L36, ISNUMBER($B36:L36)), COUNTA(FILTER($B36:L36, ISNUMBER($B36:L36)))),
IFERROR(
IF('Résultats des tournois'!L36="""", INDEX(FILTER($C36:L36, ISNUMBER($C36:L36)), COUNTA(FILTER($C36:L"&amp;"36, ISNUMBER($C36:L36)))),
lastVal + 'K dynamique'!L36 * ((SQRT('Résultats des tournois'!L$2 + 1)/'Résultats des tournois'!L36) - (1 / (1 + 10^((L$103 - lastVal)/400)))))
)
))"),"")</f>
        <v/>
      </c>
      <c r="N36" s="32" t="str">
        <f>IFERROR(__xludf.DUMMYFUNCTION("IF('Résultats des tournois'!M$2=0,"""",LET(
lastVal, INDEX(FILTER($B36:M36, ISNUMBER($B36:M36)), COUNTA(FILTER($B36:M36, ISNUMBER($B36:M36)))),
IFERROR(
IF('Résultats des tournois'!M36="""", INDEX(FILTER($C36:M36, ISNUMBER($C36:M36)), COUNTA(FILTER($C36:M"&amp;"36, ISNUMBER($C36:M36)))),
lastVal + 'K dynamique'!M36 * ((SQRT('Résultats des tournois'!M$2 + 1)/'Résultats des tournois'!M36) - (1 / (1 + 10^((M$103 - lastVal)/400)))))
)
))"),"")</f>
        <v/>
      </c>
      <c r="O36" s="32" t="str">
        <f>IFERROR(__xludf.DUMMYFUNCTION("IF('Résultats des tournois'!N$2=0,"""",LET(
lastVal, INDEX(FILTER($B36:N36, ISNUMBER($B36:N36)), COUNTA(FILTER($B36:N36, ISNUMBER($B36:N36)))),
IFERROR(
IF('Résultats des tournois'!N36="""", INDEX(FILTER($C36:N36, ISNUMBER($C36:N36)), COUNTA(FILTER($C36:N"&amp;"36, ISNUMBER($C36:N36)))),
lastVal + 'K dynamique'!N36 * ((SQRT('Résultats des tournois'!N$2 + 1)/'Résultats des tournois'!N36) - (1 / (1 + 10^((N$103 - lastVal)/400)))))
)
))"),"")</f>
        <v/>
      </c>
      <c r="P36" s="32" t="str">
        <f>IFERROR(__xludf.DUMMYFUNCTION("IF('Résultats des tournois'!O$2=0,"""",LET(
lastVal, INDEX(FILTER($B36:O36, ISNUMBER($B36:O36)), COUNTA(FILTER($B36:O36, ISNUMBER($B36:O36)))),
IFERROR(
IF('Résultats des tournois'!O36="""", INDEX(FILTER($C36:O36, ISNUMBER($C36:O36)), COUNTA(FILTER($C36:O"&amp;"36, ISNUMBER($C36:O36)))),
lastVal + 'K dynamique'!O36 * ((SQRT('Résultats des tournois'!O$2 + 1)/'Résultats des tournois'!O36) - (1 / (1 + 10^((O$103 - lastVal)/400)))))
)
))"),"")</f>
        <v/>
      </c>
      <c r="Q36" s="32" t="str">
        <f>IFERROR(__xludf.DUMMYFUNCTION("IF('Résultats des tournois'!P$2=0,"""",LET(
lastVal, INDEX(FILTER($B36:P36, ISNUMBER($B36:P36)), COUNTA(FILTER($B36:P36, ISNUMBER($B36:P36)))),
IFERROR(
IF('Résultats des tournois'!P36="""", INDEX(FILTER($C36:P36, ISNUMBER($C36:P36)), COUNTA(FILTER($C36:P"&amp;"36, ISNUMBER($C36:P36)))),
lastVal + 'K dynamique'!P36 * ((SQRT('Résultats des tournois'!P$2 + 1)/'Résultats des tournois'!P36) - (1 / (1 + 10^((P$103 - lastVal)/400)))))
)
))"),"")</f>
        <v/>
      </c>
      <c r="R36" s="32" t="str">
        <f>IFERROR(__xludf.DUMMYFUNCTION("IF('Résultats des tournois'!Q$2=0,"""",LET(
lastVal, INDEX(FILTER($B36:Q36, ISNUMBER($B36:Q36)), COUNTA(FILTER($B36:Q36, ISNUMBER($B36:Q36)))),
IFERROR(
IF('Résultats des tournois'!Q36="""", INDEX(FILTER($C36:Q36, ISNUMBER($C36:Q36)), COUNTA(FILTER($C36:Q"&amp;"36, ISNUMBER($C36:Q36)))),
lastVal + 'K dynamique'!Q36 * ((SQRT('Résultats des tournois'!Q$2 + 1)/'Résultats des tournois'!Q36) - (1 / (1 + 10^((Q$103 - lastVal)/400)))))
)
))"),"")</f>
        <v/>
      </c>
      <c r="S36" s="32" t="str">
        <f>IFERROR(__xludf.DUMMYFUNCTION("IF('Résultats des tournois'!R$2=0,"""",LET(
lastVal, INDEX(FILTER($B36:R36, ISNUMBER($B36:R36)), COUNTA(FILTER($B36:R36, ISNUMBER($B36:R36)))),
IFERROR(
IF('Résultats des tournois'!R36="""", INDEX(FILTER($C36:R36, ISNUMBER($C36:R36)), COUNTA(FILTER($C36:R"&amp;"36, ISNUMBER($C36:R36)))),
lastVal + 'K dynamique'!R36 * ((SQRT('Résultats des tournois'!R$2 + 1)/'Résultats des tournois'!R36) - (1 / (1 + 10^((R$103 - lastVal)/400)))))
)
))"),"")</f>
        <v/>
      </c>
      <c r="T36" s="32" t="str">
        <f>IFERROR(__xludf.DUMMYFUNCTION("IF('Résultats des tournois'!S$2=0,"""",LET(
lastVal, INDEX(FILTER($B36:S36, ISNUMBER($B36:S36)), COUNTA(FILTER($B36:S36, ISNUMBER($B36:S36)))),
IFERROR(
IF('Résultats des tournois'!S36="""", INDEX(FILTER($C36:S36, ISNUMBER($C36:S36)), COUNTA(FILTER($C36:S"&amp;"36, ISNUMBER($C36:S36)))),
lastVal + 'K dynamique'!S36 * ((SQRT('Résultats des tournois'!S$2 + 1)/'Résultats des tournois'!S36) - (1 / (1 + 10^((S$103 - lastVal)/400)))))
)
))"),"")</f>
        <v/>
      </c>
      <c r="U36" s="32" t="str">
        <f>IFERROR(__xludf.DUMMYFUNCTION("IF('Résultats des tournois'!T$2=0,"""",LET(
lastVal, INDEX(FILTER($B36:T36, ISNUMBER($B36:T36)), COUNTA(FILTER($B36:T36, ISNUMBER($B36:T36)))),
IFERROR(
IF('Résultats des tournois'!T36="""", INDEX(FILTER($C36:T36, ISNUMBER($C36:T36)), COUNTA(FILTER($C36:T"&amp;"36, ISNUMBER($C36:T36)))),
lastVal + 'K dynamique'!T36 * ((SQRT('Résultats des tournois'!T$2 + 1)/'Résultats des tournois'!T36) - (1 / (1 + 10^((T$103 - lastVal)/400)))))
)
))"),"")</f>
        <v/>
      </c>
      <c r="V36" s="32" t="str">
        <f>IFERROR(__xludf.DUMMYFUNCTION("IF('Résultats des tournois'!U$2=0,"""",LET(
lastVal, INDEX(FILTER($B36:U36, ISNUMBER($B36:U36)), COUNTA(FILTER($B36:U36, ISNUMBER($B36:U36)))),
IFERROR(
IF('Résultats des tournois'!U36="""", INDEX(FILTER($C36:U36, ISNUMBER($C36:U36)), COUNTA(FILTER($C36:U"&amp;"36, ISNUMBER($C36:U36)))),
lastVal + 'K dynamique'!U36 * ((SQRT('Résultats des tournois'!U$2 + 1)/'Résultats des tournois'!U36) - (1 / (1 + 10^((U$103 - lastVal)/400)))))
)
))"),"")</f>
        <v/>
      </c>
      <c r="W36" s="32" t="str">
        <f>IFERROR(__xludf.DUMMYFUNCTION("IF('Résultats des tournois'!V$2=0,"""",LET(
lastVal, INDEX(FILTER($B36:V36, ISNUMBER($B36:V36)), COUNTA(FILTER($B36:V36, ISNUMBER($B36:V36)))),
IFERROR(
IF('Résultats des tournois'!V36="""", INDEX(FILTER($C36:V36, ISNUMBER($C36:V36)), COUNTA(FILTER($C36:V"&amp;"36, ISNUMBER($C36:V36)))),
lastVal + 'K dynamique'!V36 * ((SQRT('Résultats des tournois'!V$2 + 1)/'Résultats des tournois'!V36) - (1 / (1 + 10^((V$103 - lastVal)/400)))))
)
))"),"")</f>
        <v/>
      </c>
      <c r="X36" s="32" t="str">
        <f>IFERROR(__xludf.DUMMYFUNCTION("IF('Résultats des tournois'!W$2=0,"""",LET(
lastVal, INDEX(FILTER($B36:W36, ISNUMBER($B36:W36)), COUNTA(FILTER($B36:W36, ISNUMBER($B36:W36)))),
IFERROR(
IF('Résultats des tournois'!W36="""", INDEX(FILTER($C36:W36, ISNUMBER($C36:W36)), COUNTA(FILTER($C36:W"&amp;"36, ISNUMBER($C36:W36)))),
lastVal + 'K dynamique'!W36 * ((SQRT('Résultats des tournois'!W$2 + 1)/'Résultats des tournois'!W36) - (1 / (1 + 10^((W$103 - lastVal)/400)))))
)
))"),"")</f>
        <v/>
      </c>
      <c r="Y36" s="32" t="str">
        <f>IFERROR(__xludf.DUMMYFUNCTION("IF('Résultats des tournois'!X$2=0,"""",LET(
lastVal, INDEX(FILTER($B36:X36, ISNUMBER($B36:X36)), COUNTA(FILTER($B36:X36, ISNUMBER($B36:X36)))),
IFERROR(
IF('Résultats des tournois'!X36="""", INDEX(FILTER($C36:X36, ISNUMBER($C36:X36)), COUNTA(FILTER($C36:X"&amp;"36, ISNUMBER($C36:X36)))),
lastVal + 'K dynamique'!X36 * ((SQRT('Résultats des tournois'!X$2 + 1)/'Résultats des tournois'!X36) - (1 / (1 + 10^((X$103 - lastVal)/400)))))
)
))"),"")</f>
        <v/>
      </c>
      <c r="Z36" s="32" t="str">
        <f>IFERROR(__xludf.DUMMYFUNCTION("IF('Résultats des tournois'!Y$2=0,"""",LET(
lastVal, INDEX(FILTER($B36:Y36, ISNUMBER($B36:Y36)), COUNTA(FILTER($B36:Y36, ISNUMBER($B36:Y36)))),
IFERROR(
IF('Résultats des tournois'!Y36="""", INDEX(FILTER($C36:Y36, ISNUMBER($C36:Y36)), COUNTA(FILTER($C36:Y"&amp;"36, ISNUMBER($C36:Y36)))),
lastVal + 'K dynamique'!Y36 * ((SQRT('Résultats des tournois'!Y$2 + 1)/'Résultats des tournois'!Y36) - (1 / (1 + 10^((Y$103 - lastVal)/400)))))
)
))"),"")</f>
        <v/>
      </c>
      <c r="AA36" s="32" t="str">
        <f>IFERROR(__xludf.DUMMYFUNCTION("IF('Résultats des tournois'!Z$2=0,"""",LET(
lastVal, INDEX(FILTER($B36:Z36, ISNUMBER($B36:Z36)), COUNTA(FILTER($B36:Z36, ISNUMBER($B36:Z36)))),
IFERROR(
IF('Résultats des tournois'!Z36="""", INDEX(FILTER($C36:Z36, ISNUMBER($C36:Z36)), COUNTA(FILTER($C36:Z"&amp;"36, ISNUMBER($C36:Z36)))),
lastVal + 'K dynamique'!Z36 * ((SQRT('Résultats des tournois'!Z$2 + 1)/'Résultats des tournois'!Z36) - (1 / (1 + 10^((Z$103 - lastVal)/400)))))
)
))"),"")</f>
        <v/>
      </c>
      <c r="AB36" s="32" t="str">
        <f>IFERROR(__xludf.DUMMYFUNCTION("IF('Résultats des tournois'!AA$2=0,"""",LET(
lastVal, INDEX(FILTER($B36:AA36, ISNUMBER($B36:AA36)), COUNTA(FILTER($B36:AA36, ISNUMBER($B36:AA36)))),
IFERROR(
IF('Résultats des tournois'!AA36="""", INDEX(FILTER($C36:AA36, ISNUMBER($C36:AA36)), COUNTA(FILTE"&amp;"R($C36:AA36, ISNUMBER($C36:AA36)))),
lastVal + 'K dynamique'!AA36 * ((SQRT('Résultats des tournois'!AA$2 + 1)/'Résultats des tournois'!AA36) - (1 / (1 + 10^((AA$103 - lastVal)/400)))))
)
))"),"")</f>
        <v/>
      </c>
      <c r="AC36" s="32" t="str">
        <f>IFERROR(__xludf.DUMMYFUNCTION("IF('Résultats des tournois'!AB$2=0,"""",LET(
lastVal, INDEX(FILTER($B36:AB36, ISNUMBER($B36:AB36)), COUNTA(FILTER($B36:AB36, ISNUMBER($B36:AB36)))),
IFERROR(
IF('Résultats des tournois'!AB36="""", INDEX(FILTER($C36:AB36, ISNUMBER($C36:AB36)), COUNTA(FILTE"&amp;"R($C36:AB36, ISNUMBER($C36:AB36)))),
lastVal + 'K dynamique'!AB36 * ((SQRT('Résultats des tournois'!AB$2 + 1)/'Résultats des tournois'!AB36) - (1 / (1 + 10^((AB$103 - lastVal)/400)))))
)
))"),"")</f>
        <v/>
      </c>
      <c r="AD36" s="32" t="str">
        <f>IFERROR(__xludf.DUMMYFUNCTION("IF('Résultats des tournois'!AC$2=0,"""",LET(
lastVal, INDEX(FILTER($B36:AC36, ISNUMBER($B36:AC36)), COUNTA(FILTER($B36:AC36, ISNUMBER($B36:AC36)))),
IFERROR(
IF('Résultats des tournois'!AC36="""", INDEX(FILTER($C36:AC36, ISNUMBER($C36:AC36)), COUNTA(FILTE"&amp;"R($C36:AC36, ISNUMBER($C36:AC36)))),
lastVal + 'K dynamique'!AC36 * ((SQRT('Résultats des tournois'!AC$2 + 1)/'Résultats des tournois'!AC36) - (1 / (1 + 10^((AC$103 - lastVal)/400)))))
)
))"),"")</f>
        <v/>
      </c>
      <c r="AE36" s="32" t="str">
        <f>IFERROR(__xludf.DUMMYFUNCTION("IF('Résultats des tournois'!AD$2=0,"""",LET(
lastVal, INDEX(FILTER($B36:AD36, ISNUMBER($B36:AD36)), COUNTA(FILTER($B36:AD36, ISNUMBER($B36:AD36)))),
IFERROR(
IF('Résultats des tournois'!AD36="""", INDEX(FILTER($C36:AD36, ISNUMBER($C36:AD36)), COUNTA(FILTE"&amp;"R($C36:AD36, ISNUMBER($C36:AD36)))),
lastVal + 'K dynamique'!AD36 * ((SQRT('Résultats des tournois'!AD$2 + 1)/'Résultats des tournois'!AD36) - (1 / (1 + 10^((AD$103 - lastVal)/400)))))
)
))"),"")</f>
        <v/>
      </c>
      <c r="AF36" s="32" t="str">
        <f>IFERROR(__xludf.DUMMYFUNCTION("IF('Résultats des tournois'!AE$2=0,"""",LET(
lastVal, INDEX(FILTER($B36:AE36, ISNUMBER($B36:AE36)), COUNTA(FILTER($B36:AE36, ISNUMBER($B36:AE36)))),
IFERROR(
IF('Résultats des tournois'!AE36="""", INDEX(FILTER($C36:AE36, ISNUMBER($C36:AE36)), COUNTA(FILTE"&amp;"R($C36:AE36, ISNUMBER($C36:AE36)))),
lastVal + 'K dynamique'!AE36 * ((SQRT('Résultats des tournois'!AE$2 + 1)/'Résultats des tournois'!AE36) - (1 / (1 + 10^((AE$103 - lastVal)/400)))))
)
))"),"")</f>
        <v/>
      </c>
      <c r="AG36" s="32" t="str">
        <f>IFERROR(__xludf.DUMMYFUNCTION("IF('Résultats des tournois'!AF$2=0,"""",LET(
lastVal, INDEX(FILTER($B36:AF36, ISNUMBER($B36:AF36)), COUNTA(FILTER($B36:AF36, ISNUMBER($B36:AF36)))),
IFERROR(
IF('Résultats des tournois'!AF36="""", INDEX(FILTER($C36:AF36, ISNUMBER($C36:AF36)), COUNTA(FILTE"&amp;"R($C36:AF36, ISNUMBER($C36:AF36)))),
lastVal + 'K dynamique'!AF36 * ((SQRT('Résultats des tournois'!AF$2 + 1)/'Résultats des tournois'!AF36) - (1 / (1 + 10^((AF$103 - lastVal)/400)))))
)
))"),"")</f>
        <v/>
      </c>
      <c r="AH36" s="32" t="str">
        <f>IFERROR(__xludf.DUMMYFUNCTION("IF('Résultats des tournois'!AG$2=0,"""",LET(
lastVal, INDEX(FILTER($B36:AG36, ISNUMBER($B36:AG36)), COUNTA(FILTER($B36:AG36, ISNUMBER($B36:AG36)))),
IFERROR(
IF('Résultats des tournois'!AG36="""", INDEX(FILTER($C36:AG36, ISNUMBER($C36:AG36)), COUNTA(FILTE"&amp;"R($C36:AG36, ISNUMBER($C36:AG36)))),
lastVal + 'K dynamique'!AG36 * ((SQRT('Résultats des tournois'!AG$2 + 1)/'Résultats des tournois'!AG36) - (1 / (1 + 10^((AG$103 - lastVal)/400)))))
)
))"),"")</f>
        <v/>
      </c>
      <c r="AI36" s="32" t="str">
        <f>IFERROR(__xludf.DUMMYFUNCTION("IF('Résultats des tournois'!AH$2=0,"""",LET(
lastVal, INDEX(FILTER($B36:AH36, ISNUMBER($B36:AH36)), COUNTA(FILTER($B36:AH36, ISNUMBER($B36:AH36)))),
IFERROR(
IF('Résultats des tournois'!AH36="""", INDEX(FILTER($C36:AH36, ISNUMBER($C36:AH36)), COUNTA(FILTE"&amp;"R($C36:AH36, ISNUMBER($C36:AH36)))),
lastVal + 'K dynamique'!AH36 * ((SQRT('Résultats des tournois'!AH$2 + 1)/'Résultats des tournois'!AH36) - (1 / (1 + 10^((AH$103 - lastVal)/400)))))
)
))"),"")</f>
        <v/>
      </c>
      <c r="AJ36" s="32" t="str">
        <f>IFERROR(__xludf.DUMMYFUNCTION("IF('Résultats des tournois'!AI$2=0,"""",LET(
lastVal, INDEX(FILTER($B36:AI36, ISNUMBER($B36:AI36)), COUNTA(FILTER($B36:AI36, ISNUMBER($B36:AI36)))),
IFERROR(
IF('Résultats des tournois'!AI36="""", INDEX(FILTER($C36:AI36, ISNUMBER($C36:AI36)), COUNTA(FILTE"&amp;"R($C36:AI36, ISNUMBER($C36:AI36)))),
lastVal + 'K dynamique'!AI36 * ((SQRT('Résultats des tournois'!AI$2 + 1)/'Résultats des tournois'!AI36) - (1 / (1 + 10^((AI$103 - lastVal)/400)))))
)
))"),"")</f>
        <v/>
      </c>
      <c r="AK36" s="32" t="str">
        <f>IFERROR(__xludf.DUMMYFUNCTION("IF('Résultats des tournois'!AJ$2=0,"""",LET(
lastVal, INDEX(FILTER($B36:AJ36, ISNUMBER($B36:AJ36)), COUNTA(FILTER($B36:AJ36, ISNUMBER($B36:AJ36)))),
IFERROR(
IF('Résultats des tournois'!AJ36="""", INDEX(FILTER($C36:AJ36, ISNUMBER($C36:AJ36)), COUNTA(FILTE"&amp;"R($C36:AJ36, ISNUMBER($C36:AJ36)))),
lastVal + 'K dynamique'!AJ36 * ((SQRT('Résultats des tournois'!AJ$2 + 1)/'Résultats des tournois'!AJ36) - (1 / (1 + 10^((AJ$103 - lastVal)/400)))))
)
))"),"")</f>
        <v/>
      </c>
      <c r="AL36" s="32" t="str">
        <f>IFERROR(__xludf.DUMMYFUNCTION("IF('Résultats des tournois'!AK$2=0,"""",LET(
lastVal, INDEX(FILTER($B36:AK36, ISNUMBER($B36:AK36)), COUNTA(FILTER($B36:AK36, ISNUMBER($B36:AK36)))),
IFERROR(
IF('Résultats des tournois'!AK36="""", INDEX(FILTER($C36:AK36, ISNUMBER($C36:AK36)), COUNTA(FILTE"&amp;"R($C36:AK36, ISNUMBER($C36:AK36)))),
lastVal + 'K dynamique'!AK36 * ((SQRT('Résultats des tournois'!AK$2 + 1)/'Résultats des tournois'!AK36) - (1 / (1 + 10^((AK$103 - lastVal)/400)))))
)
))"),"")</f>
        <v/>
      </c>
      <c r="AM36" s="32" t="str">
        <f>IFERROR(__xludf.DUMMYFUNCTION("IF('Résultats des tournois'!AL$2=0,"""",LET(
lastVal, INDEX(FILTER($B36:AL36, ISNUMBER($B36:AL36)), COUNTA(FILTER($B36:AL36, ISNUMBER($B36:AL36)))),
IFERROR(
IF('Résultats des tournois'!AL36="""", INDEX(FILTER($C36:AL36, ISNUMBER($C36:AL36)), COUNTA(FILTE"&amp;"R($C36:AL36, ISNUMBER($C36:AL36)))),
lastVal + 'K dynamique'!AL36 * ((SQRT('Résultats des tournois'!AL$2 + 1)/'Résultats des tournois'!AL36) - (1 / (1 + 10^((AL$103 - lastVal)/400)))))
)
))"),"")</f>
        <v/>
      </c>
      <c r="AN36" s="32" t="str">
        <f>IFERROR(__xludf.DUMMYFUNCTION("IF('Résultats des tournois'!AM$2=0,"""",LET(
lastVal, INDEX(FILTER($B36:AM36, ISNUMBER($B36:AM36)), COUNTA(FILTER($B36:AM36, ISNUMBER($B36:AM36)))),
IFERROR(
IF('Résultats des tournois'!AM36="""", INDEX(FILTER($C36:AM36, ISNUMBER($C36:AM36)), COUNTA(FILTE"&amp;"R($C36:AM36, ISNUMBER($C36:AM36)))),
lastVal + 'K dynamique'!AM36 * ((SQRT('Résultats des tournois'!AM$2 + 1)/'Résultats des tournois'!AM36) - (1 / (1 + 10^((AM$103 - lastVal)/400)))))
)
))"),"")</f>
        <v/>
      </c>
      <c r="AO36" s="32" t="str">
        <f>IFERROR(__xludf.DUMMYFUNCTION("IF('Résultats des tournois'!AN$2=0,"""",LET(
lastVal, INDEX(FILTER($B36:AN36, ISNUMBER($B36:AN36)), COUNTA(FILTER($B36:AN36, ISNUMBER($B36:AN36)))),
IFERROR(
IF('Résultats des tournois'!AN36="""", INDEX(FILTER($C36:AN36, ISNUMBER($C36:AN36)), COUNTA(FILTE"&amp;"R($C36:AN36, ISNUMBER($C36:AN36)))),
lastVal + 'K dynamique'!AN36 * ((SQRT('Résultats des tournois'!AN$2 + 1)/'Résultats des tournois'!AN36) - (1 / (1 + 10^((AN$103 - lastVal)/400)))))
)
))"),"")</f>
        <v/>
      </c>
      <c r="AP36" s="32" t="str">
        <f>IFERROR(__xludf.DUMMYFUNCTION("IF('Résultats des tournois'!AO$2=0,"""",LET(
lastVal, INDEX(FILTER($B36:AO36, ISNUMBER($B36:AO36)), COUNTA(FILTER($B36:AO36, ISNUMBER($B36:AO36)))),
IFERROR(
IF('Résultats des tournois'!AO36="""", INDEX(FILTER($C36:AO36, ISNUMBER($C36:AO36)), COUNTA(FILTE"&amp;"R($C36:AO36, ISNUMBER($C36:AO36)))),
lastVal + 'K dynamique'!AO36 * ((SQRT('Résultats des tournois'!AO$2 + 1)/'Résultats des tournois'!AO36) - (1 / (1 + 10^((AO$103 - lastVal)/400)))))
)
))"),"")</f>
        <v/>
      </c>
      <c r="AQ36" s="32" t="str">
        <f>IFERROR(__xludf.DUMMYFUNCTION("IF('Résultats des tournois'!AP$2=0,"""",LET(
lastVal, INDEX(FILTER($B36:AP36, ISNUMBER($B36:AP36)), COUNTA(FILTER($B36:AP36, ISNUMBER($B36:AP36)))),
IFERROR(
IF('Résultats des tournois'!AP36="""", INDEX(FILTER($C36:AP36, ISNUMBER($C36:AP36)), COUNTA(FILTE"&amp;"R($C36:AP36, ISNUMBER($C36:AP36)))),
lastVal + 'K dynamique'!AP36 * ((SQRT('Résultats des tournois'!AP$2 + 1)/'Résultats des tournois'!AP36) - (1 / (1 + 10^((AP$103 - lastVal)/400)))))
)
))"),"")</f>
        <v/>
      </c>
      <c r="AR36" s="32" t="str">
        <f>IFERROR(__xludf.DUMMYFUNCTION("IF('Résultats des tournois'!AQ$2=0,"""",LET(
lastVal, INDEX(FILTER($B36:AQ36, ISNUMBER($B36:AQ36)), COUNTA(FILTER($B36:AQ36, ISNUMBER($B36:AQ36)))),
IFERROR(
IF('Résultats des tournois'!AQ36="""", INDEX(FILTER($C36:AQ36, ISNUMBER($C36:AQ36)), COUNTA(FILTE"&amp;"R($C36:AQ36, ISNUMBER($C36:AQ36)))),
lastVal + 'K dynamique'!AQ36 * ((SQRT('Résultats des tournois'!AQ$2 + 1)/'Résultats des tournois'!AQ36) - (1 / (1 + 10^((AQ$103 - lastVal)/400)))))
)
))"),"")</f>
        <v/>
      </c>
      <c r="AS36" s="32" t="str">
        <f>IFERROR(__xludf.DUMMYFUNCTION("IF('Résultats des tournois'!AR$2=0,"""",LET(
lastVal, INDEX(FILTER($B36:AR36, ISNUMBER($B36:AR36)), COUNTA(FILTER($B36:AR36, ISNUMBER($B36:AR36)))),
IFERROR(
IF('Résultats des tournois'!AR36="""", INDEX(FILTER($C36:AR36, ISNUMBER($C36:AR36)), COUNTA(FILTE"&amp;"R($C36:AR36, ISNUMBER($C36:AR36)))),
lastVal + 'K dynamique'!AR36 * ((SQRT('Résultats des tournois'!AR$2 + 1)/'Résultats des tournois'!AR36) - (1 / (1 + 10^((AR$103 - lastVal)/400)))))
)
))"),"")</f>
        <v/>
      </c>
      <c r="AT36" s="32" t="str">
        <f>IFERROR(__xludf.DUMMYFUNCTION("IF('Résultats des tournois'!AS$2=0,"""",LET(
lastVal, INDEX(FILTER($B36:AS36, ISNUMBER($B36:AS36)), COUNTA(FILTER($B36:AS36, ISNUMBER($B36:AS36)))),
IFERROR(
IF('Résultats des tournois'!AS36="""", INDEX(FILTER($C36:AS36, ISNUMBER($C36:AS36)), COUNTA(FILTE"&amp;"R($C36:AS36, ISNUMBER($C36:AS36)))),
lastVal + 'K dynamique'!AS36 * ((SQRT('Résultats des tournois'!AS$2 + 1)/'Résultats des tournois'!AS36) - (1 / (1 + 10^((AS$103 - lastVal)/400)))))
)
))"),"")</f>
        <v/>
      </c>
      <c r="AU36" s="32" t="str">
        <f>IFERROR(__xludf.DUMMYFUNCTION("IF('Résultats des tournois'!AT$2=0,"""",LET(
lastVal, INDEX(FILTER($B36:AT36, ISNUMBER($B36:AT36)), COUNTA(FILTER($B36:AT36, ISNUMBER($B36:AT36)))),
IFERROR(
IF('Résultats des tournois'!AT36="""", INDEX(FILTER($C36:AT36, ISNUMBER($C36:AT36)), COUNTA(FILTE"&amp;"R($C36:AT36, ISNUMBER($C36:AT36)))),
lastVal + 'K dynamique'!AT36 * ((SQRT('Résultats des tournois'!AT$2 + 1)/'Résultats des tournois'!AT36) - (1 / (1 + 10^((AT$103 - lastVal)/400)))))
)
))"),"")</f>
        <v/>
      </c>
      <c r="AV36" s="32" t="str">
        <f>IFERROR(__xludf.DUMMYFUNCTION("IF('Résultats des tournois'!AU$2=0,"""",LET(
lastVal, INDEX(FILTER($B36:AU36, ISNUMBER($B36:AU36)), COUNTA(FILTER($B36:AU36, ISNUMBER($B36:AU36)))),
IFERROR(
IF('Résultats des tournois'!AU36="""", INDEX(FILTER($C36:AU36, ISNUMBER($C36:AU36)), COUNTA(FILTE"&amp;"R($C36:AU36, ISNUMBER($C36:AU36)))),
lastVal + 'K dynamique'!AU36 * ((SQRT('Résultats des tournois'!AU$2 + 1)/'Résultats des tournois'!AU36) - (1 / (1 + 10^((AU$103 - lastVal)/400)))))
)
))"),"")</f>
        <v/>
      </c>
      <c r="AW36" s="32" t="str">
        <f>IFERROR(__xludf.DUMMYFUNCTION("IF('Résultats des tournois'!AV$2=0,"""",LET(
lastVal, INDEX(FILTER($B36:AV36, ISNUMBER($B36:AV36)), COUNTA(FILTER($B36:AV36, ISNUMBER($B36:AV36)))),
IFERROR(
IF('Résultats des tournois'!AV36="""", INDEX(FILTER($C36:AV36, ISNUMBER($C36:AV36)), COUNTA(FILTE"&amp;"R($C36:AV36, ISNUMBER($C36:AV36)))),
lastVal + 'K dynamique'!AV36 * ((SQRT('Résultats des tournois'!AV$2 + 1)/'Résultats des tournois'!AV36) - (1 / (1 + 10^((AV$103 - lastVal)/400)))))
)
))"),"")</f>
        <v/>
      </c>
      <c r="AX36" s="32" t="str">
        <f>IFERROR(__xludf.DUMMYFUNCTION("IF('Résultats des tournois'!AW$2=0,"""",LET(
lastVal, INDEX(FILTER($B36:AW36, ISNUMBER($B36:AW36)), COUNTA(FILTER($B36:AW36, ISNUMBER($B36:AW36)))),
IFERROR(
IF('Résultats des tournois'!AW36="""", INDEX(FILTER($C36:AW36, ISNUMBER($C36:AW36)), COUNTA(FILTE"&amp;"R($C36:AW36, ISNUMBER($C36:AW36)))),
lastVal + 'K dynamique'!AW36 * ((SQRT('Résultats des tournois'!AW$2 + 1)/'Résultats des tournois'!AW36) - (1 / (1 + 10^((AW$103 - lastVal)/400)))))
)
))"),"")</f>
        <v/>
      </c>
      <c r="AY36" s="32" t="str">
        <f>IFERROR(__xludf.DUMMYFUNCTION("IF('Résultats des tournois'!AX$2=0,"""",LET(
lastVal, INDEX(FILTER($B36:AX36, ISNUMBER($B36:AX36)), COUNTA(FILTER($B36:AX36, ISNUMBER($B36:AX36)))),
IFERROR(
IF('Résultats des tournois'!AX36="""", INDEX(FILTER($C36:AX36, ISNUMBER($C36:AX36)), COUNTA(FILTE"&amp;"R($C36:AX36, ISNUMBER($C36:AX36)))),
lastVal + 'K dynamique'!AX36 * ((SQRT('Résultats des tournois'!AX$2 + 1)/'Résultats des tournois'!AX36) - (1 / (1 + 10^((AX$103 - lastVal)/400)))))
)
))"),"")</f>
        <v/>
      </c>
      <c r="AZ36" s="4" t="str">
        <f t="array" ref="AZ36">IF(MAX(($C36:AY36&lt;&gt;"")*COLUMN($C36:AY36))=0,"",INDEX($C36:AY36,1,MAX(($C36:AY36&lt;&gt;"")*COLUMN($C36:AY36))-COLUMN($C36)+1))</f>
        <v/>
      </c>
      <c r="BA36" s="33" t="str">
        <f t="shared" si="1"/>
        <v/>
      </c>
    </row>
    <row r="37" ht="14.25" customHeight="1">
      <c r="A37" s="32" t="str">
        <f>IF('Résultats des tournois'!A37="","",'Résultats des tournois'!A37)</f>
        <v/>
      </c>
      <c r="B37" s="32">
        <v>1500.0</v>
      </c>
      <c r="C37" s="32" t="str">
        <f>IF('Résultats des tournois'!B37="","",B37+'K dynamique'!B37*((SQRT('Résultats des tournois'!B$2+1)/'Résultats des tournois'!B37)-(1/(1+10^((B37-B37)/400)))))</f>
        <v/>
      </c>
      <c r="D37" s="32" t="str">
        <f>IFERROR(__xludf.DUMMYFUNCTION("IF('Résultats des tournois'!C$2=0,"""",LET(
lastVal, INDEX(FILTER($B37:C37, ISNUMBER($B37:C37)), COUNTA(FILTER($B37:C37, ISNUMBER($B37:C37)))),
IFERROR(
IF('Résultats des tournois'!C37="""", INDEX(FILTER($C37:C37, ISNUMBER($C37:C37)), COUNTA(FILTER($C37:C"&amp;"37, ISNUMBER($C37:C37)))),
lastVal + 'K dynamique'!C37 * ((SQRT('Résultats des tournois'!C$2 + 1)/'Résultats des tournois'!C37) - (1 / (1 + 10^((C$103 - lastVal)/400)))))
)
))"),"")</f>
        <v/>
      </c>
      <c r="E37" s="32" t="str">
        <f>IFERROR(__xludf.DUMMYFUNCTION("IF('Résultats des tournois'!D$2=0,"""",LET(
lastVal, INDEX(FILTER($B37:D37, ISNUMBER($B37:D37)), COUNTA(FILTER($B37:D37, ISNUMBER($B37:D37)))),
IFERROR(
IF('Résultats des tournois'!D37="""", INDEX(FILTER($C37:D37, ISNUMBER($C37:D37)), COUNTA(FILTER($C37:D"&amp;"37, ISNUMBER($C37:D37)))),
lastVal + 'K dynamique'!D37 * ((SQRT('Résultats des tournois'!D$2 + 1)/'Résultats des tournois'!D37) - (1 / (1 + 10^((D$103 - lastVal)/400)))))
)
))"),"")</f>
        <v/>
      </c>
      <c r="F37" s="32" t="str">
        <f>IFERROR(__xludf.DUMMYFUNCTION("IF('Résultats des tournois'!E$2=0,"""",LET(
lastVal, INDEX(FILTER($B37:E37, ISNUMBER($B37:E37)), COUNTA(FILTER($B37:E37, ISNUMBER($B37:E37)))),
IFERROR(
IF('Résultats des tournois'!E37="""", INDEX(FILTER($C37:E37, ISNUMBER($C37:E37)), COUNTA(FILTER($C37:E"&amp;"37, ISNUMBER($C37:E37)))),
lastVal + 'K dynamique'!E37 * ((SQRT('Résultats des tournois'!E$2 + 1)/'Résultats des tournois'!E37) - (1 / (1 + 10^((E$103 - lastVal)/400)))))
)
))"),"")</f>
        <v/>
      </c>
      <c r="G37" s="32" t="str">
        <f>IFERROR(__xludf.DUMMYFUNCTION("IF('Résultats des tournois'!F$2=0,"""",LET(
lastVal, INDEX(FILTER($B37:F37, ISNUMBER($B37:F37)), COUNTA(FILTER($B37:F37, ISNUMBER($B37:F37)))),
IFERROR(
IF('Résultats des tournois'!F37="""", INDEX(FILTER($C37:F37, ISNUMBER($C37:F37)), COUNTA(FILTER($C37:F"&amp;"37, ISNUMBER($C37:F37)))),
lastVal + 'K dynamique'!F37 * ((SQRT('Résultats des tournois'!F$2 + 1)/'Résultats des tournois'!F37) - (1 / (1 + 10^((F$103 - lastVal)/400)))))
)
))"),"")</f>
        <v/>
      </c>
      <c r="H37" s="32" t="str">
        <f>IFERROR(__xludf.DUMMYFUNCTION("IF('Résultats des tournois'!G$2=0,"""",LET(
lastVal, INDEX(FILTER($B37:G37, ISNUMBER($B37:G37)), COUNTA(FILTER($B37:G37, ISNUMBER($B37:G37)))),
IFERROR(
IF('Résultats des tournois'!G37="""", INDEX(FILTER($C37:G37, ISNUMBER($C37:G37)), COUNTA(FILTER($C37:G"&amp;"37, ISNUMBER($C37:G37)))),
lastVal + 'K dynamique'!G37 * ((SQRT('Résultats des tournois'!G$2 + 1)/'Résultats des tournois'!G37) - (1 / (1 + 10^((G$103 - lastVal)/400)))))
)
))"),"")</f>
        <v/>
      </c>
      <c r="I37" s="32" t="str">
        <f>IFERROR(__xludf.DUMMYFUNCTION("IF('Résultats des tournois'!H$2=0,"""",LET(
lastVal, INDEX(FILTER($B37:H37, ISNUMBER($B37:H37)), COUNTA(FILTER($B37:H37, ISNUMBER($B37:H37)))),
IFERROR(
IF('Résultats des tournois'!H37="""", INDEX(FILTER($C37:H37, ISNUMBER($C37:H37)), COUNTA(FILTER($C37:H"&amp;"37, ISNUMBER($C37:H37)))),
lastVal + 'K dynamique'!H37 * ((SQRT('Résultats des tournois'!H$2 + 1)/'Résultats des tournois'!H37) - (1 / (1 + 10^((H$103 - lastVal)/400)))))
)
))"),"")</f>
        <v/>
      </c>
      <c r="J37" s="32" t="str">
        <f>IFERROR(__xludf.DUMMYFUNCTION("IF('Résultats des tournois'!I$2=0,"""",LET(
lastVal, INDEX(FILTER($B37:I37, ISNUMBER($B37:I37)), COUNTA(FILTER($B37:I37, ISNUMBER($B37:I37)))),
IFERROR(
IF('Résultats des tournois'!I37="""", INDEX(FILTER($C37:I37, ISNUMBER($C37:I37)), COUNTA(FILTER($C37:I"&amp;"37, ISNUMBER($C37:I37)))),
lastVal + 'K dynamique'!I37 * ((SQRT('Résultats des tournois'!I$2 + 1)/'Résultats des tournois'!I37) - (1 / (1 + 10^((I$103 - lastVal)/400)))))
)
))"),"")</f>
        <v/>
      </c>
      <c r="K37" s="32" t="str">
        <f>IFERROR(__xludf.DUMMYFUNCTION("IF('Résultats des tournois'!J$2=0,"""",LET(
lastVal, INDEX(FILTER($B37:J37, ISNUMBER($B37:J37)), COUNTA(FILTER($B37:J37, ISNUMBER($B37:J37)))),
IFERROR(
IF('Résultats des tournois'!J37="""", INDEX(FILTER($C37:J37, ISNUMBER($C37:J37)), COUNTA(FILTER($C37:J"&amp;"37, ISNUMBER($C37:J37)))),
lastVal + 'K dynamique'!J37 * ((SQRT('Résultats des tournois'!J$2 + 1)/'Résultats des tournois'!J37) - (1 / (1 + 10^((J$103 - lastVal)/400)))))
)
))"),"")</f>
        <v/>
      </c>
      <c r="L37" s="32" t="str">
        <f>IFERROR(__xludf.DUMMYFUNCTION("IF('Résultats des tournois'!K$2=0,"""",LET(
lastVal, INDEX(FILTER($B37:K37, ISNUMBER($B37:K37)), COUNTA(FILTER($B37:K37, ISNUMBER($B37:K37)))),
IFERROR(
IF('Résultats des tournois'!K37="""", INDEX(FILTER($C37:K37, ISNUMBER($C37:K37)), COUNTA(FILTER($C37:K"&amp;"37, ISNUMBER($C37:K37)))),
lastVal + 'K dynamique'!K37 * ((SQRT('Résultats des tournois'!K$2 + 1)/'Résultats des tournois'!K37) - (1 / (1 + 10^((K$103 - lastVal)/400)))))
)
))"),"")</f>
        <v/>
      </c>
      <c r="M37" s="32" t="str">
        <f>IFERROR(__xludf.DUMMYFUNCTION("IF('Résultats des tournois'!L$2=0,"""",LET(
lastVal, INDEX(FILTER($B37:L37, ISNUMBER($B37:L37)), COUNTA(FILTER($B37:L37, ISNUMBER($B37:L37)))),
IFERROR(
IF('Résultats des tournois'!L37="""", INDEX(FILTER($C37:L37, ISNUMBER($C37:L37)), COUNTA(FILTER($C37:L"&amp;"37, ISNUMBER($C37:L37)))),
lastVal + 'K dynamique'!L37 * ((SQRT('Résultats des tournois'!L$2 + 1)/'Résultats des tournois'!L37) - (1 / (1 + 10^((L$103 - lastVal)/400)))))
)
))"),"")</f>
        <v/>
      </c>
      <c r="N37" s="32" t="str">
        <f>IFERROR(__xludf.DUMMYFUNCTION("IF('Résultats des tournois'!M$2=0,"""",LET(
lastVal, INDEX(FILTER($B37:M37, ISNUMBER($B37:M37)), COUNTA(FILTER($B37:M37, ISNUMBER($B37:M37)))),
IFERROR(
IF('Résultats des tournois'!M37="""", INDEX(FILTER($C37:M37, ISNUMBER($C37:M37)), COUNTA(FILTER($C37:M"&amp;"37, ISNUMBER($C37:M37)))),
lastVal + 'K dynamique'!M37 * ((SQRT('Résultats des tournois'!M$2 + 1)/'Résultats des tournois'!M37) - (1 / (1 + 10^((M$103 - lastVal)/400)))))
)
))"),"")</f>
        <v/>
      </c>
      <c r="O37" s="32" t="str">
        <f>IFERROR(__xludf.DUMMYFUNCTION("IF('Résultats des tournois'!N$2=0,"""",LET(
lastVal, INDEX(FILTER($B37:N37, ISNUMBER($B37:N37)), COUNTA(FILTER($B37:N37, ISNUMBER($B37:N37)))),
IFERROR(
IF('Résultats des tournois'!N37="""", INDEX(FILTER($C37:N37, ISNUMBER($C37:N37)), COUNTA(FILTER($C37:N"&amp;"37, ISNUMBER($C37:N37)))),
lastVal + 'K dynamique'!N37 * ((SQRT('Résultats des tournois'!N$2 + 1)/'Résultats des tournois'!N37) - (1 / (1 + 10^((N$103 - lastVal)/400)))))
)
))"),"")</f>
        <v/>
      </c>
      <c r="P37" s="32" t="str">
        <f>IFERROR(__xludf.DUMMYFUNCTION("IF('Résultats des tournois'!O$2=0,"""",LET(
lastVal, INDEX(FILTER($B37:O37, ISNUMBER($B37:O37)), COUNTA(FILTER($B37:O37, ISNUMBER($B37:O37)))),
IFERROR(
IF('Résultats des tournois'!O37="""", INDEX(FILTER($C37:O37, ISNUMBER($C37:O37)), COUNTA(FILTER($C37:O"&amp;"37, ISNUMBER($C37:O37)))),
lastVal + 'K dynamique'!O37 * ((SQRT('Résultats des tournois'!O$2 + 1)/'Résultats des tournois'!O37) - (1 / (1 + 10^((O$103 - lastVal)/400)))))
)
))"),"")</f>
        <v/>
      </c>
      <c r="Q37" s="32" t="str">
        <f>IFERROR(__xludf.DUMMYFUNCTION("IF('Résultats des tournois'!P$2=0,"""",LET(
lastVal, INDEX(FILTER($B37:P37, ISNUMBER($B37:P37)), COUNTA(FILTER($B37:P37, ISNUMBER($B37:P37)))),
IFERROR(
IF('Résultats des tournois'!P37="""", INDEX(FILTER($C37:P37, ISNUMBER($C37:P37)), COUNTA(FILTER($C37:P"&amp;"37, ISNUMBER($C37:P37)))),
lastVal + 'K dynamique'!P37 * ((SQRT('Résultats des tournois'!P$2 + 1)/'Résultats des tournois'!P37) - (1 / (1 + 10^((P$103 - lastVal)/400)))))
)
))"),"")</f>
        <v/>
      </c>
      <c r="R37" s="32" t="str">
        <f>IFERROR(__xludf.DUMMYFUNCTION("IF('Résultats des tournois'!Q$2=0,"""",LET(
lastVal, INDEX(FILTER($B37:Q37, ISNUMBER($B37:Q37)), COUNTA(FILTER($B37:Q37, ISNUMBER($B37:Q37)))),
IFERROR(
IF('Résultats des tournois'!Q37="""", INDEX(FILTER($C37:Q37, ISNUMBER($C37:Q37)), COUNTA(FILTER($C37:Q"&amp;"37, ISNUMBER($C37:Q37)))),
lastVal + 'K dynamique'!Q37 * ((SQRT('Résultats des tournois'!Q$2 + 1)/'Résultats des tournois'!Q37) - (1 / (1 + 10^((Q$103 - lastVal)/400)))))
)
))"),"")</f>
        <v/>
      </c>
      <c r="S37" s="32" t="str">
        <f>IFERROR(__xludf.DUMMYFUNCTION("IF('Résultats des tournois'!R$2=0,"""",LET(
lastVal, INDEX(FILTER($B37:R37, ISNUMBER($B37:R37)), COUNTA(FILTER($B37:R37, ISNUMBER($B37:R37)))),
IFERROR(
IF('Résultats des tournois'!R37="""", INDEX(FILTER($C37:R37, ISNUMBER($C37:R37)), COUNTA(FILTER($C37:R"&amp;"37, ISNUMBER($C37:R37)))),
lastVal + 'K dynamique'!R37 * ((SQRT('Résultats des tournois'!R$2 + 1)/'Résultats des tournois'!R37) - (1 / (1 + 10^((R$103 - lastVal)/400)))))
)
))"),"")</f>
        <v/>
      </c>
      <c r="T37" s="32" t="str">
        <f>IFERROR(__xludf.DUMMYFUNCTION("IF('Résultats des tournois'!S$2=0,"""",LET(
lastVal, INDEX(FILTER($B37:S37, ISNUMBER($B37:S37)), COUNTA(FILTER($B37:S37, ISNUMBER($B37:S37)))),
IFERROR(
IF('Résultats des tournois'!S37="""", INDEX(FILTER($C37:S37, ISNUMBER($C37:S37)), COUNTA(FILTER($C37:S"&amp;"37, ISNUMBER($C37:S37)))),
lastVal + 'K dynamique'!S37 * ((SQRT('Résultats des tournois'!S$2 + 1)/'Résultats des tournois'!S37) - (1 / (1 + 10^((S$103 - lastVal)/400)))))
)
))"),"")</f>
        <v/>
      </c>
      <c r="U37" s="32" t="str">
        <f>IFERROR(__xludf.DUMMYFUNCTION("IF('Résultats des tournois'!T$2=0,"""",LET(
lastVal, INDEX(FILTER($B37:T37, ISNUMBER($B37:T37)), COUNTA(FILTER($B37:T37, ISNUMBER($B37:T37)))),
IFERROR(
IF('Résultats des tournois'!T37="""", INDEX(FILTER($C37:T37, ISNUMBER($C37:T37)), COUNTA(FILTER($C37:T"&amp;"37, ISNUMBER($C37:T37)))),
lastVal + 'K dynamique'!T37 * ((SQRT('Résultats des tournois'!T$2 + 1)/'Résultats des tournois'!T37) - (1 / (1 + 10^((T$103 - lastVal)/400)))))
)
))"),"")</f>
        <v/>
      </c>
      <c r="V37" s="32" t="str">
        <f>IFERROR(__xludf.DUMMYFUNCTION("IF('Résultats des tournois'!U$2=0,"""",LET(
lastVal, INDEX(FILTER($B37:U37, ISNUMBER($B37:U37)), COUNTA(FILTER($B37:U37, ISNUMBER($B37:U37)))),
IFERROR(
IF('Résultats des tournois'!U37="""", INDEX(FILTER($C37:U37, ISNUMBER($C37:U37)), COUNTA(FILTER($C37:U"&amp;"37, ISNUMBER($C37:U37)))),
lastVal + 'K dynamique'!U37 * ((SQRT('Résultats des tournois'!U$2 + 1)/'Résultats des tournois'!U37) - (1 / (1 + 10^((U$103 - lastVal)/400)))))
)
))"),"")</f>
        <v/>
      </c>
      <c r="W37" s="32" t="str">
        <f>IFERROR(__xludf.DUMMYFUNCTION("IF('Résultats des tournois'!V$2=0,"""",LET(
lastVal, INDEX(FILTER($B37:V37, ISNUMBER($B37:V37)), COUNTA(FILTER($B37:V37, ISNUMBER($B37:V37)))),
IFERROR(
IF('Résultats des tournois'!V37="""", INDEX(FILTER($C37:V37, ISNUMBER($C37:V37)), COUNTA(FILTER($C37:V"&amp;"37, ISNUMBER($C37:V37)))),
lastVal + 'K dynamique'!V37 * ((SQRT('Résultats des tournois'!V$2 + 1)/'Résultats des tournois'!V37) - (1 / (1 + 10^((V$103 - lastVal)/400)))))
)
))"),"")</f>
        <v/>
      </c>
      <c r="X37" s="32" t="str">
        <f>IFERROR(__xludf.DUMMYFUNCTION("IF('Résultats des tournois'!W$2=0,"""",LET(
lastVal, INDEX(FILTER($B37:W37, ISNUMBER($B37:W37)), COUNTA(FILTER($B37:W37, ISNUMBER($B37:W37)))),
IFERROR(
IF('Résultats des tournois'!W37="""", INDEX(FILTER($C37:W37, ISNUMBER($C37:W37)), COUNTA(FILTER($C37:W"&amp;"37, ISNUMBER($C37:W37)))),
lastVal + 'K dynamique'!W37 * ((SQRT('Résultats des tournois'!W$2 + 1)/'Résultats des tournois'!W37) - (1 / (1 + 10^((W$103 - lastVal)/400)))))
)
))"),"")</f>
        <v/>
      </c>
      <c r="Y37" s="32" t="str">
        <f>IFERROR(__xludf.DUMMYFUNCTION("IF('Résultats des tournois'!X$2=0,"""",LET(
lastVal, INDEX(FILTER($B37:X37, ISNUMBER($B37:X37)), COUNTA(FILTER($B37:X37, ISNUMBER($B37:X37)))),
IFERROR(
IF('Résultats des tournois'!X37="""", INDEX(FILTER($C37:X37, ISNUMBER($C37:X37)), COUNTA(FILTER($C37:X"&amp;"37, ISNUMBER($C37:X37)))),
lastVal + 'K dynamique'!X37 * ((SQRT('Résultats des tournois'!X$2 + 1)/'Résultats des tournois'!X37) - (1 / (1 + 10^((X$103 - lastVal)/400)))))
)
))"),"")</f>
        <v/>
      </c>
      <c r="Z37" s="32" t="str">
        <f>IFERROR(__xludf.DUMMYFUNCTION("IF('Résultats des tournois'!Y$2=0,"""",LET(
lastVal, INDEX(FILTER($B37:Y37, ISNUMBER($B37:Y37)), COUNTA(FILTER($B37:Y37, ISNUMBER($B37:Y37)))),
IFERROR(
IF('Résultats des tournois'!Y37="""", INDEX(FILTER($C37:Y37, ISNUMBER($C37:Y37)), COUNTA(FILTER($C37:Y"&amp;"37, ISNUMBER($C37:Y37)))),
lastVal + 'K dynamique'!Y37 * ((SQRT('Résultats des tournois'!Y$2 + 1)/'Résultats des tournois'!Y37) - (1 / (1 + 10^((Y$103 - lastVal)/400)))))
)
))"),"")</f>
        <v/>
      </c>
      <c r="AA37" s="32" t="str">
        <f>IFERROR(__xludf.DUMMYFUNCTION("IF('Résultats des tournois'!Z$2=0,"""",LET(
lastVal, INDEX(FILTER($B37:Z37, ISNUMBER($B37:Z37)), COUNTA(FILTER($B37:Z37, ISNUMBER($B37:Z37)))),
IFERROR(
IF('Résultats des tournois'!Z37="""", INDEX(FILTER($C37:Z37, ISNUMBER($C37:Z37)), COUNTA(FILTER($C37:Z"&amp;"37, ISNUMBER($C37:Z37)))),
lastVal + 'K dynamique'!Z37 * ((SQRT('Résultats des tournois'!Z$2 + 1)/'Résultats des tournois'!Z37) - (1 / (1 + 10^((Z$103 - lastVal)/400)))))
)
))"),"")</f>
        <v/>
      </c>
      <c r="AB37" s="32" t="str">
        <f>IFERROR(__xludf.DUMMYFUNCTION("IF('Résultats des tournois'!AA$2=0,"""",LET(
lastVal, INDEX(FILTER($B37:AA37, ISNUMBER($B37:AA37)), COUNTA(FILTER($B37:AA37, ISNUMBER($B37:AA37)))),
IFERROR(
IF('Résultats des tournois'!AA37="""", INDEX(FILTER($C37:AA37, ISNUMBER($C37:AA37)), COUNTA(FILTE"&amp;"R($C37:AA37, ISNUMBER($C37:AA37)))),
lastVal + 'K dynamique'!AA37 * ((SQRT('Résultats des tournois'!AA$2 + 1)/'Résultats des tournois'!AA37) - (1 / (1 + 10^((AA$103 - lastVal)/400)))))
)
))"),"")</f>
        <v/>
      </c>
      <c r="AC37" s="32" t="str">
        <f>IFERROR(__xludf.DUMMYFUNCTION("IF('Résultats des tournois'!AB$2=0,"""",LET(
lastVal, INDEX(FILTER($B37:AB37, ISNUMBER($B37:AB37)), COUNTA(FILTER($B37:AB37, ISNUMBER($B37:AB37)))),
IFERROR(
IF('Résultats des tournois'!AB37="""", INDEX(FILTER($C37:AB37, ISNUMBER($C37:AB37)), COUNTA(FILTE"&amp;"R($C37:AB37, ISNUMBER($C37:AB37)))),
lastVal + 'K dynamique'!AB37 * ((SQRT('Résultats des tournois'!AB$2 + 1)/'Résultats des tournois'!AB37) - (1 / (1 + 10^((AB$103 - lastVal)/400)))))
)
))"),"")</f>
        <v/>
      </c>
      <c r="AD37" s="32" t="str">
        <f>IFERROR(__xludf.DUMMYFUNCTION("IF('Résultats des tournois'!AC$2=0,"""",LET(
lastVal, INDEX(FILTER($B37:AC37, ISNUMBER($B37:AC37)), COUNTA(FILTER($B37:AC37, ISNUMBER($B37:AC37)))),
IFERROR(
IF('Résultats des tournois'!AC37="""", INDEX(FILTER($C37:AC37, ISNUMBER($C37:AC37)), COUNTA(FILTE"&amp;"R($C37:AC37, ISNUMBER($C37:AC37)))),
lastVal + 'K dynamique'!AC37 * ((SQRT('Résultats des tournois'!AC$2 + 1)/'Résultats des tournois'!AC37) - (1 / (1 + 10^((AC$103 - lastVal)/400)))))
)
))"),"")</f>
        <v/>
      </c>
      <c r="AE37" s="32" t="str">
        <f>IFERROR(__xludf.DUMMYFUNCTION("IF('Résultats des tournois'!AD$2=0,"""",LET(
lastVal, INDEX(FILTER($B37:AD37, ISNUMBER($B37:AD37)), COUNTA(FILTER($B37:AD37, ISNUMBER($B37:AD37)))),
IFERROR(
IF('Résultats des tournois'!AD37="""", INDEX(FILTER($C37:AD37, ISNUMBER($C37:AD37)), COUNTA(FILTE"&amp;"R($C37:AD37, ISNUMBER($C37:AD37)))),
lastVal + 'K dynamique'!AD37 * ((SQRT('Résultats des tournois'!AD$2 + 1)/'Résultats des tournois'!AD37) - (1 / (1 + 10^((AD$103 - lastVal)/400)))))
)
))"),"")</f>
        <v/>
      </c>
      <c r="AF37" s="32" t="str">
        <f>IFERROR(__xludf.DUMMYFUNCTION("IF('Résultats des tournois'!AE$2=0,"""",LET(
lastVal, INDEX(FILTER($B37:AE37, ISNUMBER($B37:AE37)), COUNTA(FILTER($B37:AE37, ISNUMBER($B37:AE37)))),
IFERROR(
IF('Résultats des tournois'!AE37="""", INDEX(FILTER($C37:AE37, ISNUMBER($C37:AE37)), COUNTA(FILTE"&amp;"R($C37:AE37, ISNUMBER($C37:AE37)))),
lastVal + 'K dynamique'!AE37 * ((SQRT('Résultats des tournois'!AE$2 + 1)/'Résultats des tournois'!AE37) - (1 / (1 + 10^((AE$103 - lastVal)/400)))))
)
))"),"")</f>
        <v/>
      </c>
      <c r="AG37" s="32" t="str">
        <f>IFERROR(__xludf.DUMMYFUNCTION("IF('Résultats des tournois'!AF$2=0,"""",LET(
lastVal, INDEX(FILTER($B37:AF37, ISNUMBER($B37:AF37)), COUNTA(FILTER($B37:AF37, ISNUMBER($B37:AF37)))),
IFERROR(
IF('Résultats des tournois'!AF37="""", INDEX(FILTER($C37:AF37, ISNUMBER($C37:AF37)), COUNTA(FILTE"&amp;"R($C37:AF37, ISNUMBER($C37:AF37)))),
lastVal + 'K dynamique'!AF37 * ((SQRT('Résultats des tournois'!AF$2 + 1)/'Résultats des tournois'!AF37) - (1 / (1 + 10^((AF$103 - lastVal)/400)))))
)
))"),"")</f>
        <v/>
      </c>
      <c r="AH37" s="32" t="str">
        <f>IFERROR(__xludf.DUMMYFUNCTION("IF('Résultats des tournois'!AG$2=0,"""",LET(
lastVal, INDEX(FILTER($B37:AG37, ISNUMBER($B37:AG37)), COUNTA(FILTER($B37:AG37, ISNUMBER($B37:AG37)))),
IFERROR(
IF('Résultats des tournois'!AG37="""", INDEX(FILTER($C37:AG37, ISNUMBER($C37:AG37)), COUNTA(FILTE"&amp;"R($C37:AG37, ISNUMBER($C37:AG37)))),
lastVal + 'K dynamique'!AG37 * ((SQRT('Résultats des tournois'!AG$2 + 1)/'Résultats des tournois'!AG37) - (1 / (1 + 10^((AG$103 - lastVal)/400)))))
)
))"),"")</f>
        <v/>
      </c>
      <c r="AI37" s="32" t="str">
        <f>IFERROR(__xludf.DUMMYFUNCTION("IF('Résultats des tournois'!AH$2=0,"""",LET(
lastVal, INDEX(FILTER($B37:AH37, ISNUMBER($B37:AH37)), COUNTA(FILTER($B37:AH37, ISNUMBER($B37:AH37)))),
IFERROR(
IF('Résultats des tournois'!AH37="""", INDEX(FILTER($C37:AH37, ISNUMBER($C37:AH37)), COUNTA(FILTE"&amp;"R($C37:AH37, ISNUMBER($C37:AH37)))),
lastVal + 'K dynamique'!AH37 * ((SQRT('Résultats des tournois'!AH$2 + 1)/'Résultats des tournois'!AH37) - (1 / (1 + 10^((AH$103 - lastVal)/400)))))
)
))"),"")</f>
        <v/>
      </c>
      <c r="AJ37" s="32" t="str">
        <f>IFERROR(__xludf.DUMMYFUNCTION("IF('Résultats des tournois'!AI$2=0,"""",LET(
lastVal, INDEX(FILTER($B37:AI37, ISNUMBER($B37:AI37)), COUNTA(FILTER($B37:AI37, ISNUMBER($B37:AI37)))),
IFERROR(
IF('Résultats des tournois'!AI37="""", INDEX(FILTER($C37:AI37, ISNUMBER($C37:AI37)), COUNTA(FILTE"&amp;"R($C37:AI37, ISNUMBER($C37:AI37)))),
lastVal + 'K dynamique'!AI37 * ((SQRT('Résultats des tournois'!AI$2 + 1)/'Résultats des tournois'!AI37) - (1 / (1 + 10^((AI$103 - lastVal)/400)))))
)
))"),"")</f>
        <v/>
      </c>
      <c r="AK37" s="32" t="str">
        <f>IFERROR(__xludf.DUMMYFUNCTION("IF('Résultats des tournois'!AJ$2=0,"""",LET(
lastVal, INDEX(FILTER($B37:AJ37, ISNUMBER($B37:AJ37)), COUNTA(FILTER($B37:AJ37, ISNUMBER($B37:AJ37)))),
IFERROR(
IF('Résultats des tournois'!AJ37="""", INDEX(FILTER($C37:AJ37, ISNUMBER($C37:AJ37)), COUNTA(FILTE"&amp;"R($C37:AJ37, ISNUMBER($C37:AJ37)))),
lastVal + 'K dynamique'!AJ37 * ((SQRT('Résultats des tournois'!AJ$2 + 1)/'Résultats des tournois'!AJ37) - (1 / (1 + 10^((AJ$103 - lastVal)/400)))))
)
))"),"")</f>
        <v/>
      </c>
      <c r="AL37" s="32" t="str">
        <f>IFERROR(__xludf.DUMMYFUNCTION("IF('Résultats des tournois'!AK$2=0,"""",LET(
lastVal, INDEX(FILTER($B37:AK37, ISNUMBER($B37:AK37)), COUNTA(FILTER($B37:AK37, ISNUMBER($B37:AK37)))),
IFERROR(
IF('Résultats des tournois'!AK37="""", INDEX(FILTER($C37:AK37, ISNUMBER($C37:AK37)), COUNTA(FILTE"&amp;"R($C37:AK37, ISNUMBER($C37:AK37)))),
lastVal + 'K dynamique'!AK37 * ((SQRT('Résultats des tournois'!AK$2 + 1)/'Résultats des tournois'!AK37) - (1 / (1 + 10^((AK$103 - lastVal)/400)))))
)
))"),"")</f>
        <v/>
      </c>
      <c r="AM37" s="32" t="str">
        <f>IFERROR(__xludf.DUMMYFUNCTION("IF('Résultats des tournois'!AL$2=0,"""",LET(
lastVal, INDEX(FILTER($B37:AL37, ISNUMBER($B37:AL37)), COUNTA(FILTER($B37:AL37, ISNUMBER($B37:AL37)))),
IFERROR(
IF('Résultats des tournois'!AL37="""", INDEX(FILTER($C37:AL37, ISNUMBER($C37:AL37)), COUNTA(FILTE"&amp;"R($C37:AL37, ISNUMBER($C37:AL37)))),
lastVal + 'K dynamique'!AL37 * ((SQRT('Résultats des tournois'!AL$2 + 1)/'Résultats des tournois'!AL37) - (1 / (1 + 10^((AL$103 - lastVal)/400)))))
)
))"),"")</f>
        <v/>
      </c>
      <c r="AN37" s="32" t="str">
        <f>IFERROR(__xludf.DUMMYFUNCTION("IF('Résultats des tournois'!AM$2=0,"""",LET(
lastVal, INDEX(FILTER($B37:AM37, ISNUMBER($B37:AM37)), COUNTA(FILTER($B37:AM37, ISNUMBER($B37:AM37)))),
IFERROR(
IF('Résultats des tournois'!AM37="""", INDEX(FILTER($C37:AM37, ISNUMBER($C37:AM37)), COUNTA(FILTE"&amp;"R($C37:AM37, ISNUMBER($C37:AM37)))),
lastVal + 'K dynamique'!AM37 * ((SQRT('Résultats des tournois'!AM$2 + 1)/'Résultats des tournois'!AM37) - (1 / (1 + 10^((AM$103 - lastVal)/400)))))
)
))"),"")</f>
        <v/>
      </c>
      <c r="AO37" s="32" t="str">
        <f>IFERROR(__xludf.DUMMYFUNCTION("IF('Résultats des tournois'!AN$2=0,"""",LET(
lastVal, INDEX(FILTER($B37:AN37, ISNUMBER($B37:AN37)), COUNTA(FILTER($B37:AN37, ISNUMBER($B37:AN37)))),
IFERROR(
IF('Résultats des tournois'!AN37="""", INDEX(FILTER($C37:AN37, ISNUMBER($C37:AN37)), COUNTA(FILTE"&amp;"R($C37:AN37, ISNUMBER($C37:AN37)))),
lastVal + 'K dynamique'!AN37 * ((SQRT('Résultats des tournois'!AN$2 + 1)/'Résultats des tournois'!AN37) - (1 / (1 + 10^((AN$103 - lastVal)/400)))))
)
))"),"")</f>
        <v/>
      </c>
      <c r="AP37" s="32" t="str">
        <f>IFERROR(__xludf.DUMMYFUNCTION("IF('Résultats des tournois'!AO$2=0,"""",LET(
lastVal, INDEX(FILTER($B37:AO37, ISNUMBER($B37:AO37)), COUNTA(FILTER($B37:AO37, ISNUMBER($B37:AO37)))),
IFERROR(
IF('Résultats des tournois'!AO37="""", INDEX(FILTER($C37:AO37, ISNUMBER($C37:AO37)), COUNTA(FILTE"&amp;"R($C37:AO37, ISNUMBER($C37:AO37)))),
lastVal + 'K dynamique'!AO37 * ((SQRT('Résultats des tournois'!AO$2 + 1)/'Résultats des tournois'!AO37) - (1 / (1 + 10^((AO$103 - lastVal)/400)))))
)
))"),"")</f>
        <v/>
      </c>
      <c r="AQ37" s="32" t="str">
        <f>IFERROR(__xludf.DUMMYFUNCTION("IF('Résultats des tournois'!AP$2=0,"""",LET(
lastVal, INDEX(FILTER($B37:AP37, ISNUMBER($B37:AP37)), COUNTA(FILTER($B37:AP37, ISNUMBER($B37:AP37)))),
IFERROR(
IF('Résultats des tournois'!AP37="""", INDEX(FILTER($C37:AP37, ISNUMBER($C37:AP37)), COUNTA(FILTE"&amp;"R($C37:AP37, ISNUMBER($C37:AP37)))),
lastVal + 'K dynamique'!AP37 * ((SQRT('Résultats des tournois'!AP$2 + 1)/'Résultats des tournois'!AP37) - (1 / (1 + 10^((AP$103 - lastVal)/400)))))
)
))"),"")</f>
        <v/>
      </c>
      <c r="AR37" s="32" t="str">
        <f>IFERROR(__xludf.DUMMYFUNCTION("IF('Résultats des tournois'!AQ$2=0,"""",LET(
lastVal, INDEX(FILTER($B37:AQ37, ISNUMBER($B37:AQ37)), COUNTA(FILTER($B37:AQ37, ISNUMBER($B37:AQ37)))),
IFERROR(
IF('Résultats des tournois'!AQ37="""", INDEX(FILTER($C37:AQ37, ISNUMBER($C37:AQ37)), COUNTA(FILTE"&amp;"R($C37:AQ37, ISNUMBER($C37:AQ37)))),
lastVal + 'K dynamique'!AQ37 * ((SQRT('Résultats des tournois'!AQ$2 + 1)/'Résultats des tournois'!AQ37) - (1 / (1 + 10^((AQ$103 - lastVal)/400)))))
)
))"),"")</f>
        <v/>
      </c>
      <c r="AS37" s="32" t="str">
        <f>IFERROR(__xludf.DUMMYFUNCTION("IF('Résultats des tournois'!AR$2=0,"""",LET(
lastVal, INDEX(FILTER($B37:AR37, ISNUMBER($B37:AR37)), COUNTA(FILTER($B37:AR37, ISNUMBER($B37:AR37)))),
IFERROR(
IF('Résultats des tournois'!AR37="""", INDEX(FILTER($C37:AR37, ISNUMBER($C37:AR37)), COUNTA(FILTE"&amp;"R($C37:AR37, ISNUMBER($C37:AR37)))),
lastVal + 'K dynamique'!AR37 * ((SQRT('Résultats des tournois'!AR$2 + 1)/'Résultats des tournois'!AR37) - (1 / (1 + 10^((AR$103 - lastVal)/400)))))
)
))"),"")</f>
        <v/>
      </c>
      <c r="AT37" s="32" t="str">
        <f>IFERROR(__xludf.DUMMYFUNCTION("IF('Résultats des tournois'!AS$2=0,"""",LET(
lastVal, INDEX(FILTER($B37:AS37, ISNUMBER($B37:AS37)), COUNTA(FILTER($B37:AS37, ISNUMBER($B37:AS37)))),
IFERROR(
IF('Résultats des tournois'!AS37="""", INDEX(FILTER($C37:AS37, ISNUMBER($C37:AS37)), COUNTA(FILTE"&amp;"R($C37:AS37, ISNUMBER($C37:AS37)))),
lastVal + 'K dynamique'!AS37 * ((SQRT('Résultats des tournois'!AS$2 + 1)/'Résultats des tournois'!AS37) - (1 / (1 + 10^((AS$103 - lastVal)/400)))))
)
))"),"")</f>
        <v/>
      </c>
      <c r="AU37" s="32" t="str">
        <f>IFERROR(__xludf.DUMMYFUNCTION("IF('Résultats des tournois'!AT$2=0,"""",LET(
lastVal, INDEX(FILTER($B37:AT37, ISNUMBER($B37:AT37)), COUNTA(FILTER($B37:AT37, ISNUMBER($B37:AT37)))),
IFERROR(
IF('Résultats des tournois'!AT37="""", INDEX(FILTER($C37:AT37, ISNUMBER($C37:AT37)), COUNTA(FILTE"&amp;"R($C37:AT37, ISNUMBER($C37:AT37)))),
lastVal + 'K dynamique'!AT37 * ((SQRT('Résultats des tournois'!AT$2 + 1)/'Résultats des tournois'!AT37) - (1 / (1 + 10^((AT$103 - lastVal)/400)))))
)
))"),"")</f>
        <v/>
      </c>
      <c r="AV37" s="32" t="str">
        <f>IFERROR(__xludf.DUMMYFUNCTION("IF('Résultats des tournois'!AU$2=0,"""",LET(
lastVal, INDEX(FILTER($B37:AU37, ISNUMBER($B37:AU37)), COUNTA(FILTER($B37:AU37, ISNUMBER($B37:AU37)))),
IFERROR(
IF('Résultats des tournois'!AU37="""", INDEX(FILTER($C37:AU37, ISNUMBER($C37:AU37)), COUNTA(FILTE"&amp;"R($C37:AU37, ISNUMBER($C37:AU37)))),
lastVal + 'K dynamique'!AU37 * ((SQRT('Résultats des tournois'!AU$2 + 1)/'Résultats des tournois'!AU37) - (1 / (1 + 10^((AU$103 - lastVal)/400)))))
)
))"),"")</f>
        <v/>
      </c>
      <c r="AW37" s="32" t="str">
        <f>IFERROR(__xludf.DUMMYFUNCTION("IF('Résultats des tournois'!AV$2=0,"""",LET(
lastVal, INDEX(FILTER($B37:AV37, ISNUMBER($B37:AV37)), COUNTA(FILTER($B37:AV37, ISNUMBER($B37:AV37)))),
IFERROR(
IF('Résultats des tournois'!AV37="""", INDEX(FILTER($C37:AV37, ISNUMBER($C37:AV37)), COUNTA(FILTE"&amp;"R($C37:AV37, ISNUMBER($C37:AV37)))),
lastVal + 'K dynamique'!AV37 * ((SQRT('Résultats des tournois'!AV$2 + 1)/'Résultats des tournois'!AV37) - (1 / (1 + 10^((AV$103 - lastVal)/400)))))
)
))"),"")</f>
        <v/>
      </c>
      <c r="AX37" s="32" t="str">
        <f>IFERROR(__xludf.DUMMYFUNCTION("IF('Résultats des tournois'!AW$2=0,"""",LET(
lastVal, INDEX(FILTER($B37:AW37, ISNUMBER($B37:AW37)), COUNTA(FILTER($B37:AW37, ISNUMBER($B37:AW37)))),
IFERROR(
IF('Résultats des tournois'!AW37="""", INDEX(FILTER($C37:AW37, ISNUMBER($C37:AW37)), COUNTA(FILTE"&amp;"R($C37:AW37, ISNUMBER($C37:AW37)))),
lastVal + 'K dynamique'!AW37 * ((SQRT('Résultats des tournois'!AW$2 + 1)/'Résultats des tournois'!AW37) - (1 / (1 + 10^((AW$103 - lastVal)/400)))))
)
))"),"")</f>
        <v/>
      </c>
      <c r="AY37" s="32" t="str">
        <f>IFERROR(__xludf.DUMMYFUNCTION("IF('Résultats des tournois'!AX$2=0,"""",LET(
lastVal, INDEX(FILTER($B37:AX37, ISNUMBER($B37:AX37)), COUNTA(FILTER($B37:AX37, ISNUMBER($B37:AX37)))),
IFERROR(
IF('Résultats des tournois'!AX37="""", INDEX(FILTER($C37:AX37, ISNUMBER($C37:AX37)), COUNTA(FILTE"&amp;"R($C37:AX37, ISNUMBER($C37:AX37)))),
lastVal + 'K dynamique'!AX37 * ((SQRT('Résultats des tournois'!AX$2 + 1)/'Résultats des tournois'!AX37) - (1 / (1 + 10^((AX$103 - lastVal)/400)))))
)
))"),"")</f>
        <v/>
      </c>
      <c r="AZ37" s="4" t="str">
        <f t="array" ref="AZ37">IF(MAX(($C37:AY37&lt;&gt;"")*COLUMN($C37:AY37))=0,"",INDEX($C37:AY37,1,MAX(($C37:AY37&lt;&gt;"")*COLUMN($C37:AY37))-COLUMN($C37)+1))</f>
        <v/>
      </c>
      <c r="BA37" s="33" t="str">
        <f t="shared" si="1"/>
        <v/>
      </c>
    </row>
    <row r="38" ht="14.25" customHeight="1">
      <c r="A38" s="32" t="str">
        <f>IF('Résultats des tournois'!A38="","",'Résultats des tournois'!A38)</f>
        <v/>
      </c>
      <c r="B38" s="32">
        <v>1500.0</v>
      </c>
      <c r="C38" s="32" t="str">
        <f>IF('Résultats des tournois'!B38="","",B38+'K dynamique'!B38*((SQRT('Résultats des tournois'!B$2+1)/'Résultats des tournois'!B38)-(1/(1+10^((B38-B38)/400)))))</f>
        <v/>
      </c>
      <c r="D38" s="32" t="str">
        <f>IFERROR(__xludf.DUMMYFUNCTION("IF('Résultats des tournois'!C$2=0,"""",LET(
lastVal, INDEX(FILTER($B38:C38, ISNUMBER($B38:C38)), COUNTA(FILTER($B38:C38, ISNUMBER($B38:C38)))),
IFERROR(
IF('Résultats des tournois'!C38="""", INDEX(FILTER($C38:C38, ISNUMBER($C38:C38)), COUNTA(FILTER($C38:C"&amp;"38, ISNUMBER($C38:C38)))),
lastVal + 'K dynamique'!C38 * ((SQRT('Résultats des tournois'!C$2 + 1)/'Résultats des tournois'!C38) - (1 / (1 + 10^((C$103 - lastVal)/400)))))
)
))"),"")</f>
        <v/>
      </c>
      <c r="E38" s="32" t="str">
        <f>IFERROR(__xludf.DUMMYFUNCTION("IF('Résultats des tournois'!D$2=0,"""",LET(
lastVal, INDEX(FILTER($B38:D38, ISNUMBER($B38:D38)), COUNTA(FILTER($B38:D38, ISNUMBER($B38:D38)))),
IFERROR(
IF('Résultats des tournois'!D38="""", INDEX(FILTER($C38:D38, ISNUMBER($C38:D38)), COUNTA(FILTER($C38:D"&amp;"38, ISNUMBER($C38:D38)))),
lastVal + 'K dynamique'!D38 * ((SQRT('Résultats des tournois'!D$2 + 1)/'Résultats des tournois'!D38) - (1 / (1 + 10^((D$103 - lastVal)/400)))))
)
))"),"")</f>
        <v/>
      </c>
      <c r="F38" s="32" t="str">
        <f>IFERROR(__xludf.DUMMYFUNCTION("IF('Résultats des tournois'!E$2=0,"""",LET(
lastVal, INDEX(FILTER($B38:E38, ISNUMBER($B38:E38)), COUNTA(FILTER($B38:E38, ISNUMBER($B38:E38)))),
IFERROR(
IF('Résultats des tournois'!E38="""", INDEX(FILTER($C38:E38, ISNUMBER($C38:E38)), COUNTA(FILTER($C38:E"&amp;"38, ISNUMBER($C38:E38)))),
lastVal + 'K dynamique'!E38 * ((SQRT('Résultats des tournois'!E$2 + 1)/'Résultats des tournois'!E38) - (1 / (1 + 10^((E$103 - lastVal)/400)))))
)
))"),"")</f>
        <v/>
      </c>
      <c r="G38" s="32" t="str">
        <f>IFERROR(__xludf.DUMMYFUNCTION("IF('Résultats des tournois'!F$2=0,"""",LET(
lastVal, INDEX(FILTER($B38:F38, ISNUMBER($B38:F38)), COUNTA(FILTER($B38:F38, ISNUMBER($B38:F38)))),
IFERROR(
IF('Résultats des tournois'!F38="""", INDEX(FILTER($C38:F38, ISNUMBER($C38:F38)), COUNTA(FILTER($C38:F"&amp;"38, ISNUMBER($C38:F38)))),
lastVal + 'K dynamique'!F38 * ((SQRT('Résultats des tournois'!F$2 + 1)/'Résultats des tournois'!F38) - (1 / (1 + 10^((F$103 - lastVal)/400)))))
)
))"),"")</f>
        <v/>
      </c>
      <c r="H38" s="32" t="str">
        <f>IFERROR(__xludf.DUMMYFUNCTION("IF('Résultats des tournois'!G$2=0,"""",LET(
lastVal, INDEX(FILTER($B38:G38, ISNUMBER($B38:G38)), COUNTA(FILTER($B38:G38, ISNUMBER($B38:G38)))),
IFERROR(
IF('Résultats des tournois'!G38="""", INDEX(FILTER($C38:G38, ISNUMBER($C38:G38)), COUNTA(FILTER($C38:G"&amp;"38, ISNUMBER($C38:G38)))),
lastVal + 'K dynamique'!G38 * ((SQRT('Résultats des tournois'!G$2 + 1)/'Résultats des tournois'!G38) - (1 / (1 + 10^((G$103 - lastVal)/400)))))
)
))"),"")</f>
        <v/>
      </c>
      <c r="I38" s="32" t="str">
        <f>IFERROR(__xludf.DUMMYFUNCTION("IF('Résultats des tournois'!H$2=0,"""",LET(
lastVal, INDEX(FILTER($B38:H38, ISNUMBER($B38:H38)), COUNTA(FILTER($B38:H38, ISNUMBER($B38:H38)))),
IFERROR(
IF('Résultats des tournois'!H38="""", INDEX(FILTER($C38:H38, ISNUMBER($C38:H38)), COUNTA(FILTER($C38:H"&amp;"38, ISNUMBER($C38:H38)))),
lastVal + 'K dynamique'!H38 * ((SQRT('Résultats des tournois'!H$2 + 1)/'Résultats des tournois'!H38) - (1 / (1 + 10^((H$103 - lastVal)/400)))))
)
))"),"")</f>
        <v/>
      </c>
      <c r="J38" s="32" t="str">
        <f>IFERROR(__xludf.DUMMYFUNCTION("IF('Résultats des tournois'!I$2=0,"""",LET(
lastVal, INDEX(FILTER($B38:I38, ISNUMBER($B38:I38)), COUNTA(FILTER($B38:I38, ISNUMBER($B38:I38)))),
IFERROR(
IF('Résultats des tournois'!I38="""", INDEX(FILTER($C38:I38, ISNUMBER($C38:I38)), COUNTA(FILTER($C38:I"&amp;"38, ISNUMBER($C38:I38)))),
lastVal + 'K dynamique'!I38 * ((SQRT('Résultats des tournois'!I$2 + 1)/'Résultats des tournois'!I38) - (1 / (1 + 10^((I$103 - lastVal)/400)))))
)
))"),"")</f>
        <v/>
      </c>
      <c r="K38" s="32" t="str">
        <f>IFERROR(__xludf.DUMMYFUNCTION("IF('Résultats des tournois'!J$2=0,"""",LET(
lastVal, INDEX(FILTER($B38:J38, ISNUMBER($B38:J38)), COUNTA(FILTER($B38:J38, ISNUMBER($B38:J38)))),
IFERROR(
IF('Résultats des tournois'!J38="""", INDEX(FILTER($C38:J38, ISNUMBER($C38:J38)), COUNTA(FILTER($C38:J"&amp;"38, ISNUMBER($C38:J38)))),
lastVal + 'K dynamique'!J38 * ((SQRT('Résultats des tournois'!J$2 + 1)/'Résultats des tournois'!J38) - (1 / (1 + 10^((J$103 - lastVal)/400)))))
)
))"),"")</f>
        <v/>
      </c>
      <c r="L38" s="32" t="str">
        <f>IFERROR(__xludf.DUMMYFUNCTION("IF('Résultats des tournois'!K$2=0,"""",LET(
lastVal, INDEX(FILTER($B38:K38, ISNUMBER($B38:K38)), COUNTA(FILTER($B38:K38, ISNUMBER($B38:K38)))),
IFERROR(
IF('Résultats des tournois'!K38="""", INDEX(FILTER($C38:K38, ISNUMBER($C38:K38)), COUNTA(FILTER($C38:K"&amp;"38, ISNUMBER($C38:K38)))),
lastVal + 'K dynamique'!K38 * ((SQRT('Résultats des tournois'!K$2 + 1)/'Résultats des tournois'!K38) - (1 / (1 + 10^((K$103 - lastVal)/400)))))
)
))"),"")</f>
        <v/>
      </c>
      <c r="M38" s="32" t="str">
        <f>IFERROR(__xludf.DUMMYFUNCTION("IF('Résultats des tournois'!L$2=0,"""",LET(
lastVal, INDEX(FILTER($B38:L38, ISNUMBER($B38:L38)), COUNTA(FILTER($B38:L38, ISNUMBER($B38:L38)))),
IFERROR(
IF('Résultats des tournois'!L38="""", INDEX(FILTER($C38:L38, ISNUMBER($C38:L38)), COUNTA(FILTER($C38:L"&amp;"38, ISNUMBER($C38:L38)))),
lastVal + 'K dynamique'!L38 * ((SQRT('Résultats des tournois'!L$2 + 1)/'Résultats des tournois'!L38) - (1 / (1 + 10^((L$103 - lastVal)/400)))))
)
))"),"")</f>
        <v/>
      </c>
      <c r="N38" s="32" t="str">
        <f>IFERROR(__xludf.DUMMYFUNCTION("IF('Résultats des tournois'!M$2=0,"""",LET(
lastVal, INDEX(FILTER($B38:M38, ISNUMBER($B38:M38)), COUNTA(FILTER($B38:M38, ISNUMBER($B38:M38)))),
IFERROR(
IF('Résultats des tournois'!M38="""", INDEX(FILTER($C38:M38, ISNUMBER($C38:M38)), COUNTA(FILTER($C38:M"&amp;"38, ISNUMBER($C38:M38)))),
lastVal + 'K dynamique'!M38 * ((SQRT('Résultats des tournois'!M$2 + 1)/'Résultats des tournois'!M38) - (1 / (1 + 10^((M$103 - lastVal)/400)))))
)
))"),"")</f>
        <v/>
      </c>
      <c r="O38" s="32" t="str">
        <f>IFERROR(__xludf.DUMMYFUNCTION("IF('Résultats des tournois'!N$2=0,"""",LET(
lastVal, INDEX(FILTER($B38:N38, ISNUMBER($B38:N38)), COUNTA(FILTER($B38:N38, ISNUMBER($B38:N38)))),
IFERROR(
IF('Résultats des tournois'!N38="""", INDEX(FILTER($C38:N38, ISNUMBER($C38:N38)), COUNTA(FILTER($C38:N"&amp;"38, ISNUMBER($C38:N38)))),
lastVal + 'K dynamique'!N38 * ((SQRT('Résultats des tournois'!N$2 + 1)/'Résultats des tournois'!N38) - (1 / (1 + 10^((N$103 - lastVal)/400)))))
)
))"),"")</f>
        <v/>
      </c>
      <c r="P38" s="32" t="str">
        <f>IFERROR(__xludf.DUMMYFUNCTION("IF('Résultats des tournois'!O$2=0,"""",LET(
lastVal, INDEX(FILTER($B38:O38, ISNUMBER($B38:O38)), COUNTA(FILTER($B38:O38, ISNUMBER($B38:O38)))),
IFERROR(
IF('Résultats des tournois'!O38="""", INDEX(FILTER($C38:O38, ISNUMBER($C38:O38)), COUNTA(FILTER($C38:O"&amp;"38, ISNUMBER($C38:O38)))),
lastVal + 'K dynamique'!O38 * ((SQRT('Résultats des tournois'!O$2 + 1)/'Résultats des tournois'!O38) - (1 / (1 + 10^((O$103 - lastVal)/400)))))
)
))"),"")</f>
        <v/>
      </c>
      <c r="Q38" s="32" t="str">
        <f>IFERROR(__xludf.DUMMYFUNCTION("IF('Résultats des tournois'!P$2=0,"""",LET(
lastVal, INDEX(FILTER($B38:P38, ISNUMBER($B38:P38)), COUNTA(FILTER($B38:P38, ISNUMBER($B38:P38)))),
IFERROR(
IF('Résultats des tournois'!P38="""", INDEX(FILTER($C38:P38, ISNUMBER($C38:P38)), COUNTA(FILTER($C38:P"&amp;"38, ISNUMBER($C38:P38)))),
lastVal + 'K dynamique'!P38 * ((SQRT('Résultats des tournois'!P$2 + 1)/'Résultats des tournois'!P38) - (1 / (1 + 10^((P$103 - lastVal)/400)))))
)
))"),"")</f>
        <v/>
      </c>
      <c r="R38" s="32" t="str">
        <f>IFERROR(__xludf.DUMMYFUNCTION("IF('Résultats des tournois'!Q$2=0,"""",LET(
lastVal, INDEX(FILTER($B38:Q38, ISNUMBER($B38:Q38)), COUNTA(FILTER($B38:Q38, ISNUMBER($B38:Q38)))),
IFERROR(
IF('Résultats des tournois'!Q38="""", INDEX(FILTER($C38:Q38, ISNUMBER($C38:Q38)), COUNTA(FILTER($C38:Q"&amp;"38, ISNUMBER($C38:Q38)))),
lastVal + 'K dynamique'!Q38 * ((SQRT('Résultats des tournois'!Q$2 + 1)/'Résultats des tournois'!Q38) - (1 / (1 + 10^((Q$103 - lastVal)/400)))))
)
))"),"")</f>
        <v/>
      </c>
      <c r="S38" s="32" t="str">
        <f>IFERROR(__xludf.DUMMYFUNCTION("IF('Résultats des tournois'!R$2=0,"""",LET(
lastVal, INDEX(FILTER($B38:R38, ISNUMBER($B38:R38)), COUNTA(FILTER($B38:R38, ISNUMBER($B38:R38)))),
IFERROR(
IF('Résultats des tournois'!R38="""", INDEX(FILTER($C38:R38, ISNUMBER($C38:R38)), COUNTA(FILTER($C38:R"&amp;"38, ISNUMBER($C38:R38)))),
lastVal + 'K dynamique'!R38 * ((SQRT('Résultats des tournois'!R$2 + 1)/'Résultats des tournois'!R38) - (1 / (1 + 10^((R$103 - lastVal)/400)))))
)
))"),"")</f>
        <v/>
      </c>
      <c r="T38" s="32" t="str">
        <f>IFERROR(__xludf.DUMMYFUNCTION("IF('Résultats des tournois'!S$2=0,"""",LET(
lastVal, INDEX(FILTER($B38:S38, ISNUMBER($B38:S38)), COUNTA(FILTER($B38:S38, ISNUMBER($B38:S38)))),
IFERROR(
IF('Résultats des tournois'!S38="""", INDEX(FILTER($C38:S38, ISNUMBER($C38:S38)), COUNTA(FILTER($C38:S"&amp;"38, ISNUMBER($C38:S38)))),
lastVal + 'K dynamique'!S38 * ((SQRT('Résultats des tournois'!S$2 + 1)/'Résultats des tournois'!S38) - (1 / (1 + 10^((S$103 - lastVal)/400)))))
)
))"),"")</f>
        <v/>
      </c>
      <c r="U38" s="32" t="str">
        <f>IFERROR(__xludf.DUMMYFUNCTION("IF('Résultats des tournois'!T$2=0,"""",LET(
lastVal, INDEX(FILTER($B38:T38, ISNUMBER($B38:T38)), COUNTA(FILTER($B38:T38, ISNUMBER($B38:T38)))),
IFERROR(
IF('Résultats des tournois'!T38="""", INDEX(FILTER($C38:T38, ISNUMBER($C38:T38)), COUNTA(FILTER($C38:T"&amp;"38, ISNUMBER($C38:T38)))),
lastVal + 'K dynamique'!T38 * ((SQRT('Résultats des tournois'!T$2 + 1)/'Résultats des tournois'!T38) - (1 / (1 + 10^((T$103 - lastVal)/400)))))
)
))"),"")</f>
        <v/>
      </c>
      <c r="V38" s="32" t="str">
        <f>IFERROR(__xludf.DUMMYFUNCTION("IF('Résultats des tournois'!U$2=0,"""",LET(
lastVal, INDEX(FILTER($B38:U38, ISNUMBER($B38:U38)), COUNTA(FILTER($B38:U38, ISNUMBER($B38:U38)))),
IFERROR(
IF('Résultats des tournois'!U38="""", INDEX(FILTER($C38:U38, ISNUMBER($C38:U38)), COUNTA(FILTER($C38:U"&amp;"38, ISNUMBER($C38:U38)))),
lastVal + 'K dynamique'!U38 * ((SQRT('Résultats des tournois'!U$2 + 1)/'Résultats des tournois'!U38) - (1 / (1 + 10^((U$103 - lastVal)/400)))))
)
))"),"")</f>
        <v/>
      </c>
      <c r="W38" s="32" t="str">
        <f>IFERROR(__xludf.DUMMYFUNCTION("IF('Résultats des tournois'!V$2=0,"""",LET(
lastVal, INDEX(FILTER($B38:V38, ISNUMBER($B38:V38)), COUNTA(FILTER($B38:V38, ISNUMBER($B38:V38)))),
IFERROR(
IF('Résultats des tournois'!V38="""", INDEX(FILTER($C38:V38, ISNUMBER($C38:V38)), COUNTA(FILTER($C38:V"&amp;"38, ISNUMBER($C38:V38)))),
lastVal + 'K dynamique'!V38 * ((SQRT('Résultats des tournois'!V$2 + 1)/'Résultats des tournois'!V38) - (1 / (1 + 10^((V$103 - lastVal)/400)))))
)
))"),"")</f>
        <v/>
      </c>
      <c r="X38" s="32" t="str">
        <f>IFERROR(__xludf.DUMMYFUNCTION("IF('Résultats des tournois'!W$2=0,"""",LET(
lastVal, INDEX(FILTER($B38:W38, ISNUMBER($B38:W38)), COUNTA(FILTER($B38:W38, ISNUMBER($B38:W38)))),
IFERROR(
IF('Résultats des tournois'!W38="""", INDEX(FILTER($C38:W38, ISNUMBER($C38:W38)), COUNTA(FILTER($C38:W"&amp;"38, ISNUMBER($C38:W38)))),
lastVal + 'K dynamique'!W38 * ((SQRT('Résultats des tournois'!W$2 + 1)/'Résultats des tournois'!W38) - (1 / (1 + 10^((W$103 - lastVal)/400)))))
)
))"),"")</f>
        <v/>
      </c>
      <c r="Y38" s="32" t="str">
        <f>IFERROR(__xludf.DUMMYFUNCTION("IF('Résultats des tournois'!X$2=0,"""",LET(
lastVal, INDEX(FILTER($B38:X38, ISNUMBER($B38:X38)), COUNTA(FILTER($B38:X38, ISNUMBER($B38:X38)))),
IFERROR(
IF('Résultats des tournois'!X38="""", INDEX(FILTER($C38:X38, ISNUMBER($C38:X38)), COUNTA(FILTER($C38:X"&amp;"38, ISNUMBER($C38:X38)))),
lastVal + 'K dynamique'!X38 * ((SQRT('Résultats des tournois'!X$2 + 1)/'Résultats des tournois'!X38) - (1 / (1 + 10^((X$103 - lastVal)/400)))))
)
))"),"")</f>
        <v/>
      </c>
      <c r="Z38" s="32" t="str">
        <f>IFERROR(__xludf.DUMMYFUNCTION("IF('Résultats des tournois'!Y$2=0,"""",LET(
lastVal, INDEX(FILTER($B38:Y38, ISNUMBER($B38:Y38)), COUNTA(FILTER($B38:Y38, ISNUMBER($B38:Y38)))),
IFERROR(
IF('Résultats des tournois'!Y38="""", INDEX(FILTER($C38:Y38, ISNUMBER($C38:Y38)), COUNTA(FILTER($C38:Y"&amp;"38, ISNUMBER($C38:Y38)))),
lastVal + 'K dynamique'!Y38 * ((SQRT('Résultats des tournois'!Y$2 + 1)/'Résultats des tournois'!Y38) - (1 / (1 + 10^((Y$103 - lastVal)/400)))))
)
))"),"")</f>
        <v/>
      </c>
      <c r="AA38" s="32" t="str">
        <f>IFERROR(__xludf.DUMMYFUNCTION("IF('Résultats des tournois'!Z$2=0,"""",LET(
lastVal, INDEX(FILTER($B38:Z38, ISNUMBER($B38:Z38)), COUNTA(FILTER($B38:Z38, ISNUMBER($B38:Z38)))),
IFERROR(
IF('Résultats des tournois'!Z38="""", INDEX(FILTER($C38:Z38, ISNUMBER($C38:Z38)), COUNTA(FILTER($C38:Z"&amp;"38, ISNUMBER($C38:Z38)))),
lastVal + 'K dynamique'!Z38 * ((SQRT('Résultats des tournois'!Z$2 + 1)/'Résultats des tournois'!Z38) - (1 / (1 + 10^((Z$103 - lastVal)/400)))))
)
))"),"")</f>
        <v/>
      </c>
      <c r="AB38" s="32" t="str">
        <f>IFERROR(__xludf.DUMMYFUNCTION("IF('Résultats des tournois'!AA$2=0,"""",LET(
lastVal, INDEX(FILTER($B38:AA38, ISNUMBER($B38:AA38)), COUNTA(FILTER($B38:AA38, ISNUMBER($B38:AA38)))),
IFERROR(
IF('Résultats des tournois'!AA38="""", INDEX(FILTER($C38:AA38, ISNUMBER($C38:AA38)), COUNTA(FILTE"&amp;"R($C38:AA38, ISNUMBER($C38:AA38)))),
lastVal + 'K dynamique'!AA38 * ((SQRT('Résultats des tournois'!AA$2 + 1)/'Résultats des tournois'!AA38) - (1 / (1 + 10^((AA$103 - lastVal)/400)))))
)
))"),"")</f>
        <v/>
      </c>
      <c r="AC38" s="32" t="str">
        <f>IFERROR(__xludf.DUMMYFUNCTION("IF('Résultats des tournois'!AB$2=0,"""",LET(
lastVal, INDEX(FILTER($B38:AB38, ISNUMBER($B38:AB38)), COUNTA(FILTER($B38:AB38, ISNUMBER($B38:AB38)))),
IFERROR(
IF('Résultats des tournois'!AB38="""", INDEX(FILTER($C38:AB38, ISNUMBER($C38:AB38)), COUNTA(FILTE"&amp;"R($C38:AB38, ISNUMBER($C38:AB38)))),
lastVal + 'K dynamique'!AB38 * ((SQRT('Résultats des tournois'!AB$2 + 1)/'Résultats des tournois'!AB38) - (1 / (1 + 10^((AB$103 - lastVal)/400)))))
)
))"),"")</f>
        <v/>
      </c>
      <c r="AD38" s="32" t="str">
        <f>IFERROR(__xludf.DUMMYFUNCTION("IF('Résultats des tournois'!AC$2=0,"""",LET(
lastVal, INDEX(FILTER($B38:AC38, ISNUMBER($B38:AC38)), COUNTA(FILTER($B38:AC38, ISNUMBER($B38:AC38)))),
IFERROR(
IF('Résultats des tournois'!AC38="""", INDEX(FILTER($C38:AC38, ISNUMBER($C38:AC38)), COUNTA(FILTE"&amp;"R($C38:AC38, ISNUMBER($C38:AC38)))),
lastVal + 'K dynamique'!AC38 * ((SQRT('Résultats des tournois'!AC$2 + 1)/'Résultats des tournois'!AC38) - (1 / (1 + 10^((AC$103 - lastVal)/400)))))
)
))"),"")</f>
        <v/>
      </c>
      <c r="AE38" s="32" t="str">
        <f>IFERROR(__xludf.DUMMYFUNCTION("IF('Résultats des tournois'!AD$2=0,"""",LET(
lastVal, INDEX(FILTER($B38:AD38, ISNUMBER($B38:AD38)), COUNTA(FILTER($B38:AD38, ISNUMBER($B38:AD38)))),
IFERROR(
IF('Résultats des tournois'!AD38="""", INDEX(FILTER($C38:AD38, ISNUMBER($C38:AD38)), COUNTA(FILTE"&amp;"R($C38:AD38, ISNUMBER($C38:AD38)))),
lastVal + 'K dynamique'!AD38 * ((SQRT('Résultats des tournois'!AD$2 + 1)/'Résultats des tournois'!AD38) - (1 / (1 + 10^((AD$103 - lastVal)/400)))))
)
))"),"")</f>
        <v/>
      </c>
      <c r="AF38" s="32" t="str">
        <f>IFERROR(__xludf.DUMMYFUNCTION("IF('Résultats des tournois'!AE$2=0,"""",LET(
lastVal, INDEX(FILTER($B38:AE38, ISNUMBER($B38:AE38)), COUNTA(FILTER($B38:AE38, ISNUMBER($B38:AE38)))),
IFERROR(
IF('Résultats des tournois'!AE38="""", INDEX(FILTER($C38:AE38, ISNUMBER($C38:AE38)), COUNTA(FILTE"&amp;"R($C38:AE38, ISNUMBER($C38:AE38)))),
lastVal + 'K dynamique'!AE38 * ((SQRT('Résultats des tournois'!AE$2 + 1)/'Résultats des tournois'!AE38) - (1 / (1 + 10^((AE$103 - lastVal)/400)))))
)
))"),"")</f>
        <v/>
      </c>
      <c r="AG38" s="32" t="str">
        <f>IFERROR(__xludf.DUMMYFUNCTION("IF('Résultats des tournois'!AF$2=0,"""",LET(
lastVal, INDEX(FILTER($B38:AF38, ISNUMBER($B38:AF38)), COUNTA(FILTER($B38:AF38, ISNUMBER($B38:AF38)))),
IFERROR(
IF('Résultats des tournois'!AF38="""", INDEX(FILTER($C38:AF38, ISNUMBER($C38:AF38)), COUNTA(FILTE"&amp;"R($C38:AF38, ISNUMBER($C38:AF38)))),
lastVal + 'K dynamique'!AF38 * ((SQRT('Résultats des tournois'!AF$2 + 1)/'Résultats des tournois'!AF38) - (1 / (1 + 10^((AF$103 - lastVal)/400)))))
)
))"),"")</f>
        <v/>
      </c>
      <c r="AH38" s="32" t="str">
        <f>IFERROR(__xludf.DUMMYFUNCTION("IF('Résultats des tournois'!AG$2=0,"""",LET(
lastVal, INDEX(FILTER($B38:AG38, ISNUMBER($B38:AG38)), COUNTA(FILTER($B38:AG38, ISNUMBER($B38:AG38)))),
IFERROR(
IF('Résultats des tournois'!AG38="""", INDEX(FILTER($C38:AG38, ISNUMBER($C38:AG38)), COUNTA(FILTE"&amp;"R($C38:AG38, ISNUMBER($C38:AG38)))),
lastVal + 'K dynamique'!AG38 * ((SQRT('Résultats des tournois'!AG$2 + 1)/'Résultats des tournois'!AG38) - (1 / (1 + 10^((AG$103 - lastVal)/400)))))
)
))"),"")</f>
        <v/>
      </c>
      <c r="AI38" s="32" t="str">
        <f>IFERROR(__xludf.DUMMYFUNCTION("IF('Résultats des tournois'!AH$2=0,"""",LET(
lastVal, INDEX(FILTER($B38:AH38, ISNUMBER($B38:AH38)), COUNTA(FILTER($B38:AH38, ISNUMBER($B38:AH38)))),
IFERROR(
IF('Résultats des tournois'!AH38="""", INDEX(FILTER($C38:AH38, ISNUMBER($C38:AH38)), COUNTA(FILTE"&amp;"R($C38:AH38, ISNUMBER($C38:AH38)))),
lastVal + 'K dynamique'!AH38 * ((SQRT('Résultats des tournois'!AH$2 + 1)/'Résultats des tournois'!AH38) - (1 / (1 + 10^((AH$103 - lastVal)/400)))))
)
))"),"")</f>
        <v/>
      </c>
      <c r="AJ38" s="32" t="str">
        <f>IFERROR(__xludf.DUMMYFUNCTION("IF('Résultats des tournois'!AI$2=0,"""",LET(
lastVal, INDEX(FILTER($B38:AI38, ISNUMBER($B38:AI38)), COUNTA(FILTER($B38:AI38, ISNUMBER($B38:AI38)))),
IFERROR(
IF('Résultats des tournois'!AI38="""", INDEX(FILTER($C38:AI38, ISNUMBER($C38:AI38)), COUNTA(FILTE"&amp;"R($C38:AI38, ISNUMBER($C38:AI38)))),
lastVal + 'K dynamique'!AI38 * ((SQRT('Résultats des tournois'!AI$2 + 1)/'Résultats des tournois'!AI38) - (1 / (1 + 10^((AI$103 - lastVal)/400)))))
)
))"),"")</f>
        <v/>
      </c>
      <c r="AK38" s="32" t="str">
        <f>IFERROR(__xludf.DUMMYFUNCTION("IF('Résultats des tournois'!AJ$2=0,"""",LET(
lastVal, INDEX(FILTER($B38:AJ38, ISNUMBER($B38:AJ38)), COUNTA(FILTER($B38:AJ38, ISNUMBER($B38:AJ38)))),
IFERROR(
IF('Résultats des tournois'!AJ38="""", INDEX(FILTER($C38:AJ38, ISNUMBER($C38:AJ38)), COUNTA(FILTE"&amp;"R($C38:AJ38, ISNUMBER($C38:AJ38)))),
lastVal + 'K dynamique'!AJ38 * ((SQRT('Résultats des tournois'!AJ$2 + 1)/'Résultats des tournois'!AJ38) - (1 / (1 + 10^((AJ$103 - lastVal)/400)))))
)
))"),"")</f>
        <v/>
      </c>
      <c r="AL38" s="32" t="str">
        <f>IFERROR(__xludf.DUMMYFUNCTION("IF('Résultats des tournois'!AK$2=0,"""",LET(
lastVal, INDEX(FILTER($B38:AK38, ISNUMBER($B38:AK38)), COUNTA(FILTER($B38:AK38, ISNUMBER($B38:AK38)))),
IFERROR(
IF('Résultats des tournois'!AK38="""", INDEX(FILTER($C38:AK38, ISNUMBER($C38:AK38)), COUNTA(FILTE"&amp;"R($C38:AK38, ISNUMBER($C38:AK38)))),
lastVal + 'K dynamique'!AK38 * ((SQRT('Résultats des tournois'!AK$2 + 1)/'Résultats des tournois'!AK38) - (1 / (1 + 10^((AK$103 - lastVal)/400)))))
)
))"),"")</f>
        <v/>
      </c>
      <c r="AM38" s="32" t="str">
        <f>IFERROR(__xludf.DUMMYFUNCTION("IF('Résultats des tournois'!AL$2=0,"""",LET(
lastVal, INDEX(FILTER($B38:AL38, ISNUMBER($B38:AL38)), COUNTA(FILTER($B38:AL38, ISNUMBER($B38:AL38)))),
IFERROR(
IF('Résultats des tournois'!AL38="""", INDEX(FILTER($C38:AL38, ISNUMBER($C38:AL38)), COUNTA(FILTE"&amp;"R($C38:AL38, ISNUMBER($C38:AL38)))),
lastVal + 'K dynamique'!AL38 * ((SQRT('Résultats des tournois'!AL$2 + 1)/'Résultats des tournois'!AL38) - (1 / (1 + 10^((AL$103 - lastVal)/400)))))
)
))"),"")</f>
        <v/>
      </c>
      <c r="AN38" s="32" t="str">
        <f>IFERROR(__xludf.DUMMYFUNCTION("IF('Résultats des tournois'!AM$2=0,"""",LET(
lastVal, INDEX(FILTER($B38:AM38, ISNUMBER($B38:AM38)), COUNTA(FILTER($B38:AM38, ISNUMBER($B38:AM38)))),
IFERROR(
IF('Résultats des tournois'!AM38="""", INDEX(FILTER($C38:AM38, ISNUMBER($C38:AM38)), COUNTA(FILTE"&amp;"R($C38:AM38, ISNUMBER($C38:AM38)))),
lastVal + 'K dynamique'!AM38 * ((SQRT('Résultats des tournois'!AM$2 + 1)/'Résultats des tournois'!AM38) - (1 / (1 + 10^((AM$103 - lastVal)/400)))))
)
))"),"")</f>
        <v/>
      </c>
      <c r="AO38" s="32" t="str">
        <f>IFERROR(__xludf.DUMMYFUNCTION("IF('Résultats des tournois'!AN$2=0,"""",LET(
lastVal, INDEX(FILTER($B38:AN38, ISNUMBER($B38:AN38)), COUNTA(FILTER($B38:AN38, ISNUMBER($B38:AN38)))),
IFERROR(
IF('Résultats des tournois'!AN38="""", INDEX(FILTER($C38:AN38, ISNUMBER($C38:AN38)), COUNTA(FILTE"&amp;"R($C38:AN38, ISNUMBER($C38:AN38)))),
lastVal + 'K dynamique'!AN38 * ((SQRT('Résultats des tournois'!AN$2 + 1)/'Résultats des tournois'!AN38) - (1 / (1 + 10^((AN$103 - lastVal)/400)))))
)
))"),"")</f>
        <v/>
      </c>
      <c r="AP38" s="32" t="str">
        <f>IFERROR(__xludf.DUMMYFUNCTION("IF('Résultats des tournois'!AO$2=0,"""",LET(
lastVal, INDEX(FILTER($B38:AO38, ISNUMBER($B38:AO38)), COUNTA(FILTER($B38:AO38, ISNUMBER($B38:AO38)))),
IFERROR(
IF('Résultats des tournois'!AO38="""", INDEX(FILTER($C38:AO38, ISNUMBER($C38:AO38)), COUNTA(FILTE"&amp;"R($C38:AO38, ISNUMBER($C38:AO38)))),
lastVal + 'K dynamique'!AO38 * ((SQRT('Résultats des tournois'!AO$2 + 1)/'Résultats des tournois'!AO38) - (1 / (1 + 10^((AO$103 - lastVal)/400)))))
)
))"),"")</f>
        <v/>
      </c>
      <c r="AQ38" s="32" t="str">
        <f>IFERROR(__xludf.DUMMYFUNCTION("IF('Résultats des tournois'!AP$2=0,"""",LET(
lastVal, INDEX(FILTER($B38:AP38, ISNUMBER($B38:AP38)), COUNTA(FILTER($B38:AP38, ISNUMBER($B38:AP38)))),
IFERROR(
IF('Résultats des tournois'!AP38="""", INDEX(FILTER($C38:AP38, ISNUMBER($C38:AP38)), COUNTA(FILTE"&amp;"R($C38:AP38, ISNUMBER($C38:AP38)))),
lastVal + 'K dynamique'!AP38 * ((SQRT('Résultats des tournois'!AP$2 + 1)/'Résultats des tournois'!AP38) - (1 / (1 + 10^((AP$103 - lastVal)/400)))))
)
))"),"")</f>
        <v/>
      </c>
      <c r="AR38" s="32" t="str">
        <f>IFERROR(__xludf.DUMMYFUNCTION("IF('Résultats des tournois'!AQ$2=0,"""",LET(
lastVal, INDEX(FILTER($B38:AQ38, ISNUMBER($B38:AQ38)), COUNTA(FILTER($B38:AQ38, ISNUMBER($B38:AQ38)))),
IFERROR(
IF('Résultats des tournois'!AQ38="""", INDEX(FILTER($C38:AQ38, ISNUMBER($C38:AQ38)), COUNTA(FILTE"&amp;"R($C38:AQ38, ISNUMBER($C38:AQ38)))),
lastVal + 'K dynamique'!AQ38 * ((SQRT('Résultats des tournois'!AQ$2 + 1)/'Résultats des tournois'!AQ38) - (1 / (1 + 10^((AQ$103 - lastVal)/400)))))
)
))"),"")</f>
        <v/>
      </c>
      <c r="AS38" s="32" t="str">
        <f>IFERROR(__xludf.DUMMYFUNCTION("IF('Résultats des tournois'!AR$2=0,"""",LET(
lastVal, INDEX(FILTER($B38:AR38, ISNUMBER($B38:AR38)), COUNTA(FILTER($B38:AR38, ISNUMBER($B38:AR38)))),
IFERROR(
IF('Résultats des tournois'!AR38="""", INDEX(FILTER($C38:AR38, ISNUMBER($C38:AR38)), COUNTA(FILTE"&amp;"R($C38:AR38, ISNUMBER($C38:AR38)))),
lastVal + 'K dynamique'!AR38 * ((SQRT('Résultats des tournois'!AR$2 + 1)/'Résultats des tournois'!AR38) - (1 / (1 + 10^((AR$103 - lastVal)/400)))))
)
))"),"")</f>
        <v/>
      </c>
      <c r="AT38" s="32" t="str">
        <f>IFERROR(__xludf.DUMMYFUNCTION("IF('Résultats des tournois'!AS$2=0,"""",LET(
lastVal, INDEX(FILTER($B38:AS38, ISNUMBER($B38:AS38)), COUNTA(FILTER($B38:AS38, ISNUMBER($B38:AS38)))),
IFERROR(
IF('Résultats des tournois'!AS38="""", INDEX(FILTER($C38:AS38, ISNUMBER($C38:AS38)), COUNTA(FILTE"&amp;"R($C38:AS38, ISNUMBER($C38:AS38)))),
lastVal + 'K dynamique'!AS38 * ((SQRT('Résultats des tournois'!AS$2 + 1)/'Résultats des tournois'!AS38) - (1 / (1 + 10^((AS$103 - lastVal)/400)))))
)
))"),"")</f>
        <v/>
      </c>
      <c r="AU38" s="32" t="str">
        <f>IFERROR(__xludf.DUMMYFUNCTION("IF('Résultats des tournois'!AT$2=0,"""",LET(
lastVal, INDEX(FILTER($B38:AT38, ISNUMBER($B38:AT38)), COUNTA(FILTER($B38:AT38, ISNUMBER($B38:AT38)))),
IFERROR(
IF('Résultats des tournois'!AT38="""", INDEX(FILTER($C38:AT38, ISNUMBER($C38:AT38)), COUNTA(FILTE"&amp;"R($C38:AT38, ISNUMBER($C38:AT38)))),
lastVal + 'K dynamique'!AT38 * ((SQRT('Résultats des tournois'!AT$2 + 1)/'Résultats des tournois'!AT38) - (1 / (1 + 10^((AT$103 - lastVal)/400)))))
)
))"),"")</f>
        <v/>
      </c>
      <c r="AV38" s="32" t="str">
        <f>IFERROR(__xludf.DUMMYFUNCTION("IF('Résultats des tournois'!AU$2=0,"""",LET(
lastVal, INDEX(FILTER($B38:AU38, ISNUMBER($B38:AU38)), COUNTA(FILTER($B38:AU38, ISNUMBER($B38:AU38)))),
IFERROR(
IF('Résultats des tournois'!AU38="""", INDEX(FILTER($C38:AU38, ISNUMBER($C38:AU38)), COUNTA(FILTE"&amp;"R($C38:AU38, ISNUMBER($C38:AU38)))),
lastVal + 'K dynamique'!AU38 * ((SQRT('Résultats des tournois'!AU$2 + 1)/'Résultats des tournois'!AU38) - (1 / (1 + 10^((AU$103 - lastVal)/400)))))
)
))"),"")</f>
        <v/>
      </c>
      <c r="AW38" s="32" t="str">
        <f>IFERROR(__xludf.DUMMYFUNCTION("IF('Résultats des tournois'!AV$2=0,"""",LET(
lastVal, INDEX(FILTER($B38:AV38, ISNUMBER($B38:AV38)), COUNTA(FILTER($B38:AV38, ISNUMBER($B38:AV38)))),
IFERROR(
IF('Résultats des tournois'!AV38="""", INDEX(FILTER($C38:AV38, ISNUMBER($C38:AV38)), COUNTA(FILTE"&amp;"R($C38:AV38, ISNUMBER($C38:AV38)))),
lastVal + 'K dynamique'!AV38 * ((SQRT('Résultats des tournois'!AV$2 + 1)/'Résultats des tournois'!AV38) - (1 / (1 + 10^((AV$103 - lastVal)/400)))))
)
))"),"")</f>
        <v/>
      </c>
      <c r="AX38" s="32" t="str">
        <f>IFERROR(__xludf.DUMMYFUNCTION("IF('Résultats des tournois'!AW$2=0,"""",LET(
lastVal, INDEX(FILTER($B38:AW38, ISNUMBER($B38:AW38)), COUNTA(FILTER($B38:AW38, ISNUMBER($B38:AW38)))),
IFERROR(
IF('Résultats des tournois'!AW38="""", INDEX(FILTER($C38:AW38, ISNUMBER($C38:AW38)), COUNTA(FILTE"&amp;"R($C38:AW38, ISNUMBER($C38:AW38)))),
lastVal + 'K dynamique'!AW38 * ((SQRT('Résultats des tournois'!AW$2 + 1)/'Résultats des tournois'!AW38) - (1 / (1 + 10^((AW$103 - lastVal)/400)))))
)
))"),"")</f>
        <v/>
      </c>
      <c r="AY38" s="32" t="str">
        <f>IFERROR(__xludf.DUMMYFUNCTION("IF('Résultats des tournois'!AX$2=0,"""",LET(
lastVal, INDEX(FILTER($B38:AX38, ISNUMBER($B38:AX38)), COUNTA(FILTER($B38:AX38, ISNUMBER($B38:AX38)))),
IFERROR(
IF('Résultats des tournois'!AX38="""", INDEX(FILTER($C38:AX38, ISNUMBER($C38:AX38)), COUNTA(FILTE"&amp;"R($C38:AX38, ISNUMBER($C38:AX38)))),
lastVal + 'K dynamique'!AX38 * ((SQRT('Résultats des tournois'!AX$2 + 1)/'Résultats des tournois'!AX38) - (1 / (1 + 10^((AX$103 - lastVal)/400)))))
)
))"),"")</f>
        <v/>
      </c>
      <c r="AZ38" s="4" t="str">
        <f t="array" ref="AZ38">IF(MAX(($C38:AY38&lt;&gt;"")*COLUMN($C38:AY38))=0,"",INDEX($C38:AY38,1,MAX(($C38:AY38&lt;&gt;"")*COLUMN($C38:AY38))-COLUMN($C38)+1))</f>
        <v/>
      </c>
      <c r="BA38" s="33" t="str">
        <f t="shared" si="1"/>
        <v/>
      </c>
    </row>
    <row r="39" ht="14.25" customHeight="1">
      <c r="A39" s="32" t="str">
        <f>IF('Résultats des tournois'!A39="","",'Résultats des tournois'!A39)</f>
        <v/>
      </c>
      <c r="B39" s="32">
        <v>1500.0</v>
      </c>
      <c r="C39" s="32" t="str">
        <f>IF('Résultats des tournois'!B39="","",B39+'K dynamique'!B39*((SQRT('Résultats des tournois'!B$2+1)/'Résultats des tournois'!B39)-(1/(1+10^((B39-B39)/400)))))</f>
        <v/>
      </c>
      <c r="D39" s="32" t="str">
        <f>IFERROR(__xludf.DUMMYFUNCTION("IF('Résultats des tournois'!C$2=0,"""",LET(
lastVal, INDEX(FILTER($B39:C39, ISNUMBER($B39:C39)), COUNTA(FILTER($B39:C39, ISNUMBER($B39:C39)))),
IFERROR(
IF('Résultats des tournois'!C39="""", INDEX(FILTER($C39:C39, ISNUMBER($C39:C39)), COUNTA(FILTER($C39:C"&amp;"39, ISNUMBER($C39:C39)))),
lastVal + 'K dynamique'!C39 * ((SQRT('Résultats des tournois'!C$2 + 1)/'Résultats des tournois'!C39) - (1 / (1 + 10^((C$103 - lastVal)/400)))))
)
))"),"")</f>
        <v/>
      </c>
      <c r="E39" s="32" t="str">
        <f>IFERROR(__xludf.DUMMYFUNCTION("IF('Résultats des tournois'!D$2=0,"""",LET(
lastVal, INDEX(FILTER($B39:D39, ISNUMBER($B39:D39)), COUNTA(FILTER($B39:D39, ISNUMBER($B39:D39)))),
IFERROR(
IF('Résultats des tournois'!D39="""", INDEX(FILTER($C39:D39, ISNUMBER($C39:D39)), COUNTA(FILTER($C39:D"&amp;"39, ISNUMBER($C39:D39)))),
lastVal + 'K dynamique'!D39 * ((SQRT('Résultats des tournois'!D$2 + 1)/'Résultats des tournois'!D39) - (1 / (1 + 10^((D$103 - lastVal)/400)))))
)
))"),"")</f>
        <v/>
      </c>
      <c r="F39" s="32" t="str">
        <f>IFERROR(__xludf.DUMMYFUNCTION("IF('Résultats des tournois'!E$2=0,"""",LET(
lastVal, INDEX(FILTER($B39:E39, ISNUMBER($B39:E39)), COUNTA(FILTER($B39:E39, ISNUMBER($B39:E39)))),
IFERROR(
IF('Résultats des tournois'!E39="""", INDEX(FILTER($C39:E39, ISNUMBER($C39:E39)), COUNTA(FILTER($C39:E"&amp;"39, ISNUMBER($C39:E39)))),
lastVal + 'K dynamique'!E39 * ((SQRT('Résultats des tournois'!E$2 + 1)/'Résultats des tournois'!E39) - (1 / (1 + 10^((E$103 - lastVal)/400)))))
)
))"),"")</f>
        <v/>
      </c>
      <c r="G39" s="32" t="str">
        <f>IFERROR(__xludf.DUMMYFUNCTION("IF('Résultats des tournois'!F$2=0,"""",LET(
lastVal, INDEX(FILTER($B39:F39, ISNUMBER($B39:F39)), COUNTA(FILTER($B39:F39, ISNUMBER($B39:F39)))),
IFERROR(
IF('Résultats des tournois'!F39="""", INDEX(FILTER($C39:F39, ISNUMBER($C39:F39)), COUNTA(FILTER($C39:F"&amp;"39, ISNUMBER($C39:F39)))),
lastVal + 'K dynamique'!F39 * ((SQRT('Résultats des tournois'!F$2 + 1)/'Résultats des tournois'!F39) - (1 / (1 + 10^((F$103 - lastVal)/400)))))
)
))"),"")</f>
        <v/>
      </c>
      <c r="H39" s="32" t="str">
        <f>IFERROR(__xludf.DUMMYFUNCTION("IF('Résultats des tournois'!G$2=0,"""",LET(
lastVal, INDEX(FILTER($B39:G39, ISNUMBER($B39:G39)), COUNTA(FILTER($B39:G39, ISNUMBER($B39:G39)))),
IFERROR(
IF('Résultats des tournois'!G39="""", INDEX(FILTER($C39:G39, ISNUMBER($C39:G39)), COUNTA(FILTER($C39:G"&amp;"39, ISNUMBER($C39:G39)))),
lastVal + 'K dynamique'!G39 * ((SQRT('Résultats des tournois'!G$2 + 1)/'Résultats des tournois'!G39) - (1 / (1 + 10^((G$103 - lastVal)/400)))))
)
))"),"")</f>
        <v/>
      </c>
      <c r="I39" s="32" t="str">
        <f>IFERROR(__xludf.DUMMYFUNCTION("IF('Résultats des tournois'!H$2=0,"""",LET(
lastVal, INDEX(FILTER($B39:H39, ISNUMBER($B39:H39)), COUNTA(FILTER($B39:H39, ISNUMBER($B39:H39)))),
IFERROR(
IF('Résultats des tournois'!H39="""", INDEX(FILTER($C39:H39, ISNUMBER($C39:H39)), COUNTA(FILTER($C39:H"&amp;"39, ISNUMBER($C39:H39)))),
lastVal + 'K dynamique'!H39 * ((SQRT('Résultats des tournois'!H$2 + 1)/'Résultats des tournois'!H39) - (1 / (1 + 10^((H$103 - lastVal)/400)))))
)
))"),"")</f>
        <v/>
      </c>
      <c r="J39" s="32" t="str">
        <f>IFERROR(__xludf.DUMMYFUNCTION("IF('Résultats des tournois'!I$2=0,"""",LET(
lastVal, INDEX(FILTER($B39:I39, ISNUMBER($B39:I39)), COUNTA(FILTER($B39:I39, ISNUMBER($B39:I39)))),
IFERROR(
IF('Résultats des tournois'!I39="""", INDEX(FILTER($C39:I39, ISNUMBER($C39:I39)), COUNTA(FILTER($C39:I"&amp;"39, ISNUMBER($C39:I39)))),
lastVal + 'K dynamique'!I39 * ((SQRT('Résultats des tournois'!I$2 + 1)/'Résultats des tournois'!I39) - (1 / (1 + 10^((I$103 - lastVal)/400)))))
)
))"),"")</f>
        <v/>
      </c>
      <c r="K39" s="32" t="str">
        <f>IFERROR(__xludf.DUMMYFUNCTION("IF('Résultats des tournois'!J$2=0,"""",LET(
lastVal, INDEX(FILTER($B39:J39, ISNUMBER($B39:J39)), COUNTA(FILTER($B39:J39, ISNUMBER($B39:J39)))),
IFERROR(
IF('Résultats des tournois'!J39="""", INDEX(FILTER($C39:J39, ISNUMBER($C39:J39)), COUNTA(FILTER($C39:J"&amp;"39, ISNUMBER($C39:J39)))),
lastVal + 'K dynamique'!J39 * ((SQRT('Résultats des tournois'!J$2 + 1)/'Résultats des tournois'!J39) - (1 / (1 + 10^((J$103 - lastVal)/400)))))
)
))"),"")</f>
        <v/>
      </c>
      <c r="L39" s="32" t="str">
        <f>IFERROR(__xludf.DUMMYFUNCTION("IF('Résultats des tournois'!K$2=0,"""",LET(
lastVal, INDEX(FILTER($B39:K39, ISNUMBER($B39:K39)), COUNTA(FILTER($B39:K39, ISNUMBER($B39:K39)))),
IFERROR(
IF('Résultats des tournois'!K39="""", INDEX(FILTER($C39:K39, ISNUMBER($C39:K39)), COUNTA(FILTER($C39:K"&amp;"39, ISNUMBER($C39:K39)))),
lastVal + 'K dynamique'!K39 * ((SQRT('Résultats des tournois'!K$2 + 1)/'Résultats des tournois'!K39) - (1 / (1 + 10^((K$103 - lastVal)/400)))))
)
))"),"")</f>
        <v/>
      </c>
      <c r="M39" s="32" t="str">
        <f>IFERROR(__xludf.DUMMYFUNCTION("IF('Résultats des tournois'!L$2=0,"""",LET(
lastVal, INDEX(FILTER($B39:L39, ISNUMBER($B39:L39)), COUNTA(FILTER($B39:L39, ISNUMBER($B39:L39)))),
IFERROR(
IF('Résultats des tournois'!L39="""", INDEX(FILTER($C39:L39, ISNUMBER($C39:L39)), COUNTA(FILTER($C39:L"&amp;"39, ISNUMBER($C39:L39)))),
lastVal + 'K dynamique'!L39 * ((SQRT('Résultats des tournois'!L$2 + 1)/'Résultats des tournois'!L39) - (1 / (1 + 10^((L$103 - lastVal)/400)))))
)
))"),"")</f>
        <v/>
      </c>
      <c r="N39" s="32" t="str">
        <f>IFERROR(__xludf.DUMMYFUNCTION("IF('Résultats des tournois'!M$2=0,"""",LET(
lastVal, INDEX(FILTER($B39:M39, ISNUMBER($B39:M39)), COUNTA(FILTER($B39:M39, ISNUMBER($B39:M39)))),
IFERROR(
IF('Résultats des tournois'!M39="""", INDEX(FILTER($C39:M39, ISNUMBER($C39:M39)), COUNTA(FILTER($C39:M"&amp;"39, ISNUMBER($C39:M39)))),
lastVal + 'K dynamique'!M39 * ((SQRT('Résultats des tournois'!M$2 + 1)/'Résultats des tournois'!M39) - (1 / (1 + 10^((M$103 - lastVal)/400)))))
)
))"),"")</f>
        <v/>
      </c>
      <c r="O39" s="32" t="str">
        <f>IFERROR(__xludf.DUMMYFUNCTION("IF('Résultats des tournois'!N$2=0,"""",LET(
lastVal, INDEX(FILTER($B39:N39, ISNUMBER($B39:N39)), COUNTA(FILTER($B39:N39, ISNUMBER($B39:N39)))),
IFERROR(
IF('Résultats des tournois'!N39="""", INDEX(FILTER($C39:N39, ISNUMBER($C39:N39)), COUNTA(FILTER($C39:N"&amp;"39, ISNUMBER($C39:N39)))),
lastVal + 'K dynamique'!N39 * ((SQRT('Résultats des tournois'!N$2 + 1)/'Résultats des tournois'!N39) - (1 / (1 + 10^((N$103 - lastVal)/400)))))
)
))"),"")</f>
        <v/>
      </c>
      <c r="P39" s="32" t="str">
        <f>IFERROR(__xludf.DUMMYFUNCTION("IF('Résultats des tournois'!O$2=0,"""",LET(
lastVal, INDEX(FILTER($B39:O39, ISNUMBER($B39:O39)), COUNTA(FILTER($B39:O39, ISNUMBER($B39:O39)))),
IFERROR(
IF('Résultats des tournois'!O39="""", INDEX(FILTER($C39:O39, ISNUMBER($C39:O39)), COUNTA(FILTER($C39:O"&amp;"39, ISNUMBER($C39:O39)))),
lastVal + 'K dynamique'!O39 * ((SQRT('Résultats des tournois'!O$2 + 1)/'Résultats des tournois'!O39) - (1 / (1 + 10^((O$103 - lastVal)/400)))))
)
))"),"")</f>
        <v/>
      </c>
      <c r="Q39" s="32" t="str">
        <f>IFERROR(__xludf.DUMMYFUNCTION("IF('Résultats des tournois'!P$2=0,"""",LET(
lastVal, INDEX(FILTER($B39:P39, ISNUMBER($B39:P39)), COUNTA(FILTER($B39:P39, ISNUMBER($B39:P39)))),
IFERROR(
IF('Résultats des tournois'!P39="""", INDEX(FILTER($C39:P39, ISNUMBER($C39:P39)), COUNTA(FILTER($C39:P"&amp;"39, ISNUMBER($C39:P39)))),
lastVal + 'K dynamique'!P39 * ((SQRT('Résultats des tournois'!P$2 + 1)/'Résultats des tournois'!P39) - (1 / (1 + 10^((P$103 - lastVal)/400)))))
)
))"),"")</f>
        <v/>
      </c>
      <c r="R39" s="32" t="str">
        <f>IFERROR(__xludf.DUMMYFUNCTION("IF('Résultats des tournois'!Q$2=0,"""",LET(
lastVal, INDEX(FILTER($B39:Q39, ISNUMBER($B39:Q39)), COUNTA(FILTER($B39:Q39, ISNUMBER($B39:Q39)))),
IFERROR(
IF('Résultats des tournois'!Q39="""", INDEX(FILTER($C39:Q39, ISNUMBER($C39:Q39)), COUNTA(FILTER($C39:Q"&amp;"39, ISNUMBER($C39:Q39)))),
lastVal + 'K dynamique'!Q39 * ((SQRT('Résultats des tournois'!Q$2 + 1)/'Résultats des tournois'!Q39) - (1 / (1 + 10^((Q$103 - lastVal)/400)))))
)
))"),"")</f>
        <v/>
      </c>
      <c r="S39" s="32" t="str">
        <f>IFERROR(__xludf.DUMMYFUNCTION("IF('Résultats des tournois'!R$2=0,"""",LET(
lastVal, INDEX(FILTER($B39:R39, ISNUMBER($B39:R39)), COUNTA(FILTER($B39:R39, ISNUMBER($B39:R39)))),
IFERROR(
IF('Résultats des tournois'!R39="""", INDEX(FILTER($C39:R39, ISNUMBER($C39:R39)), COUNTA(FILTER($C39:R"&amp;"39, ISNUMBER($C39:R39)))),
lastVal + 'K dynamique'!R39 * ((SQRT('Résultats des tournois'!R$2 + 1)/'Résultats des tournois'!R39) - (1 / (1 + 10^((R$103 - lastVal)/400)))))
)
))"),"")</f>
        <v/>
      </c>
      <c r="T39" s="32" t="str">
        <f>IFERROR(__xludf.DUMMYFUNCTION("IF('Résultats des tournois'!S$2=0,"""",LET(
lastVal, INDEX(FILTER($B39:S39, ISNUMBER($B39:S39)), COUNTA(FILTER($B39:S39, ISNUMBER($B39:S39)))),
IFERROR(
IF('Résultats des tournois'!S39="""", INDEX(FILTER($C39:S39, ISNUMBER($C39:S39)), COUNTA(FILTER($C39:S"&amp;"39, ISNUMBER($C39:S39)))),
lastVal + 'K dynamique'!S39 * ((SQRT('Résultats des tournois'!S$2 + 1)/'Résultats des tournois'!S39) - (1 / (1 + 10^((S$103 - lastVal)/400)))))
)
))"),"")</f>
        <v/>
      </c>
      <c r="U39" s="32" t="str">
        <f>IFERROR(__xludf.DUMMYFUNCTION("IF('Résultats des tournois'!T$2=0,"""",LET(
lastVal, INDEX(FILTER($B39:T39, ISNUMBER($B39:T39)), COUNTA(FILTER($B39:T39, ISNUMBER($B39:T39)))),
IFERROR(
IF('Résultats des tournois'!T39="""", INDEX(FILTER($C39:T39, ISNUMBER($C39:T39)), COUNTA(FILTER($C39:T"&amp;"39, ISNUMBER($C39:T39)))),
lastVal + 'K dynamique'!T39 * ((SQRT('Résultats des tournois'!T$2 + 1)/'Résultats des tournois'!T39) - (1 / (1 + 10^((T$103 - lastVal)/400)))))
)
))"),"")</f>
        <v/>
      </c>
      <c r="V39" s="32" t="str">
        <f>IFERROR(__xludf.DUMMYFUNCTION("IF('Résultats des tournois'!U$2=0,"""",LET(
lastVal, INDEX(FILTER($B39:U39, ISNUMBER($B39:U39)), COUNTA(FILTER($B39:U39, ISNUMBER($B39:U39)))),
IFERROR(
IF('Résultats des tournois'!U39="""", INDEX(FILTER($C39:U39, ISNUMBER($C39:U39)), COUNTA(FILTER($C39:U"&amp;"39, ISNUMBER($C39:U39)))),
lastVal + 'K dynamique'!U39 * ((SQRT('Résultats des tournois'!U$2 + 1)/'Résultats des tournois'!U39) - (1 / (1 + 10^((U$103 - lastVal)/400)))))
)
))"),"")</f>
        <v/>
      </c>
      <c r="W39" s="32" t="str">
        <f>IFERROR(__xludf.DUMMYFUNCTION("IF('Résultats des tournois'!V$2=0,"""",LET(
lastVal, INDEX(FILTER($B39:V39, ISNUMBER($B39:V39)), COUNTA(FILTER($B39:V39, ISNUMBER($B39:V39)))),
IFERROR(
IF('Résultats des tournois'!V39="""", INDEX(FILTER($C39:V39, ISNUMBER($C39:V39)), COUNTA(FILTER($C39:V"&amp;"39, ISNUMBER($C39:V39)))),
lastVal + 'K dynamique'!V39 * ((SQRT('Résultats des tournois'!V$2 + 1)/'Résultats des tournois'!V39) - (1 / (1 + 10^((V$103 - lastVal)/400)))))
)
))"),"")</f>
        <v/>
      </c>
      <c r="X39" s="32" t="str">
        <f>IFERROR(__xludf.DUMMYFUNCTION("IF('Résultats des tournois'!W$2=0,"""",LET(
lastVal, INDEX(FILTER($B39:W39, ISNUMBER($B39:W39)), COUNTA(FILTER($B39:W39, ISNUMBER($B39:W39)))),
IFERROR(
IF('Résultats des tournois'!W39="""", INDEX(FILTER($C39:W39, ISNUMBER($C39:W39)), COUNTA(FILTER($C39:W"&amp;"39, ISNUMBER($C39:W39)))),
lastVal + 'K dynamique'!W39 * ((SQRT('Résultats des tournois'!W$2 + 1)/'Résultats des tournois'!W39) - (1 / (1 + 10^((W$103 - lastVal)/400)))))
)
))"),"")</f>
        <v/>
      </c>
      <c r="Y39" s="32" t="str">
        <f>IFERROR(__xludf.DUMMYFUNCTION("IF('Résultats des tournois'!X$2=0,"""",LET(
lastVal, INDEX(FILTER($B39:X39, ISNUMBER($B39:X39)), COUNTA(FILTER($B39:X39, ISNUMBER($B39:X39)))),
IFERROR(
IF('Résultats des tournois'!X39="""", INDEX(FILTER($C39:X39, ISNUMBER($C39:X39)), COUNTA(FILTER($C39:X"&amp;"39, ISNUMBER($C39:X39)))),
lastVal + 'K dynamique'!X39 * ((SQRT('Résultats des tournois'!X$2 + 1)/'Résultats des tournois'!X39) - (1 / (1 + 10^((X$103 - lastVal)/400)))))
)
))"),"")</f>
        <v/>
      </c>
      <c r="Z39" s="32" t="str">
        <f>IFERROR(__xludf.DUMMYFUNCTION("IF('Résultats des tournois'!Y$2=0,"""",LET(
lastVal, INDEX(FILTER($B39:Y39, ISNUMBER($B39:Y39)), COUNTA(FILTER($B39:Y39, ISNUMBER($B39:Y39)))),
IFERROR(
IF('Résultats des tournois'!Y39="""", INDEX(FILTER($C39:Y39, ISNUMBER($C39:Y39)), COUNTA(FILTER($C39:Y"&amp;"39, ISNUMBER($C39:Y39)))),
lastVal + 'K dynamique'!Y39 * ((SQRT('Résultats des tournois'!Y$2 + 1)/'Résultats des tournois'!Y39) - (1 / (1 + 10^((Y$103 - lastVal)/400)))))
)
))"),"")</f>
        <v/>
      </c>
      <c r="AA39" s="32" t="str">
        <f>IFERROR(__xludf.DUMMYFUNCTION("IF('Résultats des tournois'!Z$2=0,"""",LET(
lastVal, INDEX(FILTER($B39:Z39, ISNUMBER($B39:Z39)), COUNTA(FILTER($B39:Z39, ISNUMBER($B39:Z39)))),
IFERROR(
IF('Résultats des tournois'!Z39="""", INDEX(FILTER($C39:Z39, ISNUMBER($C39:Z39)), COUNTA(FILTER($C39:Z"&amp;"39, ISNUMBER($C39:Z39)))),
lastVal + 'K dynamique'!Z39 * ((SQRT('Résultats des tournois'!Z$2 + 1)/'Résultats des tournois'!Z39) - (1 / (1 + 10^((Z$103 - lastVal)/400)))))
)
))"),"")</f>
        <v/>
      </c>
      <c r="AB39" s="32" t="str">
        <f>IFERROR(__xludf.DUMMYFUNCTION("IF('Résultats des tournois'!AA$2=0,"""",LET(
lastVal, INDEX(FILTER($B39:AA39, ISNUMBER($B39:AA39)), COUNTA(FILTER($B39:AA39, ISNUMBER($B39:AA39)))),
IFERROR(
IF('Résultats des tournois'!AA39="""", INDEX(FILTER($C39:AA39, ISNUMBER($C39:AA39)), COUNTA(FILTE"&amp;"R($C39:AA39, ISNUMBER($C39:AA39)))),
lastVal + 'K dynamique'!AA39 * ((SQRT('Résultats des tournois'!AA$2 + 1)/'Résultats des tournois'!AA39) - (1 / (1 + 10^((AA$103 - lastVal)/400)))))
)
))"),"")</f>
        <v/>
      </c>
      <c r="AC39" s="32" t="str">
        <f>IFERROR(__xludf.DUMMYFUNCTION("IF('Résultats des tournois'!AB$2=0,"""",LET(
lastVal, INDEX(FILTER($B39:AB39, ISNUMBER($B39:AB39)), COUNTA(FILTER($B39:AB39, ISNUMBER($B39:AB39)))),
IFERROR(
IF('Résultats des tournois'!AB39="""", INDEX(FILTER($C39:AB39, ISNUMBER($C39:AB39)), COUNTA(FILTE"&amp;"R($C39:AB39, ISNUMBER($C39:AB39)))),
lastVal + 'K dynamique'!AB39 * ((SQRT('Résultats des tournois'!AB$2 + 1)/'Résultats des tournois'!AB39) - (1 / (1 + 10^((AB$103 - lastVal)/400)))))
)
))"),"")</f>
        <v/>
      </c>
      <c r="AD39" s="32" t="str">
        <f>IFERROR(__xludf.DUMMYFUNCTION("IF('Résultats des tournois'!AC$2=0,"""",LET(
lastVal, INDEX(FILTER($B39:AC39, ISNUMBER($B39:AC39)), COUNTA(FILTER($B39:AC39, ISNUMBER($B39:AC39)))),
IFERROR(
IF('Résultats des tournois'!AC39="""", INDEX(FILTER($C39:AC39, ISNUMBER($C39:AC39)), COUNTA(FILTE"&amp;"R($C39:AC39, ISNUMBER($C39:AC39)))),
lastVal + 'K dynamique'!AC39 * ((SQRT('Résultats des tournois'!AC$2 + 1)/'Résultats des tournois'!AC39) - (1 / (1 + 10^((AC$103 - lastVal)/400)))))
)
))"),"")</f>
        <v/>
      </c>
      <c r="AE39" s="32" t="str">
        <f>IFERROR(__xludf.DUMMYFUNCTION("IF('Résultats des tournois'!AD$2=0,"""",LET(
lastVal, INDEX(FILTER($B39:AD39, ISNUMBER($B39:AD39)), COUNTA(FILTER($B39:AD39, ISNUMBER($B39:AD39)))),
IFERROR(
IF('Résultats des tournois'!AD39="""", INDEX(FILTER($C39:AD39, ISNUMBER($C39:AD39)), COUNTA(FILTE"&amp;"R($C39:AD39, ISNUMBER($C39:AD39)))),
lastVal + 'K dynamique'!AD39 * ((SQRT('Résultats des tournois'!AD$2 + 1)/'Résultats des tournois'!AD39) - (1 / (1 + 10^((AD$103 - lastVal)/400)))))
)
))"),"")</f>
        <v/>
      </c>
      <c r="AF39" s="32" t="str">
        <f>IFERROR(__xludf.DUMMYFUNCTION("IF('Résultats des tournois'!AE$2=0,"""",LET(
lastVal, INDEX(FILTER($B39:AE39, ISNUMBER($B39:AE39)), COUNTA(FILTER($B39:AE39, ISNUMBER($B39:AE39)))),
IFERROR(
IF('Résultats des tournois'!AE39="""", INDEX(FILTER($C39:AE39, ISNUMBER($C39:AE39)), COUNTA(FILTE"&amp;"R($C39:AE39, ISNUMBER($C39:AE39)))),
lastVal + 'K dynamique'!AE39 * ((SQRT('Résultats des tournois'!AE$2 + 1)/'Résultats des tournois'!AE39) - (1 / (1 + 10^((AE$103 - lastVal)/400)))))
)
))"),"")</f>
        <v/>
      </c>
      <c r="AG39" s="32" t="str">
        <f>IFERROR(__xludf.DUMMYFUNCTION("IF('Résultats des tournois'!AF$2=0,"""",LET(
lastVal, INDEX(FILTER($B39:AF39, ISNUMBER($B39:AF39)), COUNTA(FILTER($B39:AF39, ISNUMBER($B39:AF39)))),
IFERROR(
IF('Résultats des tournois'!AF39="""", INDEX(FILTER($C39:AF39, ISNUMBER($C39:AF39)), COUNTA(FILTE"&amp;"R($C39:AF39, ISNUMBER($C39:AF39)))),
lastVal + 'K dynamique'!AF39 * ((SQRT('Résultats des tournois'!AF$2 + 1)/'Résultats des tournois'!AF39) - (1 / (1 + 10^((AF$103 - lastVal)/400)))))
)
))"),"")</f>
        <v/>
      </c>
      <c r="AH39" s="32" t="str">
        <f>IFERROR(__xludf.DUMMYFUNCTION("IF('Résultats des tournois'!AG$2=0,"""",LET(
lastVal, INDEX(FILTER($B39:AG39, ISNUMBER($B39:AG39)), COUNTA(FILTER($B39:AG39, ISNUMBER($B39:AG39)))),
IFERROR(
IF('Résultats des tournois'!AG39="""", INDEX(FILTER($C39:AG39, ISNUMBER($C39:AG39)), COUNTA(FILTE"&amp;"R($C39:AG39, ISNUMBER($C39:AG39)))),
lastVal + 'K dynamique'!AG39 * ((SQRT('Résultats des tournois'!AG$2 + 1)/'Résultats des tournois'!AG39) - (1 / (1 + 10^((AG$103 - lastVal)/400)))))
)
))"),"")</f>
        <v/>
      </c>
      <c r="AI39" s="32" t="str">
        <f>IFERROR(__xludf.DUMMYFUNCTION("IF('Résultats des tournois'!AH$2=0,"""",LET(
lastVal, INDEX(FILTER($B39:AH39, ISNUMBER($B39:AH39)), COUNTA(FILTER($B39:AH39, ISNUMBER($B39:AH39)))),
IFERROR(
IF('Résultats des tournois'!AH39="""", INDEX(FILTER($C39:AH39, ISNUMBER($C39:AH39)), COUNTA(FILTE"&amp;"R($C39:AH39, ISNUMBER($C39:AH39)))),
lastVal + 'K dynamique'!AH39 * ((SQRT('Résultats des tournois'!AH$2 + 1)/'Résultats des tournois'!AH39) - (1 / (1 + 10^((AH$103 - lastVal)/400)))))
)
))"),"")</f>
        <v/>
      </c>
      <c r="AJ39" s="32" t="str">
        <f>IFERROR(__xludf.DUMMYFUNCTION("IF('Résultats des tournois'!AI$2=0,"""",LET(
lastVal, INDEX(FILTER($B39:AI39, ISNUMBER($B39:AI39)), COUNTA(FILTER($B39:AI39, ISNUMBER($B39:AI39)))),
IFERROR(
IF('Résultats des tournois'!AI39="""", INDEX(FILTER($C39:AI39, ISNUMBER($C39:AI39)), COUNTA(FILTE"&amp;"R($C39:AI39, ISNUMBER($C39:AI39)))),
lastVal + 'K dynamique'!AI39 * ((SQRT('Résultats des tournois'!AI$2 + 1)/'Résultats des tournois'!AI39) - (1 / (1 + 10^((AI$103 - lastVal)/400)))))
)
))"),"")</f>
        <v/>
      </c>
      <c r="AK39" s="32" t="str">
        <f>IFERROR(__xludf.DUMMYFUNCTION("IF('Résultats des tournois'!AJ$2=0,"""",LET(
lastVal, INDEX(FILTER($B39:AJ39, ISNUMBER($B39:AJ39)), COUNTA(FILTER($B39:AJ39, ISNUMBER($B39:AJ39)))),
IFERROR(
IF('Résultats des tournois'!AJ39="""", INDEX(FILTER($C39:AJ39, ISNUMBER($C39:AJ39)), COUNTA(FILTE"&amp;"R($C39:AJ39, ISNUMBER($C39:AJ39)))),
lastVal + 'K dynamique'!AJ39 * ((SQRT('Résultats des tournois'!AJ$2 + 1)/'Résultats des tournois'!AJ39) - (1 / (1 + 10^((AJ$103 - lastVal)/400)))))
)
))"),"")</f>
        <v/>
      </c>
      <c r="AL39" s="32" t="str">
        <f>IFERROR(__xludf.DUMMYFUNCTION("IF('Résultats des tournois'!AK$2=0,"""",LET(
lastVal, INDEX(FILTER($B39:AK39, ISNUMBER($B39:AK39)), COUNTA(FILTER($B39:AK39, ISNUMBER($B39:AK39)))),
IFERROR(
IF('Résultats des tournois'!AK39="""", INDEX(FILTER($C39:AK39, ISNUMBER($C39:AK39)), COUNTA(FILTE"&amp;"R($C39:AK39, ISNUMBER($C39:AK39)))),
lastVal + 'K dynamique'!AK39 * ((SQRT('Résultats des tournois'!AK$2 + 1)/'Résultats des tournois'!AK39) - (1 / (1 + 10^((AK$103 - lastVal)/400)))))
)
))"),"")</f>
        <v/>
      </c>
      <c r="AM39" s="32" t="str">
        <f>IFERROR(__xludf.DUMMYFUNCTION("IF('Résultats des tournois'!AL$2=0,"""",LET(
lastVal, INDEX(FILTER($B39:AL39, ISNUMBER($B39:AL39)), COUNTA(FILTER($B39:AL39, ISNUMBER($B39:AL39)))),
IFERROR(
IF('Résultats des tournois'!AL39="""", INDEX(FILTER($C39:AL39, ISNUMBER($C39:AL39)), COUNTA(FILTE"&amp;"R($C39:AL39, ISNUMBER($C39:AL39)))),
lastVal + 'K dynamique'!AL39 * ((SQRT('Résultats des tournois'!AL$2 + 1)/'Résultats des tournois'!AL39) - (1 / (1 + 10^((AL$103 - lastVal)/400)))))
)
))"),"")</f>
        <v/>
      </c>
      <c r="AN39" s="32" t="str">
        <f>IFERROR(__xludf.DUMMYFUNCTION("IF('Résultats des tournois'!AM$2=0,"""",LET(
lastVal, INDEX(FILTER($B39:AM39, ISNUMBER($B39:AM39)), COUNTA(FILTER($B39:AM39, ISNUMBER($B39:AM39)))),
IFERROR(
IF('Résultats des tournois'!AM39="""", INDEX(FILTER($C39:AM39, ISNUMBER($C39:AM39)), COUNTA(FILTE"&amp;"R($C39:AM39, ISNUMBER($C39:AM39)))),
lastVal + 'K dynamique'!AM39 * ((SQRT('Résultats des tournois'!AM$2 + 1)/'Résultats des tournois'!AM39) - (1 / (1 + 10^((AM$103 - lastVal)/400)))))
)
))"),"")</f>
        <v/>
      </c>
      <c r="AO39" s="32" t="str">
        <f>IFERROR(__xludf.DUMMYFUNCTION("IF('Résultats des tournois'!AN$2=0,"""",LET(
lastVal, INDEX(FILTER($B39:AN39, ISNUMBER($B39:AN39)), COUNTA(FILTER($B39:AN39, ISNUMBER($B39:AN39)))),
IFERROR(
IF('Résultats des tournois'!AN39="""", INDEX(FILTER($C39:AN39, ISNUMBER($C39:AN39)), COUNTA(FILTE"&amp;"R($C39:AN39, ISNUMBER($C39:AN39)))),
lastVal + 'K dynamique'!AN39 * ((SQRT('Résultats des tournois'!AN$2 + 1)/'Résultats des tournois'!AN39) - (1 / (1 + 10^((AN$103 - lastVal)/400)))))
)
))"),"")</f>
        <v/>
      </c>
      <c r="AP39" s="32" t="str">
        <f>IFERROR(__xludf.DUMMYFUNCTION("IF('Résultats des tournois'!AO$2=0,"""",LET(
lastVal, INDEX(FILTER($B39:AO39, ISNUMBER($B39:AO39)), COUNTA(FILTER($B39:AO39, ISNUMBER($B39:AO39)))),
IFERROR(
IF('Résultats des tournois'!AO39="""", INDEX(FILTER($C39:AO39, ISNUMBER($C39:AO39)), COUNTA(FILTE"&amp;"R($C39:AO39, ISNUMBER($C39:AO39)))),
lastVal + 'K dynamique'!AO39 * ((SQRT('Résultats des tournois'!AO$2 + 1)/'Résultats des tournois'!AO39) - (1 / (1 + 10^((AO$103 - lastVal)/400)))))
)
))"),"")</f>
        <v/>
      </c>
      <c r="AQ39" s="32" t="str">
        <f>IFERROR(__xludf.DUMMYFUNCTION("IF('Résultats des tournois'!AP$2=0,"""",LET(
lastVal, INDEX(FILTER($B39:AP39, ISNUMBER($B39:AP39)), COUNTA(FILTER($B39:AP39, ISNUMBER($B39:AP39)))),
IFERROR(
IF('Résultats des tournois'!AP39="""", INDEX(FILTER($C39:AP39, ISNUMBER($C39:AP39)), COUNTA(FILTE"&amp;"R($C39:AP39, ISNUMBER($C39:AP39)))),
lastVal + 'K dynamique'!AP39 * ((SQRT('Résultats des tournois'!AP$2 + 1)/'Résultats des tournois'!AP39) - (1 / (1 + 10^((AP$103 - lastVal)/400)))))
)
))"),"")</f>
        <v/>
      </c>
      <c r="AR39" s="32" t="str">
        <f>IFERROR(__xludf.DUMMYFUNCTION("IF('Résultats des tournois'!AQ$2=0,"""",LET(
lastVal, INDEX(FILTER($B39:AQ39, ISNUMBER($B39:AQ39)), COUNTA(FILTER($B39:AQ39, ISNUMBER($B39:AQ39)))),
IFERROR(
IF('Résultats des tournois'!AQ39="""", INDEX(FILTER($C39:AQ39, ISNUMBER($C39:AQ39)), COUNTA(FILTE"&amp;"R($C39:AQ39, ISNUMBER($C39:AQ39)))),
lastVal + 'K dynamique'!AQ39 * ((SQRT('Résultats des tournois'!AQ$2 + 1)/'Résultats des tournois'!AQ39) - (1 / (1 + 10^((AQ$103 - lastVal)/400)))))
)
))"),"")</f>
        <v/>
      </c>
      <c r="AS39" s="32" t="str">
        <f>IFERROR(__xludf.DUMMYFUNCTION("IF('Résultats des tournois'!AR$2=0,"""",LET(
lastVal, INDEX(FILTER($B39:AR39, ISNUMBER($B39:AR39)), COUNTA(FILTER($B39:AR39, ISNUMBER($B39:AR39)))),
IFERROR(
IF('Résultats des tournois'!AR39="""", INDEX(FILTER($C39:AR39, ISNUMBER($C39:AR39)), COUNTA(FILTE"&amp;"R($C39:AR39, ISNUMBER($C39:AR39)))),
lastVal + 'K dynamique'!AR39 * ((SQRT('Résultats des tournois'!AR$2 + 1)/'Résultats des tournois'!AR39) - (1 / (1 + 10^((AR$103 - lastVal)/400)))))
)
))"),"")</f>
        <v/>
      </c>
      <c r="AT39" s="32" t="str">
        <f>IFERROR(__xludf.DUMMYFUNCTION("IF('Résultats des tournois'!AS$2=0,"""",LET(
lastVal, INDEX(FILTER($B39:AS39, ISNUMBER($B39:AS39)), COUNTA(FILTER($B39:AS39, ISNUMBER($B39:AS39)))),
IFERROR(
IF('Résultats des tournois'!AS39="""", INDEX(FILTER($C39:AS39, ISNUMBER($C39:AS39)), COUNTA(FILTE"&amp;"R($C39:AS39, ISNUMBER($C39:AS39)))),
lastVal + 'K dynamique'!AS39 * ((SQRT('Résultats des tournois'!AS$2 + 1)/'Résultats des tournois'!AS39) - (1 / (1 + 10^((AS$103 - lastVal)/400)))))
)
))"),"")</f>
        <v/>
      </c>
      <c r="AU39" s="32" t="str">
        <f>IFERROR(__xludf.DUMMYFUNCTION("IF('Résultats des tournois'!AT$2=0,"""",LET(
lastVal, INDEX(FILTER($B39:AT39, ISNUMBER($B39:AT39)), COUNTA(FILTER($B39:AT39, ISNUMBER($B39:AT39)))),
IFERROR(
IF('Résultats des tournois'!AT39="""", INDEX(FILTER($C39:AT39, ISNUMBER($C39:AT39)), COUNTA(FILTE"&amp;"R($C39:AT39, ISNUMBER($C39:AT39)))),
lastVal + 'K dynamique'!AT39 * ((SQRT('Résultats des tournois'!AT$2 + 1)/'Résultats des tournois'!AT39) - (1 / (1 + 10^((AT$103 - lastVal)/400)))))
)
))"),"")</f>
        <v/>
      </c>
      <c r="AV39" s="32" t="str">
        <f>IFERROR(__xludf.DUMMYFUNCTION("IF('Résultats des tournois'!AU$2=0,"""",LET(
lastVal, INDEX(FILTER($B39:AU39, ISNUMBER($B39:AU39)), COUNTA(FILTER($B39:AU39, ISNUMBER($B39:AU39)))),
IFERROR(
IF('Résultats des tournois'!AU39="""", INDEX(FILTER($C39:AU39, ISNUMBER($C39:AU39)), COUNTA(FILTE"&amp;"R($C39:AU39, ISNUMBER($C39:AU39)))),
lastVal + 'K dynamique'!AU39 * ((SQRT('Résultats des tournois'!AU$2 + 1)/'Résultats des tournois'!AU39) - (1 / (1 + 10^((AU$103 - lastVal)/400)))))
)
))"),"")</f>
        <v/>
      </c>
      <c r="AW39" s="32" t="str">
        <f>IFERROR(__xludf.DUMMYFUNCTION("IF('Résultats des tournois'!AV$2=0,"""",LET(
lastVal, INDEX(FILTER($B39:AV39, ISNUMBER($B39:AV39)), COUNTA(FILTER($B39:AV39, ISNUMBER($B39:AV39)))),
IFERROR(
IF('Résultats des tournois'!AV39="""", INDEX(FILTER($C39:AV39, ISNUMBER($C39:AV39)), COUNTA(FILTE"&amp;"R($C39:AV39, ISNUMBER($C39:AV39)))),
lastVal + 'K dynamique'!AV39 * ((SQRT('Résultats des tournois'!AV$2 + 1)/'Résultats des tournois'!AV39) - (1 / (1 + 10^((AV$103 - lastVal)/400)))))
)
))"),"")</f>
        <v/>
      </c>
      <c r="AX39" s="32" t="str">
        <f>IFERROR(__xludf.DUMMYFUNCTION("IF('Résultats des tournois'!AW$2=0,"""",LET(
lastVal, INDEX(FILTER($B39:AW39, ISNUMBER($B39:AW39)), COUNTA(FILTER($B39:AW39, ISNUMBER($B39:AW39)))),
IFERROR(
IF('Résultats des tournois'!AW39="""", INDEX(FILTER($C39:AW39, ISNUMBER($C39:AW39)), COUNTA(FILTE"&amp;"R($C39:AW39, ISNUMBER($C39:AW39)))),
lastVal + 'K dynamique'!AW39 * ((SQRT('Résultats des tournois'!AW$2 + 1)/'Résultats des tournois'!AW39) - (1 / (1 + 10^((AW$103 - lastVal)/400)))))
)
))"),"")</f>
        <v/>
      </c>
      <c r="AY39" s="32" t="str">
        <f>IFERROR(__xludf.DUMMYFUNCTION("IF('Résultats des tournois'!AX$2=0,"""",LET(
lastVal, INDEX(FILTER($B39:AX39, ISNUMBER($B39:AX39)), COUNTA(FILTER($B39:AX39, ISNUMBER($B39:AX39)))),
IFERROR(
IF('Résultats des tournois'!AX39="""", INDEX(FILTER($C39:AX39, ISNUMBER($C39:AX39)), COUNTA(FILTE"&amp;"R($C39:AX39, ISNUMBER($C39:AX39)))),
lastVal + 'K dynamique'!AX39 * ((SQRT('Résultats des tournois'!AX$2 + 1)/'Résultats des tournois'!AX39) - (1 / (1 + 10^((AX$103 - lastVal)/400)))))
)
))"),"")</f>
        <v/>
      </c>
      <c r="AZ39" s="4" t="str">
        <f t="array" ref="AZ39">IF(MAX(($C39:AY39&lt;&gt;"")*COLUMN($C39:AY39))=0,"",INDEX($C39:AY39,1,MAX(($C39:AY39&lt;&gt;"")*COLUMN($C39:AY39))-COLUMN($C39)+1))</f>
        <v/>
      </c>
      <c r="BA39" s="33" t="str">
        <f t="shared" si="1"/>
        <v/>
      </c>
    </row>
    <row r="40" ht="14.25" customHeight="1">
      <c r="A40" s="32" t="str">
        <f>IF('Résultats des tournois'!A40="","",'Résultats des tournois'!A40)</f>
        <v/>
      </c>
      <c r="B40" s="32">
        <v>1500.0</v>
      </c>
      <c r="C40" s="32" t="str">
        <f>IF('Résultats des tournois'!B40="","",B40+'K dynamique'!B40*((SQRT('Résultats des tournois'!B$2+1)/'Résultats des tournois'!B40)-(1/(1+10^((B40-B40)/400)))))</f>
        <v/>
      </c>
      <c r="D40" s="32" t="str">
        <f>IFERROR(__xludf.DUMMYFUNCTION("IF('Résultats des tournois'!C$2=0,"""",LET(
lastVal, INDEX(FILTER($B40:C40, ISNUMBER($B40:C40)), COUNTA(FILTER($B40:C40, ISNUMBER($B40:C40)))),
IFERROR(
IF('Résultats des tournois'!C40="""", INDEX(FILTER($C40:C40, ISNUMBER($C40:C40)), COUNTA(FILTER($C40:C"&amp;"40, ISNUMBER($C40:C40)))),
lastVal + 'K dynamique'!C40 * ((SQRT('Résultats des tournois'!C$2 + 1)/'Résultats des tournois'!C40) - (1 / (1 + 10^((C$103 - lastVal)/400)))))
)
))"),"")</f>
        <v/>
      </c>
      <c r="E40" s="32" t="str">
        <f>IFERROR(__xludf.DUMMYFUNCTION("IF('Résultats des tournois'!D$2=0,"""",LET(
lastVal, INDEX(FILTER($B40:D40, ISNUMBER($B40:D40)), COUNTA(FILTER($B40:D40, ISNUMBER($B40:D40)))),
IFERROR(
IF('Résultats des tournois'!D40="""", INDEX(FILTER($C40:D40, ISNUMBER($C40:D40)), COUNTA(FILTER($C40:D"&amp;"40, ISNUMBER($C40:D40)))),
lastVal + 'K dynamique'!D40 * ((SQRT('Résultats des tournois'!D$2 + 1)/'Résultats des tournois'!D40) - (1 / (1 + 10^((D$103 - lastVal)/400)))))
)
))"),"")</f>
        <v/>
      </c>
      <c r="F40" s="32" t="str">
        <f>IFERROR(__xludf.DUMMYFUNCTION("IF('Résultats des tournois'!E$2=0,"""",LET(
lastVal, INDEX(FILTER($B40:E40, ISNUMBER($B40:E40)), COUNTA(FILTER($B40:E40, ISNUMBER($B40:E40)))),
IFERROR(
IF('Résultats des tournois'!E40="""", INDEX(FILTER($C40:E40, ISNUMBER($C40:E40)), COUNTA(FILTER($C40:E"&amp;"40, ISNUMBER($C40:E40)))),
lastVal + 'K dynamique'!E40 * ((SQRT('Résultats des tournois'!E$2 + 1)/'Résultats des tournois'!E40) - (1 / (1 + 10^((E$103 - lastVal)/400)))))
)
))"),"")</f>
        <v/>
      </c>
      <c r="G40" s="32" t="str">
        <f>IFERROR(__xludf.DUMMYFUNCTION("IF('Résultats des tournois'!F$2=0,"""",LET(
lastVal, INDEX(FILTER($B40:F40, ISNUMBER($B40:F40)), COUNTA(FILTER($B40:F40, ISNUMBER($B40:F40)))),
IFERROR(
IF('Résultats des tournois'!F40="""", INDEX(FILTER($C40:F40, ISNUMBER($C40:F40)), COUNTA(FILTER($C40:F"&amp;"40, ISNUMBER($C40:F40)))),
lastVal + 'K dynamique'!F40 * ((SQRT('Résultats des tournois'!F$2 + 1)/'Résultats des tournois'!F40) - (1 / (1 + 10^((F$103 - lastVal)/400)))))
)
))"),"")</f>
        <v/>
      </c>
      <c r="H40" s="32" t="str">
        <f>IFERROR(__xludf.DUMMYFUNCTION("IF('Résultats des tournois'!G$2=0,"""",LET(
lastVal, INDEX(FILTER($B40:G40, ISNUMBER($B40:G40)), COUNTA(FILTER($B40:G40, ISNUMBER($B40:G40)))),
IFERROR(
IF('Résultats des tournois'!G40="""", INDEX(FILTER($C40:G40, ISNUMBER($C40:G40)), COUNTA(FILTER($C40:G"&amp;"40, ISNUMBER($C40:G40)))),
lastVal + 'K dynamique'!G40 * ((SQRT('Résultats des tournois'!G$2 + 1)/'Résultats des tournois'!G40) - (1 / (1 + 10^((G$103 - lastVal)/400)))))
)
))"),"")</f>
        <v/>
      </c>
      <c r="I40" s="32" t="str">
        <f>IFERROR(__xludf.DUMMYFUNCTION("IF('Résultats des tournois'!H$2=0,"""",LET(
lastVal, INDEX(FILTER($B40:H40, ISNUMBER($B40:H40)), COUNTA(FILTER($B40:H40, ISNUMBER($B40:H40)))),
IFERROR(
IF('Résultats des tournois'!H40="""", INDEX(FILTER($C40:H40, ISNUMBER($C40:H40)), COUNTA(FILTER($C40:H"&amp;"40, ISNUMBER($C40:H40)))),
lastVal + 'K dynamique'!H40 * ((SQRT('Résultats des tournois'!H$2 + 1)/'Résultats des tournois'!H40) - (1 / (1 + 10^((H$103 - lastVal)/400)))))
)
))"),"")</f>
        <v/>
      </c>
      <c r="J40" s="32" t="str">
        <f>IFERROR(__xludf.DUMMYFUNCTION("IF('Résultats des tournois'!I$2=0,"""",LET(
lastVal, INDEX(FILTER($B40:I40, ISNUMBER($B40:I40)), COUNTA(FILTER($B40:I40, ISNUMBER($B40:I40)))),
IFERROR(
IF('Résultats des tournois'!I40="""", INDEX(FILTER($C40:I40, ISNUMBER($C40:I40)), COUNTA(FILTER($C40:I"&amp;"40, ISNUMBER($C40:I40)))),
lastVal + 'K dynamique'!I40 * ((SQRT('Résultats des tournois'!I$2 + 1)/'Résultats des tournois'!I40) - (1 / (1 + 10^((I$103 - lastVal)/400)))))
)
))"),"")</f>
        <v/>
      </c>
      <c r="K40" s="32" t="str">
        <f>IFERROR(__xludf.DUMMYFUNCTION("IF('Résultats des tournois'!J$2=0,"""",LET(
lastVal, INDEX(FILTER($B40:J40, ISNUMBER($B40:J40)), COUNTA(FILTER($B40:J40, ISNUMBER($B40:J40)))),
IFERROR(
IF('Résultats des tournois'!J40="""", INDEX(FILTER($C40:J40, ISNUMBER($C40:J40)), COUNTA(FILTER($C40:J"&amp;"40, ISNUMBER($C40:J40)))),
lastVal + 'K dynamique'!J40 * ((SQRT('Résultats des tournois'!J$2 + 1)/'Résultats des tournois'!J40) - (1 / (1 + 10^((J$103 - lastVal)/400)))))
)
))"),"")</f>
        <v/>
      </c>
      <c r="L40" s="32" t="str">
        <f>IFERROR(__xludf.DUMMYFUNCTION("IF('Résultats des tournois'!K$2=0,"""",LET(
lastVal, INDEX(FILTER($B40:K40, ISNUMBER($B40:K40)), COUNTA(FILTER($B40:K40, ISNUMBER($B40:K40)))),
IFERROR(
IF('Résultats des tournois'!K40="""", INDEX(FILTER($C40:K40, ISNUMBER($C40:K40)), COUNTA(FILTER($C40:K"&amp;"40, ISNUMBER($C40:K40)))),
lastVal + 'K dynamique'!K40 * ((SQRT('Résultats des tournois'!K$2 + 1)/'Résultats des tournois'!K40) - (1 / (1 + 10^((K$103 - lastVal)/400)))))
)
))"),"")</f>
        <v/>
      </c>
      <c r="M40" s="32" t="str">
        <f>IFERROR(__xludf.DUMMYFUNCTION("IF('Résultats des tournois'!L$2=0,"""",LET(
lastVal, INDEX(FILTER($B40:L40, ISNUMBER($B40:L40)), COUNTA(FILTER($B40:L40, ISNUMBER($B40:L40)))),
IFERROR(
IF('Résultats des tournois'!L40="""", INDEX(FILTER($C40:L40, ISNUMBER($C40:L40)), COUNTA(FILTER($C40:L"&amp;"40, ISNUMBER($C40:L40)))),
lastVal + 'K dynamique'!L40 * ((SQRT('Résultats des tournois'!L$2 + 1)/'Résultats des tournois'!L40) - (1 / (1 + 10^((L$103 - lastVal)/400)))))
)
))"),"")</f>
        <v/>
      </c>
      <c r="N40" s="32" t="str">
        <f>IFERROR(__xludf.DUMMYFUNCTION("IF('Résultats des tournois'!M$2=0,"""",LET(
lastVal, INDEX(FILTER($B40:M40, ISNUMBER($B40:M40)), COUNTA(FILTER($B40:M40, ISNUMBER($B40:M40)))),
IFERROR(
IF('Résultats des tournois'!M40="""", INDEX(FILTER($C40:M40, ISNUMBER($C40:M40)), COUNTA(FILTER($C40:M"&amp;"40, ISNUMBER($C40:M40)))),
lastVal + 'K dynamique'!M40 * ((SQRT('Résultats des tournois'!M$2 + 1)/'Résultats des tournois'!M40) - (1 / (1 + 10^((M$103 - lastVal)/400)))))
)
))"),"")</f>
        <v/>
      </c>
      <c r="O40" s="32" t="str">
        <f>IFERROR(__xludf.DUMMYFUNCTION("IF('Résultats des tournois'!N$2=0,"""",LET(
lastVal, INDEX(FILTER($B40:N40, ISNUMBER($B40:N40)), COUNTA(FILTER($B40:N40, ISNUMBER($B40:N40)))),
IFERROR(
IF('Résultats des tournois'!N40="""", INDEX(FILTER($C40:N40, ISNUMBER($C40:N40)), COUNTA(FILTER($C40:N"&amp;"40, ISNUMBER($C40:N40)))),
lastVal + 'K dynamique'!N40 * ((SQRT('Résultats des tournois'!N$2 + 1)/'Résultats des tournois'!N40) - (1 / (1 + 10^((N$103 - lastVal)/400)))))
)
))"),"")</f>
        <v/>
      </c>
      <c r="P40" s="32" t="str">
        <f>IFERROR(__xludf.DUMMYFUNCTION("IF('Résultats des tournois'!O$2=0,"""",LET(
lastVal, INDEX(FILTER($B40:O40, ISNUMBER($B40:O40)), COUNTA(FILTER($B40:O40, ISNUMBER($B40:O40)))),
IFERROR(
IF('Résultats des tournois'!O40="""", INDEX(FILTER($C40:O40, ISNUMBER($C40:O40)), COUNTA(FILTER($C40:O"&amp;"40, ISNUMBER($C40:O40)))),
lastVal + 'K dynamique'!O40 * ((SQRT('Résultats des tournois'!O$2 + 1)/'Résultats des tournois'!O40) - (1 / (1 + 10^((O$103 - lastVal)/400)))))
)
))"),"")</f>
        <v/>
      </c>
      <c r="Q40" s="32" t="str">
        <f>IFERROR(__xludf.DUMMYFUNCTION("IF('Résultats des tournois'!P$2=0,"""",LET(
lastVal, INDEX(FILTER($B40:P40, ISNUMBER($B40:P40)), COUNTA(FILTER($B40:P40, ISNUMBER($B40:P40)))),
IFERROR(
IF('Résultats des tournois'!P40="""", INDEX(FILTER($C40:P40, ISNUMBER($C40:P40)), COUNTA(FILTER($C40:P"&amp;"40, ISNUMBER($C40:P40)))),
lastVal + 'K dynamique'!P40 * ((SQRT('Résultats des tournois'!P$2 + 1)/'Résultats des tournois'!P40) - (1 / (1 + 10^((P$103 - lastVal)/400)))))
)
))"),"")</f>
        <v/>
      </c>
      <c r="R40" s="32" t="str">
        <f>IFERROR(__xludf.DUMMYFUNCTION("IF('Résultats des tournois'!Q$2=0,"""",LET(
lastVal, INDEX(FILTER($B40:Q40, ISNUMBER($B40:Q40)), COUNTA(FILTER($B40:Q40, ISNUMBER($B40:Q40)))),
IFERROR(
IF('Résultats des tournois'!Q40="""", INDEX(FILTER($C40:Q40, ISNUMBER($C40:Q40)), COUNTA(FILTER($C40:Q"&amp;"40, ISNUMBER($C40:Q40)))),
lastVal + 'K dynamique'!Q40 * ((SQRT('Résultats des tournois'!Q$2 + 1)/'Résultats des tournois'!Q40) - (1 / (1 + 10^((Q$103 - lastVal)/400)))))
)
))"),"")</f>
        <v/>
      </c>
      <c r="S40" s="32" t="str">
        <f>IFERROR(__xludf.DUMMYFUNCTION("IF('Résultats des tournois'!R$2=0,"""",LET(
lastVal, INDEX(FILTER($B40:R40, ISNUMBER($B40:R40)), COUNTA(FILTER($B40:R40, ISNUMBER($B40:R40)))),
IFERROR(
IF('Résultats des tournois'!R40="""", INDEX(FILTER($C40:R40, ISNUMBER($C40:R40)), COUNTA(FILTER($C40:R"&amp;"40, ISNUMBER($C40:R40)))),
lastVal + 'K dynamique'!R40 * ((SQRT('Résultats des tournois'!R$2 + 1)/'Résultats des tournois'!R40) - (1 / (1 + 10^((R$103 - lastVal)/400)))))
)
))"),"")</f>
        <v/>
      </c>
      <c r="T40" s="32" t="str">
        <f>IFERROR(__xludf.DUMMYFUNCTION("IF('Résultats des tournois'!S$2=0,"""",LET(
lastVal, INDEX(FILTER($B40:S40, ISNUMBER($B40:S40)), COUNTA(FILTER($B40:S40, ISNUMBER($B40:S40)))),
IFERROR(
IF('Résultats des tournois'!S40="""", INDEX(FILTER($C40:S40, ISNUMBER($C40:S40)), COUNTA(FILTER($C40:S"&amp;"40, ISNUMBER($C40:S40)))),
lastVal + 'K dynamique'!S40 * ((SQRT('Résultats des tournois'!S$2 + 1)/'Résultats des tournois'!S40) - (1 / (1 + 10^((S$103 - lastVal)/400)))))
)
))"),"")</f>
        <v/>
      </c>
      <c r="U40" s="32" t="str">
        <f>IFERROR(__xludf.DUMMYFUNCTION("IF('Résultats des tournois'!T$2=0,"""",LET(
lastVal, INDEX(FILTER($B40:T40, ISNUMBER($B40:T40)), COUNTA(FILTER($B40:T40, ISNUMBER($B40:T40)))),
IFERROR(
IF('Résultats des tournois'!T40="""", INDEX(FILTER($C40:T40, ISNUMBER($C40:T40)), COUNTA(FILTER($C40:T"&amp;"40, ISNUMBER($C40:T40)))),
lastVal + 'K dynamique'!T40 * ((SQRT('Résultats des tournois'!T$2 + 1)/'Résultats des tournois'!T40) - (1 / (1 + 10^((T$103 - lastVal)/400)))))
)
))"),"")</f>
        <v/>
      </c>
      <c r="V40" s="32" t="str">
        <f>IFERROR(__xludf.DUMMYFUNCTION("IF('Résultats des tournois'!U$2=0,"""",LET(
lastVal, INDEX(FILTER($B40:U40, ISNUMBER($B40:U40)), COUNTA(FILTER($B40:U40, ISNUMBER($B40:U40)))),
IFERROR(
IF('Résultats des tournois'!U40="""", INDEX(FILTER($C40:U40, ISNUMBER($C40:U40)), COUNTA(FILTER($C40:U"&amp;"40, ISNUMBER($C40:U40)))),
lastVal + 'K dynamique'!U40 * ((SQRT('Résultats des tournois'!U$2 + 1)/'Résultats des tournois'!U40) - (1 / (1 + 10^((U$103 - lastVal)/400)))))
)
))"),"")</f>
        <v/>
      </c>
      <c r="W40" s="32" t="str">
        <f>IFERROR(__xludf.DUMMYFUNCTION("IF('Résultats des tournois'!V$2=0,"""",LET(
lastVal, INDEX(FILTER($B40:V40, ISNUMBER($B40:V40)), COUNTA(FILTER($B40:V40, ISNUMBER($B40:V40)))),
IFERROR(
IF('Résultats des tournois'!V40="""", INDEX(FILTER($C40:V40, ISNUMBER($C40:V40)), COUNTA(FILTER($C40:V"&amp;"40, ISNUMBER($C40:V40)))),
lastVal + 'K dynamique'!V40 * ((SQRT('Résultats des tournois'!V$2 + 1)/'Résultats des tournois'!V40) - (1 / (1 + 10^((V$103 - lastVal)/400)))))
)
))"),"")</f>
        <v/>
      </c>
      <c r="X40" s="32" t="str">
        <f>IFERROR(__xludf.DUMMYFUNCTION("IF('Résultats des tournois'!W$2=0,"""",LET(
lastVal, INDEX(FILTER($B40:W40, ISNUMBER($B40:W40)), COUNTA(FILTER($B40:W40, ISNUMBER($B40:W40)))),
IFERROR(
IF('Résultats des tournois'!W40="""", INDEX(FILTER($C40:W40, ISNUMBER($C40:W40)), COUNTA(FILTER($C40:W"&amp;"40, ISNUMBER($C40:W40)))),
lastVal + 'K dynamique'!W40 * ((SQRT('Résultats des tournois'!W$2 + 1)/'Résultats des tournois'!W40) - (1 / (1 + 10^((W$103 - lastVal)/400)))))
)
))"),"")</f>
        <v/>
      </c>
      <c r="Y40" s="32" t="str">
        <f>IFERROR(__xludf.DUMMYFUNCTION("IF('Résultats des tournois'!X$2=0,"""",LET(
lastVal, INDEX(FILTER($B40:X40, ISNUMBER($B40:X40)), COUNTA(FILTER($B40:X40, ISNUMBER($B40:X40)))),
IFERROR(
IF('Résultats des tournois'!X40="""", INDEX(FILTER($C40:X40, ISNUMBER($C40:X40)), COUNTA(FILTER($C40:X"&amp;"40, ISNUMBER($C40:X40)))),
lastVal + 'K dynamique'!X40 * ((SQRT('Résultats des tournois'!X$2 + 1)/'Résultats des tournois'!X40) - (1 / (1 + 10^((X$103 - lastVal)/400)))))
)
))"),"")</f>
        <v/>
      </c>
      <c r="Z40" s="32" t="str">
        <f>IFERROR(__xludf.DUMMYFUNCTION("IF('Résultats des tournois'!Y$2=0,"""",LET(
lastVal, INDEX(FILTER($B40:Y40, ISNUMBER($B40:Y40)), COUNTA(FILTER($B40:Y40, ISNUMBER($B40:Y40)))),
IFERROR(
IF('Résultats des tournois'!Y40="""", INDEX(FILTER($C40:Y40, ISNUMBER($C40:Y40)), COUNTA(FILTER($C40:Y"&amp;"40, ISNUMBER($C40:Y40)))),
lastVal + 'K dynamique'!Y40 * ((SQRT('Résultats des tournois'!Y$2 + 1)/'Résultats des tournois'!Y40) - (1 / (1 + 10^((Y$103 - lastVal)/400)))))
)
))"),"")</f>
        <v/>
      </c>
      <c r="AA40" s="32" t="str">
        <f>IFERROR(__xludf.DUMMYFUNCTION("IF('Résultats des tournois'!Z$2=0,"""",LET(
lastVal, INDEX(FILTER($B40:Z40, ISNUMBER($B40:Z40)), COUNTA(FILTER($B40:Z40, ISNUMBER($B40:Z40)))),
IFERROR(
IF('Résultats des tournois'!Z40="""", INDEX(FILTER($C40:Z40, ISNUMBER($C40:Z40)), COUNTA(FILTER($C40:Z"&amp;"40, ISNUMBER($C40:Z40)))),
lastVal + 'K dynamique'!Z40 * ((SQRT('Résultats des tournois'!Z$2 + 1)/'Résultats des tournois'!Z40) - (1 / (1 + 10^((Z$103 - lastVal)/400)))))
)
))"),"")</f>
        <v/>
      </c>
      <c r="AB40" s="32" t="str">
        <f>IFERROR(__xludf.DUMMYFUNCTION("IF('Résultats des tournois'!AA$2=0,"""",LET(
lastVal, INDEX(FILTER($B40:AA40, ISNUMBER($B40:AA40)), COUNTA(FILTER($B40:AA40, ISNUMBER($B40:AA40)))),
IFERROR(
IF('Résultats des tournois'!AA40="""", INDEX(FILTER($C40:AA40, ISNUMBER($C40:AA40)), COUNTA(FILTE"&amp;"R($C40:AA40, ISNUMBER($C40:AA40)))),
lastVal + 'K dynamique'!AA40 * ((SQRT('Résultats des tournois'!AA$2 + 1)/'Résultats des tournois'!AA40) - (1 / (1 + 10^((AA$103 - lastVal)/400)))))
)
))"),"")</f>
        <v/>
      </c>
      <c r="AC40" s="32" t="str">
        <f>IFERROR(__xludf.DUMMYFUNCTION("IF('Résultats des tournois'!AB$2=0,"""",LET(
lastVal, INDEX(FILTER($B40:AB40, ISNUMBER($B40:AB40)), COUNTA(FILTER($B40:AB40, ISNUMBER($B40:AB40)))),
IFERROR(
IF('Résultats des tournois'!AB40="""", INDEX(FILTER($C40:AB40, ISNUMBER($C40:AB40)), COUNTA(FILTE"&amp;"R($C40:AB40, ISNUMBER($C40:AB40)))),
lastVal + 'K dynamique'!AB40 * ((SQRT('Résultats des tournois'!AB$2 + 1)/'Résultats des tournois'!AB40) - (1 / (1 + 10^((AB$103 - lastVal)/400)))))
)
))"),"")</f>
        <v/>
      </c>
      <c r="AD40" s="32" t="str">
        <f>IFERROR(__xludf.DUMMYFUNCTION("IF('Résultats des tournois'!AC$2=0,"""",LET(
lastVal, INDEX(FILTER($B40:AC40, ISNUMBER($B40:AC40)), COUNTA(FILTER($B40:AC40, ISNUMBER($B40:AC40)))),
IFERROR(
IF('Résultats des tournois'!AC40="""", INDEX(FILTER($C40:AC40, ISNUMBER($C40:AC40)), COUNTA(FILTE"&amp;"R($C40:AC40, ISNUMBER($C40:AC40)))),
lastVal + 'K dynamique'!AC40 * ((SQRT('Résultats des tournois'!AC$2 + 1)/'Résultats des tournois'!AC40) - (1 / (1 + 10^((AC$103 - lastVal)/400)))))
)
))"),"")</f>
        <v/>
      </c>
      <c r="AE40" s="32" t="str">
        <f>IFERROR(__xludf.DUMMYFUNCTION("IF('Résultats des tournois'!AD$2=0,"""",LET(
lastVal, INDEX(FILTER($B40:AD40, ISNUMBER($B40:AD40)), COUNTA(FILTER($B40:AD40, ISNUMBER($B40:AD40)))),
IFERROR(
IF('Résultats des tournois'!AD40="""", INDEX(FILTER($C40:AD40, ISNUMBER($C40:AD40)), COUNTA(FILTE"&amp;"R($C40:AD40, ISNUMBER($C40:AD40)))),
lastVal + 'K dynamique'!AD40 * ((SQRT('Résultats des tournois'!AD$2 + 1)/'Résultats des tournois'!AD40) - (1 / (1 + 10^((AD$103 - lastVal)/400)))))
)
))"),"")</f>
        <v/>
      </c>
      <c r="AF40" s="32" t="str">
        <f>IFERROR(__xludf.DUMMYFUNCTION("IF('Résultats des tournois'!AE$2=0,"""",LET(
lastVal, INDEX(FILTER($B40:AE40, ISNUMBER($B40:AE40)), COUNTA(FILTER($B40:AE40, ISNUMBER($B40:AE40)))),
IFERROR(
IF('Résultats des tournois'!AE40="""", INDEX(FILTER($C40:AE40, ISNUMBER($C40:AE40)), COUNTA(FILTE"&amp;"R($C40:AE40, ISNUMBER($C40:AE40)))),
lastVal + 'K dynamique'!AE40 * ((SQRT('Résultats des tournois'!AE$2 + 1)/'Résultats des tournois'!AE40) - (1 / (1 + 10^((AE$103 - lastVal)/400)))))
)
))"),"")</f>
        <v/>
      </c>
      <c r="AG40" s="32" t="str">
        <f>IFERROR(__xludf.DUMMYFUNCTION("IF('Résultats des tournois'!AF$2=0,"""",LET(
lastVal, INDEX(FILTER($B40:AF40, ISNUMBER($B40:AF40)), COUNTA(FILTER($B40:AF40, ISNUMBER($B40:AF40)))),
IFERROR(
IF('Résultats des tournois'!AF40="""", INDEX(FILTER($C40:AF40, ISNUMBER($C40:AF40)), COUNTA(FILTE"&amp;"R($C40:AF40, ISNUMBER($C40:AF40)))),
lastVal + 'K dynamique'!AF40 * ((SQRT('Résultats des tournois'!AF$2 + 1)/'Résultats des tournois'!AF40) - (1 / (1 + 10^((AF$103 - lastVal)/400)))))
)
))"),"")</f>
        <v/>
      </c>
      <c r="AH40" s="32" t="str">
        <f>IFERROR(__xludf.DUMMYFUNCTION("IF('Résultats des tournois'!AG$2=0,"""",LET(
lastVal, INDEX(FILTER($B40:AG40, ISNUMBER($B40:AG40)), COUNTA(FILTER($B40:AG40, ISNUMBER($B40:AG40)))),
IFERROR(
IF('Résultats des tournois'!AG40="""", INDEX(FILTER($C40:AG40, ISNUMBER($C40:AG40)), COUNTA(FILTE"&amp;"R($C40:AG40, ISNUMBER($C40:AG40)))),
lastVal + 'K dynamique'!AG40 * ((SQRT('Résultats des tournois'!AG$2 + 1)/'Résultats des tournois'!AG40) - (1 / (1 + 10^((AG$103 - lastVal)/400)))))
)
))"),"")</f>
        <v/>
      </c>
      <c r="AI40" s="32" t="str">
        <f>IFERROR(__xludf.DUMMYFUNCTION("IF('Résultats des tournois'!AH$2=0,"""",LET(
lastVal, INDEX(FILTER($B40:AH40, ISNUMBER($B40:AH40)), COUNTA(FILTER($B40:AH40, ISNUMBER($B40:AH40)))),
IFERROR(
IF('Résultats des tournois'!AH40="""", INDEX(FILTER($C40:AH40, ISNUMBER($C40:AH40)), COUNTA(FILTE"&amp;"R($C40:AH40, ISNUMBER($C40:AH40)))),
lastVal + 'K dynamique'!AH40 * ((SQRT('Résultats des tournois'!AH$2 + 1)/'Résultats des tournois'!AH40) - (1 / (1 + 10^((AH$103 - lastVal)/400)))))
)
))"),"")</f>
        <v/>
      </c>
      <c r="AJ40" s="32" t="str">
        <f>IFERROR(__xludf.DUMMYFUNCTION("IF('Résultats des tournois'!AI$2=0,"""",LET(
lastVal, INDEX(FILTER($B40:AI40, ISNUMBER($B40:AI40)), COUNTA(FILTER($B40:AI40, ISNUMBER($B40:AI40)))),
IFERROR(
IF('Résultats des tournois'!AI40="""", INDEX(FILTER($C40:AI40, ISNUMBER($C40:AI40)), COUNTA(FILTE"&amp;"R($C40:AI40, ISNUMBER($C40:AI40)))),
lastVal + 'K dynamique'!AI40 * ((SQRT('Résultats des tournois'!AI$2 + 1)/'Résultats des tournois'!AI40) - (1 / (1 + 10^((AI$103 - lastVal)/400)))))
)
))"),"")</f>
        <v/>
      </c>
      <c r="AK40" s="32" t="str">
        <f>IFERROR(__xludf.DUMMYFUNCTION("IF('Résultats des tournois'!AJ$2=0,"""",LET(
lastVal, INDEX(FILTER($B40:AJ40, ISNUMBER($B40:AJ40)), COUNTA(FILTER($B40:AJ40, ISNUMBER($B40:AJ40)))),
IFERROR(
IF('Résultats des tournois'!AJ40="""", INDEX(FILTER($C40:AJ40, ISNUMBER($C40:AJ40)), COUNTA(FILTE"&amp;"R($C40:AJ40, ISNUMBER($C40:AJ40)))),
lastVal + 'K dynamique'!AJ40 * ((SQRT('Résultats des tournois'!AJ$2 + 1)/'Résultats des tournois'!AJ40) - (1 / (1 + 10^((AJ$103 - lastVal)/400)))))
)
))"),"")</f>
        <v/>
      </c>
      <c r="AL40" s="32" t="str">
        <f>IFERROR(__xludf.DUMMYFUNCTION("IF('Résultats des tournois'!AK$2=0,"""",LET(
lastVal, INDEX(FILTER($B40:AK40, ISNUMBER($B40:AK40)), COUNTA(FILTER($B40:AK40, ISNUMBER($B40:AK40)))),
IFERROR(
IF('Résultats des tournois'!AK40="""", INDEX(FILTER($C40:AK40, ISNUMBER($C40:AK40)), COUNTA(FILTE"&amp;"R($C40:AK40, ISNUMBER($C40:AK40)))),
lastVal + 'K dynamique'!AK40 * ((SQRT('Résultats des tournois'!AK$2 + 1)/'Résultats des tournois'!AK40) - (1 / (1 + 10^((AK$103 - lastVal)/400)))))
)
))"),"")</f>
        <v/>
      </c>
      <c r="AM40" s="32" t="str">
        <f>IFERROR(__xludf.DUMMYFUNCTION("IF('Résultats des tournois'!AL$2=0,"""",LET(
lastVal, INDEX(FILTER($B40:AL40, ISNUMBER($B40:AL40)), COUNTA(FILTER($B40:AL40, ISNUMBER($B40:AL40)))),
IFERROR(
IF('Résultats des tournois'!AL40="""", INDEX(FILTER($C40:AL40, ISNUMBER($C40:AL40)), COUNTA(FILTE"&amp;"R($C40:AL40, ISNUMBER($C40:AL40)))),
lastVal + 'K dynamique'!AL40 * ((SQRT('Résultats des tournois'!AL$2 + 1)/'Résultats des tournois'!AL40) - (1 / (1 + 10^((AL$103 - lastVal)/400)))))
)
))"),"")</f>
        <v/>
      </c>
      <c r="AN40" s="32" t="str">
        <f>IFERROR(__xludf.DUMMYFUNCTION("IF('Résultats des tournois'!AM$2=0,"""",LET(
lastVal, INDEX(FILTER($B40:AM40, ISNUMBER($B40:AM40)), COUNTA(FILTER($B40:AM40, ISNUMBER($B40:AM40)))),
IFERROR(
IF('Résultats des tournois'!AM40="""", INDEX(FILTER($C40:AM40, ISNUMBER($C40:AM40)), COUNTA(FILTE"&amp;"R($C40:AM40, ISNUMBER($C40:AM40)))),
lastVal + 'K dynamique'!AM40 * ((SQRT('Résultats des tournois'!AM$2 + 1)/'Résultats des tournois'!AM40) - (1 / (1 + 10^((AM$103 - lastVal)/400)))))
)
))"),"")</f>
        <v/>
      </c>
      <c r="AO40" s="32" t="str">
        <f>IFERROR(__xludf.DUMMYFUNCTION("IF('Résultats des tournois'!AN$2=0,"""",LET(
lastVal, INDEX(FILTER($B40:AN40, ISNUMBER($B40:AN40)), COUNTA(FILTER($B40:AN40, ISNUMBER($B40:AN40)))),
IFERROR(
IF('Résultats des tournois'!AN40="""", INDEX(FILTER($C40:AN40, ISNUMBER($C40:AN40)), COUNTA(FILTE"&amp;"R($C40:AN40, ISNUMBER($C40:AN40)))),
lastVal + 'K dynamique'!AN40 * ((SQRT('Résultats des tournois'!AN$2 + 1)/'Résultats des tournois'!AN40) - (1 / (1 + 10^((AN$103 - lastVal)/400)))))
)
))"),"")</f>
        <v/>
      </c>
      <c r="AP40" s="32" t="str">
        <f>IFERROR(__xludf.DUMMYFUNCTION("IF('Résultats des tournois'!AO$2=0,"""",LET(
lastVal, INDEX(FILTER($B40:AO40, ISNUMBER($B40:AO40)), COUNTA(FILTER($B40:AO40, ISNUMBER($B40:AO40)))),
IFERROR(
IF('Résultats des tournois'!AO40="""", INDEX(FILTER($C40:AO40, ISNUMBER($C40:AO40)), COUNTA(FILTE"&amp;"R($C40:AO40, ISNUMBER($C40:AO40)))),
lastVal + 'K dynamique'!AO40 * ((SQRT('Résultats des tournois'!AO$2 + 1)/'Résultats des tournois'!AO40) - (1 / (1 + 10^((AO$103 - lastVal)/400)))))
)
))"),"")</f>
        <v/>
      </c>
      <c r="AQ40" s="32" t="str">
        <f>IFERROR(__xludf.DUMMYFUNCTION("IF('Résultats des tournois'!AP$2=0,"""",LET(
lastVal, INDEX(FILTER($B40:AP40, ISNUMBER($B40:AP40)), COUNTA(FILTER($B40:AP40, ISNUMBER($B40:AP40)))),
IFERROR(
IF('Résultats des tournois'!AP40="""", INDEX(FILTER($C40:AP40, ISNUMBER($C40:AP40)), COUNTA(FILTE"&amp;"R($C40:AP40, ISNUMBER($C40:AP40)))),
lastVal + 'K dynamique'!AP40 * ((SQRT('Résultats des tournois'!AP$2 + 1)/'Résultats des tournois'!AP40) - (1 / (1 + 10^((AP$103 - lastVal)/400)))))
)
))"),"")</f>
        <v/>
      </c>
      <c r="AR40" s="32" t="str">
        <f>IFERROR(__xludf.DUMMYFUNCTION("IF('Résultats des tournois'!AQ$2=0,"""",LET(
lastVal, INDEX(FILTER($B40:AQ40, ISNUMBER($B40:AQ40)), COUNTA(FILTER($B40:AQ40, ISNUMBER($B40:AQ40)))),
IFERROR(
IF('Résultats des tournois'!AQ40="""", INDEX(FILTER($C40:AQ40, ISNUMBER($C40:AQ40)), COUNTA(FILTE"&amp;"R($C40:AQ40, ISNUMBER($C40:AQ40)))),
lastVal + 'K dynamique'!AQ40 * ((SQRT('Résultats des tournois'!AQ$2 + 1)/'Résultats des tournois'!AQ40) - (1 / (1 + 10^((AQ$103 - lastVal)/400)))))
)
))"),"")</f>
        <v/>
      </c>
      <c r="AS40" s="32" t="str">
        <f>IFERROR(__xludf.DUMMYFUNCTION("IF('Résultats des tournois'!AR$2=0,"""",LET(
lastVal, INDEX(FILTER($B40:AR40, ISNUMBER($B40:AR40)), COUNTA(FILTER($B40:AR40, ISNUMBER($B40:AR40)))),
IFERROR(
IF('Résultats des tournois'!AR40="""", INDEX(FILTER($C40:AR40, ISNUMBER($C40:AR40)), COUNTA(FILTE"&amp;"R($C40:AR40, ISNUMBER($C40:AR40)))),
lastVal + 'K dynamique'!AR40 * ((SQRT('Résultats des tournois'!AR$2 + 1)/'Résultats des tournois'!AR40) - (1 / (1 + 10^((AR$103 - lastVal)/400)))))
)
))"),"")</f>
        <v/>
      </c>
      <c r="AT40" s="32" t="str">
        <f>IFERROR(__xludf.DUMMYFUNCTION("IF('Résultats des tournois'!AS$2=0,"""",LET(
lastVal, INDEX(FILTER($B40:AS40, ISNUMBER($B40:AS40)), COUNTA(FILTER($B40:AS40, ISNUMBER($B40:AS40)))),
IFERROR(
IF('Résultats des tournois'!AS40="""", INDEX(FILTER($C40:AS40, ISNUMBER($C40:AS40)), COUNTA(FILTE"&amp;"R($C40:AS40, ISNUMBER($C40:AS40)))),
lastVal + 'K dynamique'!AS40 * ((SQRT('Résultats des tournois'!AS$2 + 1)/'Résultats des tournois'!AS40) - (1 / (1 + 10^((AS$103 - lastVal)/400)))))
)
))"),"")</f>
        <v/>
      </c>
      <c r="AU40" s="32" t="str">
        <f>IFERROR(__xludf.DUMMYFUNCTION("IF('Résultats des tournois'!AT$2=0,"""",LET(
lastVal, INDEX(FILTER($B40:AT40, ISNUMBER($B40:AT40)), COUNTA(FILTER($B40:AT40, ISNUMBER($B40:AT40)))),
IFERROR(
IF('Résultats des tournois'!AT40="""", INDEX(FILTER($C40:AT40, ISNUMBER($C40:AT40)), COUNTA(FILTE"&amp;"R($C40:AT40, ISNUMBER($C40:AT40)))),
lastVal + 'K dynamique'!AT40 * ((SQRT('Résultats des tournois'!AT$2 + 1)/'Résultats des tournois'!AT40) - (1 / (1 + 10^((AT$103 - lastVal)/400)))))
)
))"),"")</f>
        <v/>
      </c>
      <c r="AV40" s="32" t="str">
        <f>IFERROR(__xludf.DUMMYFUNCTION("IF('Résultats des tournois'!AU$2=0,"""",LET(
lastVal, INDEX(FILTER($B40:AU40, ISNUMBER($B40:AU40)), COUNTA(FILTER($B40:AU40, ISNUMBER($B40:AU40)))),
IFERROR(
IF('Résultats des tournois'!AU40="""", INDEX(FILTER($C40:AU40, ISNUMBER($C40:AU40)), COUNTA(FILTE"&amp;"R($C40:AU40, ISNUMBER($C40:AU40)))),
lastVal + 'K dynamique'!AU40 * ((SQRT('Résultats des tournois'!AU$2 + 1)/'Résultats des tournois'!AU40) - (1 / (1 + 10^((AU$103 - lastVal)/400)))))
)
))"),"")</f>
        <v/>
      </c>
      <c r="AW40" s="32" t="str">
        <f>IFERROR(__xludf.DUMMYFUNCTION("IF('Résultats des tournois'!AV$2=0,"""",LET(
lastVal, INDEX(FILTER($B40:AV40, ISNUMBER($B40:AV40)), COUNTA(FILTER($B40:AV40, ISNUMBER($B40:AV40)))),
IFERROR(
IF('Résultats des tournois'!AV40="""", INDEX(FILTER($C40:AV40, ISNUMBER($C40:AV40)), COUNTA(FILTE"&amp;"R($C40:AV40, ISNUMBER($C40:AV40)))),
lastVal + 'K dynamique'!AV40 * ((SQRT('Résultats des tournois'!AV$2 + 1)/'Résultats des tournois'!AV40) - (1 / (1 + 10^((AV$103 - lastVal)/400)))))
)
))"),"")</f>
        <v/>
      </c>
      <c r="AX40" s="32" t="str">
        <f>IFERROR(__xludf.DUMMYFUNCTION("IF('Résultats des tournois'!AW$2=0,"""",LET(
lastVal, INDEX(FILTER($B40:AW40, ISNUMBER($B40:AW40)), COUNTA(FILTER($B40:AW40, ISNUMBER($B40:AW40)))),
IFERROR(
IF('Résultats des tournois'!AW40="""", INDEX(FILTER($C40:AW40, ISNUMBER($C40:AW40)), COUNTA(FILTE"&amp;"R($C40:AW40, ISNUMBER($C40:AW40)))),
lastVal + 'K dynamique'!AW40 * ((SQRT('Résultats des tournois'!AW$2 + 1)/'Résultats des tournois'!AW40) - (1 / (1 + 10^((AW$103 - lastVal)/400)))))
)
))"),"")</f>
        <v/>
      </c>
      <c r="AY40" s="32" t="str">
        <f>IFERROR(__xludf.DUMMYFUNCTION("IF('Résultats des tournois'!AX$2=0,"""",LET(
lastVal, INDEX(FILTER($B40:AX40, ISNUMBER($B40:AX40)), COUNTA(FILTER($B40:AX40, ISNUMBER($B40:AX40)))),
IFERROR(
IF('Résultats des tournois'!AX40="""", INDEX(FILTER($C40:AX40, ISNUMBER($C40:AX40)), COUNTA(FILTE"&amp;"R($C40:AX40, ISNUMBER($C40:AX40)))),
lastVal + 'K dynamique'!AX40 * ((SQRT('Résultats des tournois'!AX$2 + 1)/'Résultats des tournois'!AX40) - (1 / (1 + 10^((AX$103 - lastVal)/400)))))
)
))"),"")</f>
        <v/>
      </c>
      <c r="AZ40" s="4" t="str">
        <f t="array" ref="AZ40">IF(MAX(($C40:AY40&lt;&gt;"")*COLUMN($C40:AY40))=0,"",INDEX($C40:AY40,1,MAX(($C40:AY40&lt;&gt;"")*COLUMN($C40:AY40))-COLUMN($C40)+1))</f>
        <v/>
      </c>
      <c r="BA40" s="33" t="str">
        <f t="shared" si="1"/>
        <v/>
      </c>
    </row>
    <row r="41" ht="14.25" customHeight="1">
      <c r="A41" s="32" t="str">
        <f>IF('Résultats des tournois'!A41="","",'Résultats des tournois'!A41)</f>
        <v/>
      </c>
      <c r="B41" s="32">
        <v>1500.0</v>
      </c>
      <c r="C41" s="32" t="str">
        <f>IF('Résultats des tournois'!B41="","",B41+'K dynamique'!B41*((SQRT('Résultats des tournois'!B$2+1)/'Résultats des tournois'!B41)-(1/(1+10^((B41-B41)/400)))))</f>
        <v/>
      </c>
      <c r="D41" s="32" t="str">
        <f>IFERROR(__xludf.DUMMYFUNCTION("IF('Résultats des tournois'!C$2=0,"""",LET(
lastVal, INDEX(FILTER($B41:C41, ISNUMBER($B41:C41)), COUNTA(FILTER($B41:C41, ISNUMBER($B41:C41)))),
IFERROR(
IF('Résultats des tournois'!C41="""", INDEX(FILTER($C41:C41, ISNUMBER($C41:C41)), COUNTA(FILTER($C41:C"&amp;"41, ISNUMBER($C41:C41)))),
lastVal + 'K dynamique'!C41 * ((SQRT('Résultats des tournois'!C$2 + 1)/'Résultats des tournois'!C41) - (1 / (1 + 10^((C$103 - lastVal)/400)))))
)
))"),"")</f>
        <v/>
      </c>
      <c r="E41" s="32" t="str">
        <f>IFERROR(__xludf.DUMMYFUNCTION("IF('Résultats des tournois'!D$2=0,"""",LET(
lastVal, INDEX(FILTER($B41:D41, ISNUMBER($B41:D41)), COUNTA(FILTER($B41:D41, ISNUMBER($B41:D41)))),
IFERROR(
IF('Résultats des tournois'!D41="""", INDEX(FILTER($C41:D41, ISNUMBER($C41:D41)), COUNTA(FILTER($C41:D"&amp;"41, ISNUMBER($C41:D41)))),
lastVal + 'K dynamique'!D41 * ((SQRT('Résultats des tournois'!D$2 + 1)/'Résultats des tournois'!D41) - (1 / (1 + 10^((D$103 - lastVal)/400)))))
)
))"),"")</f>
        <v/>
      </c>
      <c r="F41" s="32" t="str">
        <f>IFERROR(__xludf.DUMMYFUNCTION("IF('Résultats des tournois'!E$2=0,"""",LET(
lastVal, INDEX(FILTER($B41:E41, ISNUMBER($B41:E41)), COUNTA(FILTER($B41:E41, ISNUMBER($B41:E41)))),
IFERROR(
IF('Résultats des tournois'!E41="""", INDEX(FILTER($C41:E41, ISNUMBER($C41:E41)), COUNTA(FILTER($C41:E"&amp;"41, ISNUMBER($C41:E41)))),
lastVal + 'K dynamique'!E41 * ((SQRT('Résultats des tournois'!E$2 + 1)/'Résultats des tournois'!E41) - (1 / (1 + 10^((E$103 - lastVal)/400)))))
)
))"),"")</f>
        <v/>
      </c>
      <c r="G41" s="32" t="str">
        <f>IFERROR(__xludf.DUMMYFUNCTION("IF('Résultats des tournois'!F$2=0,"""",LET(
lastVal, INDEX(FILTER($B41:F41, ISNUMBER($B41:F41)), COUNTA(FILTER($B41:F41, ISNUMBER($B41:F41)))),
IFERROR(
IF('Résultats des tournois'!F41="""", INDEX(FILTER($C41:F41, ISNUMBER($C41:F41)), COUNTA(FILTER($C41:F"&amp;"41, ISNUMBER($C41:F41)))),
lastVal + 'K dynamique'!F41 * ((SQRT('Résultats des tournois'!F$2 + 1)/'Résultats des tournois'!F41) - (1 / (1 + 10^((F$103 - lastVal)/400)))))
)
))"),"")</f>
        <v/>
      </c>
      <c r="H41" s="32" t="str">
        <f>IFERROR(__xludf.DUMMYFUNCTION("IF('Résultats des tournois'!G$2=0,"""",LET(
lastVal, INDEX(FILTER($B41:G41, ISNUMBER($B41:G41)), COUNTA(FILTER($B41:G41, ISNUMBER($B41:G41)))),
IFERROR(
IF('Résultats des tournois'!G41="""", INDEX(FILTER($C41:G41, ISNUMBER($C41:G41)), COUNTA(FILTER($C41:G"&amp;"41, ISNUMBER($C41:G41)))),
lastVal + 'K dynamique'!G41 * ((SQRT('Résultats des tournois'!G$2 + 1)/'Résultats des tournois'!G41) - (1 / (1 + 10^((G$103 - lastVal)/400)))))
)
))"),"")</f>
        <v/>
      </c>
      <c r="I41" s="32" t="str">
        <f>IFERROR(__xludf.DUMMYFUNCTION("IF('Résultats des tournois'!H$2=0,"""",LET(
lastVal, INDEX(FILTER($B41:H41, ISNUMBER($B41:H41)), COUNTA(FILTER($B41:H41, ISNUMBER($B41:H41)))),
IFERROR(
IF('Résultats des tournois'!H41="""", INDEX(FILTER($C41:H41, ISNUMBER($C41:H41)), COUNTA(FILTER($C41:H"&amp;"41, ISNUMBER($C41:H41)))),
lastVal + 'K dynamique'!H41 * ((SQRT('Résultats des tournois'!H$2 + 1)/'Résultats des tournois'!H41) - (1 / (1 + 10^((H$103 - lastVal)/400)))))
)
))"),"")</f>
        <v/>
      </c>
      <c r="J41" s="32" t="str">
        <f>IFERROR(__xludf.DUMMYFUNCTION("IF('Résultats des tournois'!I$2=0,"""",LET(
lastVal, INDEX(FILTER($B41:I41, ISNUMBER($B41:I41)), COUNTA(FILTER($B41:I41, ISNUMBER($B41:I41)))),
IFERROR(
IF('Résultats des tournois'!I41="""", INDEX(FILTER($C41:I41, ISNUMBER($C41:I41)), COUNTA(FILTER($C41:I"&amp;"41, ISNUMBER($C41:I41)))),
lastVal + 'K dynamique'!I41 * ((SQRT('Résultats des tournois'!I$2 + 1)/'Résultats des tournois'!I41) - (1 / (1 + 10^((I$103 - lastVal)/400)))))
)
))"),"")</f>
        <v/>
      </c>
      <c r="K41" s="32" t="str">
        <f>IFERROR(__xludf.DUMMYFUNCTION("IF('Résultats des tournois'!J$2=0,"""",LET(
lastVal, INDEX(FILTER($B41:J41, ISNUMBER($B41:J41)), COUNTA(FILTER($B41:J41, ISNUMBER($B41:J41)))),
IFERROR(
IF('Résultats des tournois'!J41="""", INDEX(FILTER($C41:J41, ISNUMBER($C41:J41)), COUNTA(FILTER($C41:J"&amp;"41, ISNUMBER($C41:J41)))),
lastVal + 'K dynamique'!J41 * ((SQRT('Résultats des tournois'!J$2 + 1)/'Résultats des tournois'!J41) - (1 / (1 + 10^((J$103 - lastVal)/400)))))
)
))"),"")</f>
        <v/>
      </c>
      <c r="L41" s="32" t="str">
        <f>IFERROR(__xludf.DUMMYFUNCTION("IF('Résultats des tournois'!K$2=0,"""",LET(
lastVal, INDEX(FILTER($B41:K41, ISNUMBER($B41:K41)), COUNTA(FILTER($B41:K41, ISNUMBER($B41:K41)))),
IFERROR(
IF('Résultats des tournois'!K41="""", INDEX(FILTER($C41:K41, ISNUMBER($C41:K41)), COUNTA(FILTER($C41:K"&amp;"41, ISNUMBER($C41:K41)))),
lastVal + 'K dynamique'!K41 * ((SQRT('Résultats des tournois'!K$2 + 1)/'Résultats des tournois'!K41) - (1 / (1 + 10^((K$103 - lastVal)/400)))))
)
))"),"")</f>
        <v/>
      </c>
      <c r="M41" s="32" t="str">
        <f>IFERROR(__xludf.DUMMYFUNCTION("IF('Résultats des tournois'!L$2=0,"""",LET(
lastVal, INDEX(FILTER($B41:L41, ISNUMBER($B41:L41)), COUNTA(FILTER($B41:L41, ISNUMBER($B41:L41)))),
IFERROR(
IF('Résultats des tournois'!L41="""", INDEX(FILTER($C41:L41, ISNUMBER($C41:L41)), COUNTA(FILTER($C41:L"&amp;"41, ISNUMBER($C41:L41)))),
lastVal + 'K dynamique'!L41 * ((SQRT('Résultats des tournois'!L$2 + 1)/'Résultats des tournois'!L41) - (1 / (1 + 10^((L$103 - lastVal)/400)))))
)
))"),"")</f>
        <v/>
      </c>
      <c r="N41" s="32" t="str">
        <f>IFERROR(__xludf.DUMMYFUNCTION("IF('Résultats des tournois'!M$2=0,"""",LET(
lastVal, INDEX(FILTER($B41:M41, ISNUMBER($B41:M41)), COUNTA(FILTER($B41:M41, ISNUMBER($B41:M41)))),
IFERROR(
IF('Résultats des tournois'!M41="""", INDEX(FILTER($C41:M41, ISNUMBER($C41:M41)), COUNTA(FILTER($C41:M"&amp;"41, ISNUMBER($C41:M41)))),
lastVal + 'K dynamique'!M41 * ((SQRT('Résultats des tournois'!M$2 + 1)/'Résultats des tournois'!M41) - (1 / (1 + 10^((M$103 - lastVal)/400)))))
)
))"),"")</f>
        <v/>
      </c>
      <c r="O41" s="32" t="str">
        <f>IFERROR(__xludf.DUMMYFUNCTION("IF('Résultats des tournois'!N$2=0,"""",LET(
lastVal, INDEX(FILTER($B41:N41, ISNUMBER($B41:N41)), COUNTA(FILTER($B41:N41, ISNUMBER($B41:N41)))),
IFERROR(
IF('Résultats des tournois'!N41="""", INDEX(FILTER($C41:N41, ISNUMBER($C41:N41)), COUNTA(FILTER($C41:N"&amp;"41, ISNUMBER($C41:N41)))),
lastVal + 'K dynamique'!N41 * ((SQRT('Résultats des tournois'!N$2 + 1)/'Résultats des tournois'!N41) - (1 / (1 + 10^((N$103 - lastVal)/400)))))
)
))"),"")</f>
        <v/>
      </c>
      <c r="P41" s="32" t="str">
        <f>IFERROR(__xludf.DUMMYFUNCTION("IF('Résultats des tournois'!O$2=0,"""",LET(
lastVal, INDEX(FILTER($B41:O41, ISNUMBER($B41:O41)), COUNTA(FILTER($B41:O41, ISNUMBER($B41:O41)))),
IFERROR(
IF('Résultats des tournois'!O41="""", INDEX(FILTER($C41:O41, ISNUMBER($C41:O41)), COUNTA(FILTER($C41:O"&amp;"41, ISNUMBER($C41:O41)))),
lastVal + 'K dynamique'!O41 * ((SQRT('Résultats des tournois'!O$2 + 1)/'Résultats des tournois'!O41) - (1 / (1 + 10^((O$103 - lastVal)/400)))))
)
))"),"")</f>
        <v/>
      </c>
      <c r="Q41" s="32" t="str">
        <f>IFERROR(__xludf.DUMMYFUNCTION("IF('Résultats des tournois'!P$2=0,"""",LET(
lastVal, INDEX(FILTER($B41:P41, ISNUMBER($B41:P41)), COUNTA(FILTER($B41:P41, ISNUMBER($B41:P41)))),
IFERROR(
IF('Résultats des tournois'!P41="""", INDEX(FILTER($C41:P41, ISNUMBER($C41:P41)), COUNTA(FILTER($C41:P"&amp;"41, ISNUMBER($C41:P41)))),
lastVal + 'K dynamique'!P41 * ((SQRT('Résultats des tournois'!P$2 + 1)/'Résultats des tournois'!P41) - (1 / (1 + 10^((P$103 - lastVal)/400)))))
)
))"),"")</f>
        <v/>
      </c>
      <c r="R41" s="32" t="str">
        <f>IFERROR(__xludf.DUMMYFUNCTION("IF('Résultats des tournois'!Q$2=0,"""",LET(
lastVal, INDEX(FILTER($B41:Q41, ISNUMBER($B41:Q41)), COUNTA(FILTER($B41:Q41, ISNUMBER($B41:Q41)))),
IFERROR(
IF('Résultats des tournois'!Q41="""", INDEX(FILTER($C41:Q41, ISNUMBER($C41:Q41)), COUNTA(FILTER($C41:Q"&amp;"41, ISNUMBER($C41:Q41)))),
lastVal + 'K dynamique'!Q41 * ((SQRT('Résultats des tournois'!Q$2 + 1)/'Résultats des tournois'!Q41) - (1 / (1 + 10^((Q$103 - lastVal)/400)))))
)
))"),"")</f>
        <v/>
      </c>
      <c r="S41" s="32" t="str">
        <f>IFERROR(__xludf.DUMMYFUNCTION("IF('Résultats des tournois'!R$2=0,"""",LET(
lastVal, INDEX(FILTER($B41:R41, ISNUMBER($B41:R41)), COUNTA(FILTER($B41:R41, ISNUMBER($B41:R41)))),
IFERROR(
IF('Résultats des tournois'!R41="""", INDEX(FILTER($C41:R41, ISNUMBER($C41:R41)), COUNTA(FILTER($C41:R"&amp;"41, ISNUMBER($C41:R41)))),
lastVal + 'K dynamique'!R41 * ((SQRT('Résultats des tournois'!R$2 + 1)/'Résultats des tournois'!R41) - (1 / (1 + 10^((R$103 - lastVal)/400)))))
)
))"),"")</f>
        <v/>
      </c>
      <c r="T41" s="32" t="str">
        <f>IFERROR(__xludf.DUMMYFUNCTION("IF('Résultats des tournois'!S$2=0,"""",LET(
lastVal, INDEX(FILTER($B41:S41, ISNUMBER($B41:S41)), COUNTA(FILTER($B41:S41, ISNUMBER($B41:S41)))),
IFERROR(
IF('Résultats des tournois'!S41="""", INDEX(FILTER($C41:S41, ISNUMBER($C41:S41)), COUNTA(FILTER($C41:S"&amp;"41, ISNUMBER($C41:S41)))),
lastVal + 'K dynamique'!S41 * ((SQRT('Résultats des tournois'!S$2 + 1)/'Résultats des tournois'!S41) - (1 / (1 + 10^((S$103 - lastVal)/400)))))
)
))"),"")</f>
        <v/>
      </c>
      <c r="U41" s="32" t="str">
        <f>IFERROR(__xludf.DUMMYFUNCTION("IF('Résultats des tournois'!T$2=0,"""",LET(
lastVal, INDEX(FILTER($B41:T41, ISNUMBER($B41:T41)), COUNTA(FILTER($B41:T41, ISNUMBER($B41:T41)))),
IFERROR(
IF('Résultats des tournois'!T41="""", INDEX(FILTER($C41:T41, ISNUMBER($C41:T41)), COUNTA(FILTER($C41:T"&amp;"41, ISNUMBER($C41:T41)))),
lastVal + 'K dynamique'!T41 * ((SQRT('Résultats des tournois'!T$2 + 1)/'Résultats des tournois'!T41) - (1 / (1 + 10^((T$103 - lastVal)/400)))))
)
))"),"")</f>
        <v/>
      </c>
      <c r="V41" s="32" t="str">
        <f>IFERROR(__xludf.DUMMYFUNCTION("IF('Résultats des tournois'!U$2=0,"""",LET(
lastVal, INDEX(FILTER($B41:U41, ISNUMBER($B41:U41)), COUNTA(FILTER($B41:U41, ISNUMBER($B41:U41)))),
IFERROR(
IF('Résultats des tournois'!U41="""", INDEX(FILTER($C41:U41, ISNUMBER($C41:U41)), COUNTA(FILTER($C41:U"&amp;"41, ISNUMBER($C41:U41)))),
lastVal + 'K dynamique'!U41 * ((SQRT('Résultats des tournois'!U$2 + 1)/'Résultats des tournois'!U41) - (1 / (1 + 10^((U$103 - lastVal)/400)))))
)
))"),"")</f>
        <v/>
      </c>
      <c r="W41" s="32" t="str">
        <f>IFERROR(__xludf.DUMMYFUNCTION("IF('Résultats des tournois'!V$2=0,"""",LET(
lastVal, INDEX(FILTER($B41:V41, ISNUMBER($B41:V41)), COUNTA(FILTER($B41:V41, ISNUMBER($B41:V41)))),
IFERROR(
IF('Résultats des tournois'!V41="""", INDEX(FILTER($C41:V41, ISNUMBER($C41:V41)), COUNTA(FILTER($C41:V"&amp;"41, ISNUMBER($C41:V41)))),
lastVal + 'K dynamique'!V41 * ((SQRT('Résultats des tournois'!V$2 + 1)/'Résultats des tournois'!V41) - (1 / (1 + 10^((V$103 - lastVal)/400)))))
)
))"),"")</f>
        <v/>
      </c>
      <c r="X41" s="32" t="str">
        <f>IFERROR(__xludf.DUMMYFUNCTION("IF('Résultats des tournois'!W$2=0,"""",LET(
lastVal, INDEX(FILTER($B41:W41, ISNUMBER($B41:W41)), COUNTA(FILTER($B41:W41, ISNUMBER($B41:W41)))),
IFERROR(
IF('Résultats des tournois'!W41="""", INDEX(FILTER($C41:W41, ISNUMBER($C41:W41)), COUNTA(FILTER($C41:W"&amp;"41, ISNUMBER($C41:W41)))),
lastVal + 'K dynamique'!W41 * ((SQRT('Résultats des tournois'!W$2 + 1)/'Résultats des tournois'!W41) - (1 / (1 + 10^((W$103 - lastVal)/400)))))
)
))"),"")</f>
        <v/>
      </c>
      <c r="Y41" s="32" t="str">
        <f>IFERROR(__xludf.DUMMYFUNCTION("IF('Résultats des tournois'!X$2=0,"""",LET(
lastVal, INDEX(FILTER($B41:X41, ISNUMBER($B41:X41)), COUNTA(FILTER($B41:X41, ISNUMBER($B41:X41)))),
IFERROR(
IF('Résultats des tournois'!X41="""", INDEX(FILTER($C41:X41, ISNUMBER($C41:X41)), COUNTA(FILTER($C41:X"&amp;"41, ISNUMBER($C41:X41)))),
lastVal + 'K dynamique'!X41 * ((SQRT('Résultats des tournois'!X$2 + 1)/'Résultats des tournois'!X41) - (1 / (1 + 10^((X$103 - lastVal)/400)))))
)
))"),"")</f>
        <v/>
      </c>
      <c r="Z41" s="32" t="str">
        <f>IFERROR(__xludf.DUMMYFUNCTION("IF('Résultats des tournois'!Y$2=0,"""",LET(
lastVal, INDEX(FILTER($B41:Y41, ISNUMBER($B41:Y41)), COUNTA(FILTER($B41:Y41, ISNUMBER($B41:Y41)))),
IFERROR(
IF('Résultats des tournois'!Y41="""", INDEX(FILTER($C41:Y41, ISNUMBER($C41:Y41)), COUNTA(FILTER($C41:Y"&amp;"41, ISNUMBER($C41:Y41)))),
lastVal + 'K dynamique'!Y41 * ((SQRT('Résultats des tournois'!Y$2 + 1)/'Résultats des tournois'!Y41) - (1 / (1 + 10^((Y$103 - lastVal)/400)))))
)
))"),"")</f>
        <v/>
      </c>
      <c r="AA41" s="32" t="str">
        <f>IFERROR(__xludf.DUMMYFUNCTION("IF('Résultats des tournois'!Z$2=0,"""",LET(
lastVal, INDEX(FILTER($B41:Z41, ISNUMBER($B41:Z41)), COUNTA(FILTER($B41:Z41, ISNUMBER($B41:Z41)))),
IFERROR(
IF('Résultats des tournois'!Z41="""", INDEX(FILTER($C41:Z41, ISNUMBER($C41:Z41)), COUNTA(FILTER($C41:Z"&amp;"41, ISNUMBER($C41:Z41)))),
lastVal + 'K dynamique'!Z41 * ((SQRT('Résultats des tournois'!Z$2 + 1)/'Résultats des tournois'!Z41) - (1 / (1 + 10^((Z$103 - lastVal)/400)))))
)
))"),"")</f>
        <v/>
      </c>
      <c r="AB41" s="32" t="str">
        <f>IFERROR(__xludf.DUMMYFUNCTION("IF('Résultats des tournois'!AA$2=0,"""",LET(
lastVal, INDEX(FILTER($B41:AA41, ISNUMBER($B41:AA41)), COUNTA(FILTER($B41:AA41, ISNUMBER($B41:AA41)))),
IFERROR(
IF('Résultats des tournois'!AA41="""", INDEX(FILTER($C41:AA41, ISNUMBER($C41:AA41)), COUNTA(FILTE"&amp;"R($C41:AA41, ISNUMBER($C41:AA41)))),
lastVal + 'K dynamique'!AA41 * ((SQRT('Résultats des tournois'!AA$2 + 1)/'Résultats des tournois'!AA41) - (1 / (1 + 10^((AA$103 - lastVal)/400)))))
)
))"),"")</f>
        <v/>
      </c>
      <c r="AC41" s="32" t="str">
        <f>IFERROR(__xludf.DUMMYFUNCTION("IF('Résultats des tournois'!AB$2=0,"""",LET(
lastVal, INDEX(FILTER($B41:AB41, ISNUMBER($B41:AB41)), COUNTA(FILTER($B41:AB41, ISNUMBER($B41:AB41)))),
IFERROR(
IF('Résultats des tournois'!AB41="""", INDEX(FILTER($C41:AB41, ISNUMBER($C41:AB41)), COUNTA(FILTE"&amp;"R($C41:AB41, ISNUMBER($C41:AB41)))),
lastVal + 'K dynamique'!AB41 * ((SQRT('Résultats des tournois'!AB$2 + 1)/'Résultats des tournois'!AB41) - (1 / (1 + 10^((AB$103 - lastVal)/400)))))
)
))"),"")</f>
        <v/>
      </c>
      <c r="AD41" s="32" t="str">
        <f>IFERROR(__xludf.DUMMYFUNCTION("IF('Résultats des tournois'!AC$2=0,"""",LET(
lastVal, INDEX(FILTER($B41:AC41, ISNUMBER($B41:AC41)), COUNTA(FILTER($B41:AC41, ISNUMBER($B41:AC41)))),
IFERROR(
IF('Résultats des tournois'!AC41="""", INDEX(FILTER($C41:AC41, ISNUMBER($C41:AC41)), COUNTA(FILTE"&amp;"R($C41:AC41, ISNUMBER($C41:AC41)))),
lastVal + 'K dynamique'!AC41 * ((SQRT('Résultats des tournois'!AC$2 + 1)/'Résultats des tournois'!AC41) - (1 / (1 + 10^((AC$103 - lastVal)/400)))))
)
))"),"")</f>
        <v/>
      </c>
      <c r="AE41" s="32" t="str">
        <f>IFERROR(__xludf.DUMMYFUNCTION("IF('Résultats des tournois'!AD$2=0,"""",LET(
lastVal, INDEX(FILTER($B41:AD41, ISNUMBER($B41:AD41)), COUNTA(FILTER($B41:AD41, ISNUMBER($B41:AD41)))),
IFERROR(
IF('Résultats des tournois'!AD41="""", INDEX(FILTER($C41:AD41, ISNUMBER($C41:AD41)), COUNTA(FILTE"&amp;"R($C41:AD41, ISNUMBER($C41:AD41)))),
lastVal + 'K dynamique'!AD41 * ((SQRT('Résultats des tournois'!AD$2 + 1)/'Résultats des tournois'!AD41) - (1 / (1 + 10^((AD$103 - lastVal)/400)))))
)
))"),"")</f>
        <v/>
      </c>
      <c r="AF41" s="32" t="str">
        <f>IFERROR(__xludf.DUMMYFUNCTION("IF('Résultats des tournois'!AE$2=0,"""",LET(
lastVal, INDEX(FILTER($B41:AE41, ISNUMBER($B41:AE41)), COUNTA(FILTER($B41:AE41, ISNUMBER($B41:AE41)))),
IFERROR(
IF('Résultats des tournois'!AE41="""", INDEX(FILTER($C41:AE41, ISNUMBER($C41:AE41)), COUNTA(FILTE"&amp;"R($C41:AE41, ISNUMBER($C41:AE41)))),
lastVal + 'K dynamique'!AE41 * ((SQRT('Résultats des tournois'!AE$2 + 1)/'Résultats des tournois'!AE41) - (1 / (1 + 10^((AE$103 - lastVal)/400)))))
)
))"),"")</f>
        <v/>
      </c>
      <c r="AG41" s="32" t="str">
        <f>IFERROR(__xludf.DUMMYFUNCTION("IF('Résultats des tournois'!AF$2=0,"""",LET(
lastVal, INDEX(FILTER($B41:AF41, ISNUMBER($B41:AF41)), COUNTA(FILTER($B41:AF41, ISNUMBER($B41:AF41)))),
IFERROR(
IF('Résultats des tournois'!AF41="""", INDEX(FILTER($C41:AF41, ISNUMBER($C41:AF41)), COUNTA(FILTE"&amp;"R($C41:AF41, ISNUMBER($C41:AF41)))),
lastVal + 'K dynamique'!AF41 * ((SQRT('Résultats des tournois'!AF$2 + 1)/'Résultats des tournois'!AF41) - (1 / (1 + 10^((AF$103 - lastVal)/400)))))
)
))"),"")</f>
        <v/>
      </c>
      <c r="AH41" s="32" t="str">
        <f>IFERROR(__xludf.DUMMYFUNCTION("IF('Résultats des tournois'!AG$2=0,"""",LET(
lastVal, INDEX(FILTER($B41:AG41, ISNUMBER($B41:AG41)), COUNTA(FILTER($B41:AG41, ISNUMBER($B41:AG41)))),
IFERROR(
IF('Résultats des tournois'!AG41="""", INDEX(FILTER($C41:AG41, ISNUMBER($C41:AG41)), COUNTA(FILTE"&amp;"R($C41:AG41, ISNUMBER($C41:AG41)))),
lastVal + 'K dynamique'!AG41 * ((SQRT('Résultats des tournois'!AG$2 + 1)/'Résultats des tournois'!AG41) - (1 / (1 + 10^((AG$103 - lastVal)/400)))))
)
))"),"")</f>
        <v/>
      </c>
      <c r="AI41" s="32" t="str">
        <f>IFERROR(__xludf.DUMMYFUNCTION("IF('Résultats des tournois'!AH$2=0,"""",LET(
lastVal, INDEX(FILTER($B41:AH41, ISNUMBER($B41:AH41)), COUNTA(FILTER($B41:AH41, ISNUMBER($B41:AH41)))),
IFERROR(
IF('Résultats des tournois'!AH41="""", INDEX(FILTER($C41:AH41, ISNUMBER($C41:AH41)), COUNTA(FILTE"&amp;"R($C41:AH41, ISNUMBER($C41:AH41)))),
lastVal + 'K dynamique'!AH41 * ((SQRT('Résultats des tournois'!AH$2 + 1)/'Résultats des tournois'!AH41) - (1 / (1 + 10^((AH$103 - lastVal)/400)))))
)
))"),"")</f>
        <v/>
      </c>
      <c r="AJ41" s="32" t="str">
        <f>IFERROR(__xludf.DUMMYFUNCTION("IF('Résultats des tournois'!AI$2=0,"""",LET(
lastVal, INDEX(FILTER($B41:AI41, ISNUMBER($B41:AI41)), COUNTA(FILTER($B41:AI41, ISNUMBER($B41:AI41)))),
IFERROR(
IF('Résultats des tournois'!AI41="""", INDEX(FILTER($C41:AI41, ISNUMBER($C41:AI41)), COUNTA(FILTE"&amp;"R($C41:AI41, ISNUMBER($C41:AI41)))),
lastVal + 'K dynamique'!AI41 * ((SQRT('Résultats des tournois'!AI$2 + 1)/'Résultats des tournois'!AI41) - (1 / (1 + 10^((AI$103 - lastVal)/400)))))
)
))"),"")</f>
        <v/>
      </c>
      <c r="AK41" s="32" t="str">
        <f>IFERROR(__xludf.DUMMYFUNCTION("IF('Résultats des tournois'!AJ$2=0,"""",LET(
lastVal, INDEX(FILTER($B41:AJ41, ISNUMBER($B41:AJ41)), COUNTA(FILTER($B41:AJ41, ISNUMBER($B41:AJ41)))),
IFERROR(
IF('Résultats des tournois'!AJ41="""", INDEX(FILTER($C41:AJ41, ISNUMBER($C41:AJ41)), COUNTA(FILTE"&amp;"R($C41:AJ41, ISNUMBER($C41:AJ41)))),
lastVal + 'K dynamique'!AJ41 * ((SQRT('Résultats des tournois'!AJ$2 + 1)/'Résultats des tournois'!AJ41) - (1 / (1 + 10^((AJ$103 - lastVal)/400)))))
)
))"),"")</f>
        <v/>
      </c>
      <c r="AL41" s="32" t="str">
        <f>IFERROR(__xludf.DUMMYFUNCTION("IF('Résultats des tournois'!AK$2=0,"""",LET(
lastVal, INDEX(FILTER($B41:AK41, ISNUMBER($B41:AK41)), COUNTA(FILTER($B41:AK41, ISNUMBER($B41:AK41)))),
IFERROR(
IF('Résultats des tournois'!AK41="""", INDEX(FILTER($C41:AK41, ISNUMBER($C41:AK41)), COUNTA(FILTE"&amp;"R($C41:AK41, ISNUMBER($C41:AK41)))),
lastVal + 'K dynamique'!AK41 * ((SQRT('Résultats des tournois'!AK$2 + 1)/'Résultats des tournois'!AK41) - (1 / (1 + 10^((AK$103 - lastVal)/400)))))
)
))"),"")</f>
        <v/>
      </c>
      <c r="AM41" s="32" t="str">
        <f>IFERROR(__xludf.DUMMYFUNCTION("IF('Résultats des tournois'!AL$2=0,"""",LET(
lastVal, INDEX(FILTER($B41:AL41, ISNUMBER($B41:AL41)), COUNTA(FILTER($B41:AL41, ISNUMBER($B41:AL41)))),
IFERROR(
IF('Résultats des tournois'!AL41="""", INDEX(FILTER($C41:AL41, ISNUMBER($C41:AL41)), COUNTA(FILTE"&amp;"R($C41:AL41, ISNUMBER($C41:AL41)))),
lastVal + 'K dynamique'!AL41 * ((SQRT('Résultats des tournois'!AL$2 + 1)/'Résultats des tournois'!AL41) - (1 / (1 + 10^((AL$103 - lastVal)/400)))))
)
))"),"")</f>
        <v/>
      </c>
      <c r="AN41" s="32" t="str">
        <f>IFERROR(__xludf.DUMMYFUNCTION("IF('Résultats des tournois'!AM$2=0,"""",LET(
lastVal, INDEX(FILTER($B41:AM41, ISNUMBER($B41:AM41)), COUNTA(FILTER($B41:AM41, ISNUMBER($B41:AM41)))),
IFERROR(
IF('Résultats des tournois'!AM41="""", INDEX(FILTER($C41:AM41, ISNUMBER($C41:AM41)), COUNTA(FILTE"&amp;"R($C41:AM41, ISNUMBER($C41:AM41)))),
lastVal + 'K dynamique'!AM41 * ((SQRT('Résultats des tournois'!AM$2 + 1)/'Résultats des tournois'!AM41) - (1 / (1 + 10^((AM$103 - lastVal)/400)))))
)
))"),"")</f>
        <v/>
      </c>
      <c r="AO41" s="32" t="str">
        <f>IFERROR(__xludf.DUMMYFUNCTION("IF('Résultats des tournois'!AN$2=0,"""",LET(
lastVal, INDEX(FILTER($B41:AN41, ISNUMBER($B41:AN41)), COUNTA(FILTER($B41:AN41, ISNUMBER($B41:AN41)))),
IFERROR(
IF('Résultats des tournois'!AN41="""", INDEX(FILTER($C41:AN41, ISNUMBER($C41:AN41)), COUNTA(FILTE"&amp;"R($C41:AN41, ISNUMBER($C41:AN41)))),
lastVal + 'K dynamique'!AN41 * ((SQRT('Résultats des tournois'!AN$2 + 1)/'Résultats des tournois'!AN41) - (1 / (1 + 10^((AN$103 - lastVal)/400)))))
)
))"),"")</f>
        <v/>
      </c>
      <c r="AP41" s="32" t="str">
        <f>IFERROR(__xludf.DUMMYFUNCTION("IF('Résultats des tournois'!AO$2=0,"""",LET(
lastVal, INDEX(FILTER($B41:AO41, ISNUMBER($B41:AO41)), COUNTA(FILTER($B41:AO41, ISNUMBER($B41:AO41)))),
IFERROR(
IF('Résultats des tournois'!AO41="""", INDEX(FILTER($C41:AO41, ISNUMBER($C41:AO41)), COUNTA(FILTE"&amp;"R($C41:AO41, ISNUMBER($C41:AO41)))),
lastVal + 'K dynamique'!AO41 * ((SQRT('Résultats des tournois'!AO$2 + 1)/'Résultats des tournois'!AO41) - (1 / (1 + 10^((AO$103 - lastVal)/400)))))
)
))"),"")</f>
        <v/>
      </c>
      <c r="AQ41" s="32" t="str">
        <f>IFERROR(__xludf.DUMMYFUNCTION("IF('Résultats des tournois'!AP$2=0,"""",LET(
lastVal, INDEX(FILTER($B41:AP41, ISNUMBER($B41:AP41)), COUNTA(FILTER($B41:AP41, ISNUMBER($B41:AP41)))),
IFERROR(
IF('Résultats des tournois'!AP41="""", INDEX(FILTER($C41:AP41, ISNUMBER($C41:AP41)), COUNTA(FILTE"&amp;"R($C41:AP41, ISNUMBER($C41:AP41)))),
lastVal + 'K dynamique'!AP41 * ((SQRT('Résultats des tournois'!AP$2 + 1)/'Résultats des tournois'!AP41) - (1 / (1 + 10^((AP$103 - lastVal)/400)))))
)
))"),"")</f>
        <v/>
      </c>
      <c r="AR41" s="32" t="str">
        <f>IFERROR(__xludf.DUMMYFUNCTION("IF('Résultats des tournois'!AQ$2=0,"""",LET(
lastVal, INDEX(FILTER($B41:AQ41, ISNUMBER($B41:AQ41)), COUNTA(FILTER($B41:AQ41, ISNUMBER($B41:AQ41)))),
IFERROR(
IF('Résultats des tournois'!AQ41="""", INDEX(FILTER($C41:AQ41, ISNUMBER($C41:AQ41)), COUNTA(FILTE"&amp;"R($C41:AQ41, ISNUMBER($C41:AQ41)))),
lastVal + 'K dynamique'!AQ41 * ((SQRT('Résultats des tournois'!AQ$2 + 1)/'Résultats des tournois'!AQ41) - (1 / (1 + 10^((AQ$103 - lastVal)/400)))))
)
))"),"")</f>
        <v/>
      </c>
      <c r="AS41" s="32" t="str">
        <f>IFERROR(__xludf.DUMMYFUNCTION("IF('Résultats des tournois'!AR$2=0,"""",LET(
lastVal, INDEX(FILTER($B41:AR41, ISNUMBER($B41:AR41)), COUNTA(FILTER($B41:AR41, ISNUMBER($B41:AR41)))),
IFERROR(
IF('Résultats des tournois'!AR41="""", INDEX(FILTER($C41:AR41, ISNUMBER($C41:AR41)), COUNTA(FILTE"&amp;"R($C41:AR41, ISNUMBER($C41:AR41)))),
lastVal + 'K dynamique'!AR41 * ((SQRT('Résultats des tournois'!AR$2 + 1)/'Résultats des tournois'!AR41) - (1 / (1 + 10^((AR$103 - lastVal)/400)))))
)
))"),"")</f>
        <v/>
      </c>
      <c r="AT41" s="32" t="str">
        <f>IFERROR(__xludf.DUMMYFUNCTION("IF('Résultats des tournois'!AS$2=0,"""",LET(
lastVal, INDEX(FILTER($B41:AS41, ISNUMBER($B41:AS41)), COUNTA(FILTER($B41:AS41, ISNUMBER($B41:AS41)))),
IFERROR(
IF('Résultats des tournois'!AS41="""", INDEX(FILTER($C41:AS41, ISNUMBER($C41:AS41)), COUNTA(FILTE"&amp;"R($C41:AS41, ISNUMBER($C41:AS41)))),
lastVal + 'K dynamique'!AS41 * ((SQRT('Résultats des tournois'!AS$2 + 1)/'Résultats des tournois'!AS41) - (1 / (1 + 10^((AS$103 - lastVal)/400)))))
)
))"),"")</f>
        <v/>
      </c>
      <c r="AU41" s="32" t="str">
        <f>IFERROR(__xludf.DUMMYFUNCTION("IF('Résultats des tournois'!AT$2=0,"""",LET(
lastVal, INDEX(FILTER($B41:AT41, ISNUMBER($B41:AT41)), COUNTA(FILTER($B41:AT41, ISNUMBER($B41:AT41)))),
IFERROR(
IF('Résultats des tournois'!AT41="""", INDEX(FILTER($C41:AT41, ISNUMBER($C41:AT41)), COUNTA(FILTE"&amp;"R($C41:AT41, ISNUMBER($C41:AT41)))),
lastVal + 'K dynamique'!AT41 * ((SQRT('Résultats des tournois'!AT$2 + 1)/'Résultats des tournois'!AT41) - (1 / (1 + 10^((AT$103 - lastVal)/400)))))
)
))"),"")</f>
        <v/>
      </c>
      <c r="AV41" s="32" t="str">
        <f>IFERROR(__xludf.DUMMYFUNCTION("IF('Résultats des tournois'!AU$2=0,"""",LET(
lastVal, INDEX(FILTER($B41:AU41, ISNUMBER($B41:AU41)), COUNTA(FILTER($B41:AU41, ISNUMBER($B41:AU41)))),
IFERROR(
IF('Résultats des tournois'!AU41="""", INDEX(FILTER($C41:AU41, ISNUMBER($C41:AU41)), COUNTA(FILTE"&amp;"R($C41:AU41, ISNUMBER($C41:AU41)))),
lastVal + 'K dynamique'!AU41 * ((SQRT('Résultats des tournois'!AU$2 + 1)/'Résultats des tournois'!AU41) - (1 / (1 + 10^((AU$103 - lastVal)/400)))))
)
))"),"")</f>
        <v/>
      </c>
      <c r="AW41" s="32" t="str">
        <f>IFERROR(__xludf.DUMMYFUNCTION("IF('Résultats des tournois'!AV$2=0,"""",LET(
lastVal, INDEX(FILTER($B41:AV41, ISNUMBER($B41:AV41)), COUNTA(FILTER($B41:AV41, ISNUMBER($B41:AV41)))),
IFERROR(
IF('Résultats des tournois'!AV41="""", INDEX(FILTER($C41:AV41, ISNUMBER($C41:AV41)), COUNTA(FILTE"&amp;"R($C41:AV41, ISNUMBER($C41:AV41)))),
lastVal + 'K dynamique'!AV41 * ((SQRT('Résultats des tournois'!AV$2 + 1)/'Résultats des tournois'!AV41) - (1 / (1 + 10^((AV$103 - lastVal)/400)))))
)
))"),"")</f>
        <v/>
      </c>
      <c r="AX41" s="32" t="str">
        <f>IFERROR(__xludf.DUMMYFUNCTION("IF('Résultats des tournois'!AW$2=0,"""",LET(
lastVal, INDEX(FILTER($B41:AW41, ISNUMBER($B41:AW41)), COUNTA(FILTER($B41:AW41, ISNUMBER($B41:AW41)))),
IFERROR(
IF('Résultats des tournois'!AW41="""", INDEX(FILTER($C41:AW41, ISNUMBER($C41:AW41)), COUNTA(FILTE"&amp;"R($C41:AW41, ISNUMBER($C41:AW41)))),
lastVal + 'K dynamique'!AW41 * ((SQRT('Résultats des tournois'!AW$2 + 1)/'Résultats des tournois'!AW41) - (1 / (1 + 10^((AW$103 - lastVal)/400)))))
)
))"),"")</f>
        <v/>
      </c>
      <c r="AY41" s="32" t="str">
        <f>IFERROR(__xludf.DUMMYFUNCTION("IF('Résultats des tournois'!AX$2=0,"""",LET(
lastVal, INDEX(FILTER($B41:AX41, ISNUMBER($B41:AX41)), COUNTA(FILTER($B41:AX41, ISNUMBER($B41:AX41)))),
IFERROR(
IF('Résultats des tournois'!AX41="""", INDEX(FILTER($C41:AX41, ISNUMBER($C41:AX41)), COUNTA(FILTE"&amp;"R($C41:AX41, ISNUMBER($C41:AX41)))),
lastVal + 'K dynamique'!AX41 * ((SQRT('Résultats des tournois'!AX$2 + 1)/'Résultats des tournois'!AX41) - (1 / (1 + 10^((AX$103 - lastVal)/400)))))
)
))"),"")</f>
        <v/>
      </c>
      <c r="AZ41" s="4" t="str">
        <f t="array" ref="AZ41">IF(MAX(($C41:AY41&lt;&gt;"")*COLUMN($C41:AY41))=0,"",INDEX($C41:AY41,1,MAX(($C41:AY41&lt;&gt;"")*COLUMN($C41:AY41))-COLUMN($C41)+1))</f>
        <v/>
      </c>
      <c r="BA41" s="33" t="str">
        <f t="shared" si="1"/>
        <v/>
      </c>
    </row>
    <row r="42" ht="14.25" customHeight="1">
      <c r="A42" s="32" t="str">
        <f>IF('Résultats des tournois'!A42="","",'Résultats des tournois'!A42)</f>
        <v/>
      </c>
      <c r="B42" s="32">
        <v>1500.0</v>
      </c>
      <c r="C42" s="32" t="str">
        <f>IF('Résultats des tournois'!B42="","",B42+'K dynamique'!B42*((SQRT('Résultats des tournois'!B$2+1)/'Résultats des tournois'!B42)-(1/(1+10^((B42-B42)/400)))))</f>
        <v/>
      </c>
      <c r="D42" s="32" t="str">
        <f>IFERROR(__xludf.DUMMYFUNCTION("IF('Résultats des tournois'!C$2=0,"""",LET(
lastVal, INDEX(FILTER($B42:C42, ISNUMBER($B42:C42)), COUNTA(FILTER($B42:C42, ISNUMBER($B42:C42)))),
IFERROR(
IF('Résultats des tournois'!C42="""", INDEX(FILTER($C42:C42, ISNUMBER($C42:C42)), COUNTA(FILTER($C42:C"&amp;"42, ISNUMBER($C42:C42)))),
lastVal + 'K dynamique'!C42 * ((SQRT('Résultats des tournois'!C$2 + 1)/'Résultats des tournois'!C42) - (1 / (1 + 10^((C$103 - lastVal)/400)))))
)
))"),"")</f>
        <v/>
      </c>
      <c r="E42" s="32" t="str">
        <f>IFERROR(__xludf.DUMMYFUNCTION("IF('Résultats des tournois'!D$2=0,"""",LET(
lastVal, INDEX(FILTER($B42:D42, ISNUMBER($B42:D42)), COUNTA(FILTER($B42:D42, ISNUMBER($B42:D42)))),
IFERROR(
IF('Résultats des tournois'!D42="""", INDEX(FILTER($C42:D42, ISNUMBER($C42:D42)), COUNTA(FILTER($C42:D"&amp;"42, ISNUMBER($C42:D42)))),
lastVal + 'K dynamique'!D42 * ((SQRT('Résultats des tournois'!D$2 + 1)/'Résultats des tournois'!D42) - (1 / (1 + 10^((D$103 - lastVal)/400)))))
)
))"),"")</f>
        <v/>
      </c>
      <c r="F42" s="32" t="str">
        <f>IFERROR(__xludf.DUMMYFUNCTION("IF('Résultats des tournois'!E$2=0,"""",LET(
lastVal, INDEX(FILTER($B42:E42, ISNUMBER($B42:E42)), COUNTA(FILTER($B42:E42, ISNUMBER($B42:E42)))),
IFERROR(
IF('Résultats des tournois'!E42="""", INDEX(FILTER($C42:E42, ISNUMBER($C42:E42)), COUNTA(FILTER($C42:E"&amp;"42, ISNUMBER($C42:E42)))),
lastVal + 'K dynamique'!E42 * ((SQRT('Résultats des tournois'!E$2 + 1)/'Résultats des tournois'!E42) - (1 / (1 + 10^((E$103 - lastVal)/400)))))
)
))"),"")</f>
        <v/>
      </c>
      <c r="G42" s="32" t="str">
        <f>IFERROR(__xludf.DUMMYFUNCTION("IF('Résultats des tournois'!F$2=0,"""",LET(
lastVal, INDEX(FILTER($B42:F42, ISNUMBER($B42:F42)), COUNTA(FILTER($B42:F42, ISNUMBER($B42:F42)))),
IFERROR(
IF('Résultats des tournois'!F42="""", INDEX(FILTER($C42:F42, ISNUMBER($C42:F42)), COUNTA(FILTER($C42:F"&amp;"42, ISNUMBER($C42:F42)))),
lastVal + 'K dynamique'!F42 * ((SQRT('Résultats des tournois'!F$2 + 1)/'Résultats des tournois'!F42) - (1 / (1 + 10^((F$103 - lastVal)/400)))))
)
))"),"")</f>
        <v/>
      </c>
      <c r="H42" s="32" t="str">
        <f>IFERROR(__xludf.DUMMYFUNCTION("IF('Résultats des tournois'!G$2=0,"""",LET(
lastVal, INDEX(FILTER($B42:G42, ISNUMBER($B42:G42)), COUNTA(FILTER($B42:G42, ISNUMBER($B42:G42)))),
IFERROR(
IF('Résultats des tournois'!G42="""", INDEX(FILTER($C42:G42, ISNUMBER($C42:G42)), COUNTA(FILTER($C42:G"&amp;"42, ISNUMBER($C42:G42)))),
lastVal + 'K dynamique'!G42 * ((SQRT('Résultats des tournois'!G$2 + 1)/'Résultats des tournois'!G42) - (1 / (1 + 10^((G$103 - lastVal)/400)))))
)
))"),"")</f>
        <v/>
      </c>
      <c r="I42" s="32" t="str">
        <f>IFERROR(__xludf.DUMMYFUNCTION("IF('Résultats des tournois'!H$2=0,"""",LET(
lastVal, INDEX(FILTER($B42:H42, ISNUMBER($B42:H42)), COUNTA(FILTER($B42:H42, ISNUMBER($B42:H42)))),
IFERROR(
IF('Résultats des tournois'!H42="""", INDEX(FILTER($C42:H42, ISNUMBER($C42:H42)), COUNTA(FILTER($C42:H"&amp;"42, ISNUMBER($C42:H42)))),
lastVal + 'K dynamique'!H42 * ((SQRT('Résultats des tournois'!H$2 + 1)/'Résultats des tournois'!H42) - (1 / (1 + 10^((H$103 - lastVal)/400)))))
)
))"),"")</f>
        <v/>
      </c>
      <c r="J42" s="32" t="str">
        <f>IFERROR(__xludf.DUMMYFUNCTION("IF('Résultats des tournois'!I$2=0,"""",LET(
lastVal, INDEX(FILTER($B42:I42, ISNUMBER($B42:I42)), COUNTA(FILTER($B42:I42, ISNUMBER($B42:I42)))),
IFERROR(
IF('Résultats des tournois'!I42="""", INDEX(FILTER($C42:I42, ISNUMBER($C42:I42)), COUNTA(FILTER($C42:I"&amp;"42, ISNUMBER($C42:I42)))),
lastVal + 'K dynamique'!I42 * ((SQRT('Résultats des tournois'!I$2 + 1)/'Résultats des tournois'!I42) - (1 / (1 + 10^((I$103 - lastVal)/400)))))
)
))"),"")</f>
        <v/>
      </c>
      <c r="K42" s="32" t="str">
        <f>IFERROR(__xludf.DUMMYFUNCTION("IF('Résultats des tournois'!J$2=0,"""",LET(
lastVal, INDEX(FILTER($B42:J42, ISNUMBER($B42:J42)), COUNTA(FILTER($B42:J42, ISNUMBER($B42:J42)))),
IFERROR(
IF('Résultats des tournois'!J42="""", INDEX(FILTER($C42:J42, ISNUMBER($C42:J42)), COUNTA(FILTER($C42:J"&amp;"42, ISNUMBER($C42:J42)))),
lastVal + 'K dynamique'!J42 * ((SQRT('Résultats des tournois'!J$2 + 1)/'Résultats des tournois'!J42) - (1 / (1 + 10^((J$103 - lastVal)/400)))))
)
))"),"")</f>
        <v/>
      </c>
      <c r="L42" s="32" t="str">
        <f>IFERROR(__xludf.DUMMYFUNCTION("IF('Résultats des tournois'!K$2=0,"""",LET(
lastVal, INDEX(FILTER($B42:K42, ISNUMBER($B42:K42)), COUNTA(FILTER($B42:K42, ISNUMBER($B42:K42)))),
IFERROR(
IF('Résultats des tournois'!K42="""", INDEX(FILTER($C42:K42, ISNUMBER($C42:K42)), COUNTA(FILTER($C42:K"&amp;"42, ISNUMBER($C42:K42)))),
lastVal + 'K dynamique'!K42 * ((SQRT('Résultats des tournois'!K$2 + 1)/'Résultats des tournois'!K42) - (1 / (1 + 10^((K$103 - lastVal)/400)))))
)
))"),"")</f>
        <v/>
      </c>
      <c r="M42" s="32" t="str">
        <f>IFERROR(__xludf.DUMMYFUNCTION("IF('Résultats des tournois'!L$2=0,"""",LET(
lastVal, INDEX(FILTER($B42:L42, ISNUMBER($B42:L42)), COUNTA(FILTER($B42:L42, ISNUMBER($B42:L42)))),
IFERROR(
IF('Résultats des tournois'!L42="""", INDEX(FILTER($C42:L42, ISNUMBER($C42:L42)), COUNTA(FILTER($C42:L"&amp;"42, ISNUMBER($C42:L42)))),
lastVal + 'K dynamique'!L42 * ((SQRT('Résultats des tournois'!L$2 + 1)/'Résultats des tournois'!L42) - (1 / (1 + 10^((L$103 - lastVal)/400)))))
)
))"),"")</f>
        <v/>
      </c>
      <c r="N42" s="32" t="str">
        <f>IFERROR(__xludf.DUMMYFUNCTION("IF('Résultats des tournois'!M$2=0,"""",LET(
lastVal, INDEX(FILTER($B42:M42, ISNUMBER($B42:M42)), COUNTA(FILTER($B42:M42, ISNUMBER($B42:M42)))),
IFERROR(
IF('Résultats des tournois'!M42="""", INDEX(FILTER($C42:M42, ISNUMBER($C42:M42)), COUNTA(FILTER($C42:M"&amp;"42, ISNUMBER($C42:M42)))),
lastVal + 'K dynamique'!M42 * ((SQRT('Résultats des tournois'!M$2 + 1)/'Résultats des tournois'!M42) - (1 / (1 + 10^((M$103 - lastVal)/400)))))
)
))"),"")</f>
        <v/>
      </c>
      <c r="O42" s="32" t="str">
        <f>IFERROR(__xludf.DUMMYFUNCTION("IF('Résultats des tournois'!N$2=0,"""",LET(
lastVal, INDEX(FILTER($B42:N42, ISNUMBER($B42:N42)), COUNTA(FILTER($B42:N42, ISNUMBER($B42:N42)))),
IFERROR(
IF('Résultats des tournois'!N42="""", INDEX(FILTER($C42:N42, ISNUMBER($C42:N42)), COUNTA(FILTER($C42:N"&amp;"42, ISNUMBER($C42:N42)))),
lastVal + 'K dynamique'!N42 * ((SQRT('Résultats des tournois'!N$2 + 1)/'Résultats des tournois'!N42) - (1 / (1 + 10^((N$103 - lastVal)/400)))))
)
))"),"")</f>
        <v/>
      </c>
      <c r="P42" s="32" t="str">
        <f>IFERROR(__xludf.DUMMYFUNCTION("IF('Résultats des tournois'!O$2=0,"""",LET(
lastVal, INDEX(FILTER($B42:O42, ISNUMBER($B42:O42)), COUNTA(FILTER($B42:O42, ISNUMBER($B42:O42)))),
IFERROR(
IF('Résultats des tournois'!O42="""", INDEX(FILTER($C42:O42, ISNUMBER($C42:O42)), COUNTA(FILTER($C42:O"&amp;"42, ISNUMBER($C42:O42)))),
lastVal + 'K dynamique'!O42 * ((SQRT('Résultats des tournois'!O$2 + 1)/'Résultats des tournois'!O42) - (1 / (1 + 10^((O$103 - lastVal)/400)))))
)
))"),"")</f>
        <v/>
      </c>
      <c r="Q42" s="32" t="str">
        <f>IFERROR(__xludf.DUMMYFUNCTION("IF('Résultats des tournois'!P$2=0,"""",LET(
lastVal, INDEX(FILTER($B42:P42, ISNUMBER($B42:P42)), COUNTA(FILTER($B42:P42, ISNUMBER($B42:P42)))),
IFERROR(
IF('Résultats des tournois'!P42="""", INDEX(FILTER($C42:P42, ISNUMBER($C42:P42)), COUNTA(FILTER($C42:P"&amp;"42, ISNUMBER($C42:P42)))),
lastVal + 'K dynamique'!P42 * ((SQRT('Résultats des tournois'!P$2 + 1)/'Résultats des tournois'!P42) - (1 / (1 + 10^((P$103 - lastVal)/400)))))
)
))"),"")</f>
        <v/>
      </c>
      <c r="R42" s="32" t="str">
        <f>IFERROR(__xludf.DUMMYFUNCTION("IF('Résultats des tournois'!Q$2=0,"""",LET(
lastVal, INDEX(FILTER($B42:Q42, ISNUMBER($B42:Q42)), COUNTA(FILTER($B42:Q42, ISNUMBER($B42:Q42)))),
IFERROR(
IF('Résultats des tournois'!Q42="""", INDEX(FILTER($C42:Q42, ISNUMBER($C42:Q42)), COUNTA(FILTER($C42:Q"&amp;"42, ISNUMBER($C42:Q42)))),
lastVal + 'K dynamique'!Q42 * ((SQRT('Résultats des tournois'!Q$2 + 1)/'Résultats des tournois'!Q42) - (1 / (1 + 10^((Q$103 - lastVal)/400)))))
)
))"),"")</f>
        <v/>
      </c>
      <c r="S42" s="32" t="str">
        <f>IFERROR(__xludf.DUMMYFUNCTION("IF('Résultats des tournois'!R$2=0,"""",LET(
lastVal, INDEX(FILTER($B42:R42, ISNUMBER($B42:R42)), COUNTA(FILTER($B42:R42, ISNUMBER($B42:R42)))),
IFERROR(
IF('Résultats des tournois'!R42="""", INDEX(FILTER($C42:R42, ISNUMBER($C42:R42)), COUNTA(FILTER($C42:R"&amp;"42, ISNUMBER($C42:R42)))),
lastVal + 'K dynamique'!R42 * ((SQRT('Résultats des tournois'!R$2 + 1)/'Résultats des tournois'!R42) - (1 / (1 + 10^((R$103 - lastVal)/400)))))
)
))"),"")</f>
        <v/>
      </c>
      <c r="T42" s="32" t="str">
        <f>IFERROR(__xludf.DUMMYFUNCTION("IF('Résultats des tournois'!S$2=0,"""",LET(
lastVal, INDEX(FILTER($B42:S42, ISNUMBER($B42:S42)), COUNTA(FILTER($B42:S42, ISNUMBER($B42:S42)))),
IFERROR(
IF('Résultats des tournois'!S42="""", INDEX(FILTER($C42:S42, ISNUMBER($C42:S42)), COUNTA(FILTER($C42:S"&amp;"42, ISNUMBER($C42:S42)))),
lastVal + 'K dynamique'!S42 * ((SQRT('Résultats des tournois'!S$2 + 1)/'Résultats des tournois'!S42) - (1 / (1 + 10^((S$103 - lastVal)/400)))))
)
))"),"")</f>
        <v/>
      </c>
      <c r="U42" s="32" t="str">
        <f>IFERROR(__xludf.DUMMYFUNCTION("IF('Résultats des tournois'!T$2=0,"""",LET(
lastVal, INDEX(FILTER($B42:T42, ISNUMBER($B42:T42)), COUNTA(FILTER($B42:T42, ISNUMBER($B42:T42)))),
IFERROR(
IF('Résultats des tournois'!T42="""", INDEX(FILTER($C42:T42, ISNUMBER($C42:T42)), COUNTA(FILTER($C42:T"&amp;"42, ISNUMBER($C42:T42)))),
lastVal + 'K dynamique'!T42 * ((SQRT('Résultats des tournois'!T$2 + 1)/'Résultats des tournois'!T42) - (1 / (1 + 10^((T$103 - lastVal)/400)))))
)
))"),"")</f>
        <v/>
      </c>
      <c r="V42" s="32" t="str">
        <f>IFERROR(__xludf.DUMMYFUNCTION("IF('Résultats des tournois'!U$2=0,"""",LET(
lastVal, INDEX(FILTER($B42:U42, ISNUMBER($B42:U42)), COUNTA(FILTER($B42:U42, ISNUMBER($B42:U42)))),
IFERROR(
IF('Résultats des tournois'!U42="""", INDEX(FILTER($C42:U42, ISNUMBER($C42:U42)), COUNTA(FILTER($C42:U"&amp;"42, ISNUMBER($C42:U42)))),
lastVal + 'K dynamique'!U42 * ((SQRT('Résultats des tournois'!U$2 + 1)/'Résultats des tournois'!U42) - (1 / (1 + 10^((U$103 - lastVal)/400)))))
)
))"),"")</f>
        <v/>
      </c>
      <c r="W42" s="32" t="str">
        <f>IFERROR(__xludf.DUMMYFUNCTION("IF('Résultats des tournois'!V$2=0,"""",LET(
lastVal, INDEX(FILTER($B42:V42, ISNUMBER($B42:V42)), COUNTA(FILTER($B42:V42, ISNUMBER($B42:V42)))),
IFERROR(
IF('Résultats des tournois'!V42="""", INDEX(FILTER($C42:V42, ISNUMBER($C42:V42)), COUNTA(FILTER($C42:V"&amp;"42, ISNUMBER($C42:V42)))),
lastVal + 'K dynamique'!V42 * ((SQRT('Résultats des tournois'!V$2 + 1)/'Résultats des tournois'!V42) - (1 / (1 + 10^((V$103 - lastVal)/400)))))
)
))"),"")</f>
        <v/>
      </c>
      <c r="X42" s="32" t="str">
        <f>IFERROR(__xludf.DUMMYFUNCTION("IF('Résultats des tournois'!W$2=0,"""",LET(
lastVal, INDEX(FILTER($B42:W42, ISNUMBER($B42:W42)), COUNTA(FILTER($B42:W42, ISNUMBER($B42:W42)))),
IFERROR(
IF('Résultats des tournois'!W42="""", INDEX(FILTER($C42:W42, ISNUMBER($C42:W42)), COUNTA(FILTER($C42:W"&amp;"42, ISNUMBER($C42:W42)))),
lastVal + 'K dynamique'!W42 * ((SQRT('Résultats des tournois'!W$2 + 1)/'Résultats des tournois'!W42) - (1 / (1 + 10^((W$103 - lastVal)/400)))))
)
))"),"")</f>
        <v/>
      </c>
      <c r="Y42" s="32" t="str">
        <f>IFERROR(__xludf.DUMMYFUNCTION("IF('Résultats des tournois'!X$2=0,"""",LET(
lastVal, INDEX(FILTER($B42:X42, ISNUMBER($B42:X42)), COUNTA(FILTER($B42:X42, ISNUMBER($B42:X42)))),
IFERROR(
IF('Résultats des tournois'!X42="""", INDEX(FILTER($C42:X42, ISNUMBER($C42:X42)), COUNTA(FILTER($C42:X"&amp;"42, ISNUMBER($C42:X42)))),
lastVal + 'K dynamique'!X42 * ((SQRT('Résultats des tournois'!X$2 + 1)/'Résultats des tournois'!X42) - (1 / (1 + 10^((X$103 - lastVal)/400)))))
)
))"),"")</f>
        <v/>
      </c>
      <c r="Z42" s="32" t="str">
        <f>IFERROR(__xludf.DUMMYFUNCTION("IF('Résultats des tournois'!Y$2=0,"""",LET(
lastVal, INDEX(FILTER($B42:Y42, ISNUMBER($B42:Y42)), COUNTA(FILTER($B42:Y42, ISNUMBER($B42:Y42)))),
IFERROR(
IF('Résultats des tournois'!Y42="""", INDEX(FILTER($C42:Y42, ISNUMBER($C42:Y42)), COUNTA(FILTER($C42:Y"&amp;"42, ISNUMBER($C42:Y42)))),
lastVal + 'K dynamique'!Y42 * ((SQRT('Résultats des tournois'!Y$2 + 1)/'Résultats des tournois'!Y42) - (1 / (1 + 10^((Y$103 - lastVal)/400)))))
)
))"),"")</f>
        <v/>
      </c>
      <c r="AA42" s="32" t="str">
        <f>IFERROR(__xludf.DUMMYFUNCTION("IF('Résultats des tournois'!Z$2=0,"""",LET(
lastVal, INDEX(FILTER($B42:Z42, ISNUMBER($B42:Z42)), COUNTA(FILTER($B42:Z42, ISNUMBER($B42:Z42)))),
IFERROR(
IF('Résultats des tournois'!Z42="""", INDEX(FILTER($C42:Z42, ISNUMBER($C42:Z42)), COUNTA(FILTER($C42:Z"&amp;"42, ISNUMBER($C42:Z42)))),
lastVal + 'K dynamique'!Z42 * ((SQRT('Résultats des tournois'!Z$2 + 1)/'Résultats des tournois'!Z42) - (1 / (1 + 10^((Z$103 - lastVal)/400)))))
)
))"),"")</f>
        <v/>
      </c>
      <c r="AB42" s="32" t="str">
        <f>IFERROR(__xludf.DUMMYFUNCTION("IF('Résultats des tournois'!AA$2=0,"""",LET(
lastVal, INDEX(FILTER($B42:AA42, ISNUMBER($B42:AA42)), COUNTA(FILTER($B42:AA42, ISNUMBER($B42:AA42)))),
IFERROR(
IF('Résultats des tournois'!AA42="""", INDEX(FILTER($C42:AA42, ISNUMBER($C42:AA42)), COUNTA(FILTE"&amp;"R($C42:AA42, ISNUMBER($C42:AA42)))),
lastVal + 'K dynamique'!AA42 * ((SQRT('Résultats des tournois'!AA$2 + 1)/'Résultats des tournois'!AA42) - (1 / (1 + 10^((AA$103 - lastVal)/400)))))
)
))"),"")</f>
        <v/>
      </c>
      <c r="AC42" s="32" t="str">
        <f>IFERROR(__xludf.DUMMYFUNCTION("IF('Résultats des tournois'!AB$2=0,"""",LET(
lastVal, INDEX(FILTER($B42:AB42, ISNUMBER($B42:AB42)), COUNTA(FILTER($B42:AB42, ISNUMBER($B42:AB42)))),
IFERROR(
IF('Résultats des tournois'!AB42="""", INDEX(FILTER($C42:AB42, ISNUMBER($C42:AB42)), COUNTA(FILTE"&amp;"R($C42:AB42, ISNUMBER($C42:AB42)))),
lastVal + 'K dynamique'!AB42 * ((SQRT('Résultats des tournois'!AB$2 + 1)/'Résultats des tournois'!AB42) - (1 / (1 + 10^((AB$103 - lastVal)/400)))))
)
))"),"")</f>
        <v/>
      </c>
      <c r="AD42" s="32" t="str">
        <f>IFERROR(__xludf.DUMMYFUNCTION("IF('Résultats des tournois'!AC$2=0,"""",LET(
lastVal, INDEX(FILTER($B42:AC42, ISNUMBER($B42:AC42)), COUNTA(FILTER($B42:AC42, ISNUMBER($B42:AC42)))),
IFERROR(
IF('Résultats des tournois'!AC42="""", INDEX(FILTER($C42:AC42, ISNUMBER($C42:AC42)), COUNTA(FILTE"&amp;"R($C42:AC42, ISNUMBER($C42:AC42)))),
lastVal + 'K dynamique'!AC42 * ((SQRT('Résultats des tournois'!AC$2 + 1)/'Résultats des tournois'!AC42) - (1 / (1 + 10^((AC$103 - lastVal)/400)))))
)
))"),"")</f>
        <v/>
      </c>
      <c r="AE42" s="32" t="str">
        <f>IFERROR(__xludf.DUMMYFUNCTION("IF('Résultats des tournois'!AD$2=0,"""",LET(
lastVal, INDEX(FILTER($B42:AD42, ISNUMBER($B42:AD42)), COUNTA(FILTER($B42:AD42, ISNUMBER($B42:AD42)))),
IFERROR(
IF('Résultats des tournois'!AD42="""", INDEX(FILTER($C42:AD42, ISNUMBER($C42:AD42)), COUNTA(FILTE"&amp;"R($C42:AD42, ISNUMBER($C42:AD42)))),
lastVal + 'K dynamique'!AD42 * ((SQRT('Résultats des tournois'!AD$2 + 1)/'Résultats des tournois'!AD42) - (1 / (1 + 10^((AD$103 - lastVal)/400)))))
)
))"),"")</f>
        <v/>
      </c>
      <c r="AF42" s="32" t="str">
        <f>IFERROR(__xludf.DUMMYFUNCTION("IF('Résultats des tournois'!AE$2=0,"""",LET(
lastVal, INDEX(FILTER($B42:AE42, ISNUMBER($B42:AE42)), COUNTA(FILTER($B42:AE42, ISNUMBER($B42:AE42)))),
IFERROR(
IF('Résultats des tournois'!AE42="""", INDEX(FILTER($C42:AE42, ISNUMBER($C42:AE42)), COUNTA(FILTE"&amp;"R($C42:AE42, ISNUMBER($C42:AE42)))),
lastVal + 'K dynamique'!AE42 * ((SQRT('Résultats des tournois'!AE$2 + 1)/'Résultats des tournois'!AE42) - (1 / (1 + 10^((AE$103 - lastVal)/400)))))
)
))"),"")</f>
        <v/>
      </c>
      <c r="AG42" s="32" t="str">
        <f>IFERROR(__xludf.DUMMYFUNCTION("IF('Résultats des tournois'!AF$2=0,"""",LET(
lastVal, INDEX(FILTER($B42:AF42, ISNUMBER($B42:AF42)), COUNTA(FILTER($B42:AF42, ISNUMBER($B42:AF42)))),
IFERROR(
IF('Résultats des tournois'!AF42="""", INDEX(FILTER($C42:AF42, ISNUMBER($C42:AF42)), COUNTA(FILTE"&amp;"R($C42:AF42, ISNUMBER($C42:AF42)))),
lastVal + 'K dynamique'!AF42 * ((SQRT('Résultats des tournois'!AF$2 + 1)/'Résultats des tournois'!AF42) - (1 / (1 + 10^((AF$103 - lastVal)/400)))))
)
))"),"")</f>
        <v/>
      </c>
      <c r="AH42" s="32" t="str">
        <f>IFERROR(__xludf.DUMMYFUNCTION("IF('Résultats des tournois'!AG$2=0,"""",LET(
lastVal, INDEX(FILTER($B42:AG42, ISNUMBER($B42:AG42)), COUNTA(FILTER($B42:AG42, ISNUMBER($B42:AG42)))),
IFERROR(
IF('Résultats des tournois'!AG42="""", INDEX(FILTER($C42:AG42, ISNUMBER($C42:AG42)), COUNTA(FILTE"&amp;"R($C42:AG42, ISNUMBER($C42:AG42)))),
lastVal + 'K dynamique'!AG42 * ((SQRT('Résultats des tournois'!AG$2 + 1)/'Résultats des tournois'!AG42) - (1 / (1 + 10^((AG$103 - lastVal)/400)))))
)
))"),"")</f>
        <v/>
      </c>
      <c r="AI42" s="32" t="str">
        <f>IFERROR(__xludf.DUMMYFUNCTION("IF('Résultats des tournois'!AH$2=0,"""",LET(
lastVal, INDEX(FILTER($B42:AH42, ISNUMBER($B42:AH42)), COUNTA(FILTER($B42:AH42, ISNUMBER($B42:AH42)))),
IFERROR(
IF('Résultats des tournois'!AH42="""", INDEX(FILTER($C42:AH42, ISNUMBER($C42:AH42)), COUNTA(FILTE"&amp;"R($C42:AH42, ISNUMBER($C42:AH42)))),
lastVal + 'K dynamique'!AH42 * ((SQRT('Résultats des tournois'!AH$2 + 1)/'Résultats des tournois'!AH42) - (1 / (1 + 10^((AH$103 - lastVal)/400)))))
)
))"),"")</f>
        <v/>
      </c>
      <c r="AJ42" s="32" t="str">
        <f>IFERROR(__xludf.DUMMYFUNCTION("IF('Résultats des tournois'!AI$2=0,"""",LET(
lastVal, INDEX(FILTER($B42:AI42, ISNUMBER($B42:AI42)), COUNTA(FILTER($B42:AI42, ISNUMBER($B42:AI42)))),
IFERROR(
IF('Résultats des tournois'!AI42="""", INDEX(FILTER($C42:AI42, ISNUMBER($C42:AI42)), COUNTA(FILTE"&amp;"R($C42:AI42, ISNUMBER($C42:AI42)))),
lastVal + 'K dynamique'!AI42 * ((SQRT('Résultats des tournois'!AI$2 + 1)/'Résultats des tournois'!AI42) - (1 / (1 + 10^((AI$103 - lastVal)/400)))))
)
))"),"")</f>
        <v/>
      </c>
      <c r="AK42" s="32" t="str">
        <f>IFERROR(__xludf.DUMMYFUNCTION("IF('Résultats des tournois'!AJ$2=0,"""",LET(
lastVal, INDEX(FILTER($B42:AJ42, ISNUMBER($B42:AJ42)), COUNTA(FILTER($B42:AJ42, ISNUMBER($B42:AJ42)))),
IFERROR(
IF('Résultats des tournois'!AJ42="""", INDEX(FILTER($C42:AJ42, ISNUMBER($C42:AJ42)), COUNTA(FILTE"&amp;"R($C42:AJ42, ISNUMBER($C42:AJ42)))),
lastVal + 'K dynamique'!AJ42 * ((SQRT('Résultats des tournois'!AJ$2 + 1)/'Résultats des tournois'!AJ42) - (1 / (1 + 10^((AJ$103 - lastVal)/400)))))
)
))"),"")</f>
        <v/>
      </c>
      <c r="AL42" s="32" t="str">
        <f>IFERROR(__xludf.DUMMYFUNCTION("IF('Résultats des tournois'!AK$2=0,"""",LET(
lastVal, INDEX(FILTER($B42:AK42, ISNUMBER($B42:AK42)), COUNTA(FILTER($B42:AK42, ISNUMBER($B42:AK42)))),
IFERROR(
IF('Résultats des tournois'!AK42="""", INDEX(FILTER($C42:AK42, ISNUMBER($C42:AK42)), COUNTA(FILTE"&amp;"R($C42:AK42, ISNUMBER($C42:AK42)))),
lastVal + 'K dynamique'!AK42 * ((SQRT('Résultats des tournois'!AK$2 + 1)/'Résultats des tournois'!AK42) - (1 / (1 + 10^((AK$103 - lastVal)/400)))))
)
))"),"")</f>
        <v/>
      </c>
      <c r="AM42" s="32" t="str">
        <f>IFERROR(__xludf.DUMMYFUNCTION("IF('Résultats des tournois'!AL$2=0,"""",LET(
lastVal, INDEX(FILTER($B42:AL42, ISNUMBER($B42:AL42)), COUNTA(FILTER($B42:AL42, ISNUMBER($B42:AL42)))),
IFERROR(
IF('Résultats des tournois'!AL42="""", INDEX(FILTER($C42:AL42, ISNUMBER($C42:AL42)), COUNTA(FILTE"&amp;"R($C42:AL42, ISNUMBER($C42:AL42)))),
lastVal + 'K dynamique'!AL42 * ((SQRT('Résultats des tournois'!AL$2 + 1)/'Résultats des tournois'!AL42) - (1 / (1 + 10^((AL$103 - lastVal)/400)))))
)
))"),"")</f>
        <v/>
      </c>
      <c r="AN42" s="32" t="str">
        <f>IFERROR(__xludf.DUMMYFUNCTION("IF('Résultats des tournois'!AM$2=0,"""",LET(
lastVal, INDEX(FILTER($B42:AM42, ISNUMBER($B42:AM42)), COUNTA(FILTER($B42:AM42, ISNUMBER($B42:AM42)))),
IFERROR(
IF('Résultats des tournois'!AM42="""", INDEX(FILTER($C42:AM42, ISNUMBER($C42:AM42)), COUNTA(FILTE"&amp;"R($C42:AM42, ISNUMBER($C42:AM42)))),
lastVal + 'K dynamique'!AM42 * ((SQRT('Résultats des tournois'!AM$2 + 1)/'Résultats des tournois'!AM42) - (1 / (1 + 10^((AM$103 - lastVal)/400)))))
)
))"),"")</f>
        <v/>
      </c>
      <c r="AO42" s="32" t="str">
        <f>IFERROR(__xludf.DUMMYFUNCTION("IF('Résultats des tournois'!AN$2=0,"""",LET(
lastVal, INDEX(FILTER($B42:AN42, ISNUMBER($B42:AN42)), COUNTA(FILTER($B42:AN42, ISNUMBER($B42:AN42)))),
IFERROR(
IF('Résultats des tournois'!AN42="""", INDEX(FILTER($C42:AN42, ISNUMBER($C42:AN42)), COUNTA(FILTE"&amp;"R($C42:AN42, ISNUMBER($C42:AN42)))),
lastVal + 'K dynamique'!AN42 * ((SQRT('Résultats des tournois'!AN$2 + 1)/'Résultats des tournois'!AN42) - (1 / (1 + 10^((AN$103 - lastVal)/400)))))
)
))"),"")</f>
        <v/>
      </c>
      <c r="AP42" s="32" t="str">
        <f>IFERROR(__xludf.DUMMYFUNCTION("IF('Résultats des tournois'!AO$2=0,"""",LET(
lastVal, INDEX(FILTER($B42:AO42, ISNUMBER($B42:AO42)), COUNTA(FILTER($B42:AO42, ISNUMBER($B42:AO42)))),
IFERROR(
IF('Résultats des tournois'!AO42="""", INDEX(FILTER($C42:AO42, ISNUMBER($C42:AO42)), COUNTA(FILTE"&amp;"R($C42:AO42, ISNUMBER($C42:AO42)))),
lastVal + 'K dynamique'!AO42 * ((SQRT('Résultats des tournois'!AO$2 + 1)/'Résultats des tournois'!AO42) - (1 / (1 + 10^((AO$103 - lastVal)/400)))))
)
))"),"")</f>
        <v/>
      </c>
      <c r="AQ42" s="32" t="str">
        <f>IFERROR(__xludf.DUMMYFUNCTION("IF('Résultats des tournois'!AP$2=0,"""",LET(
lastVal, INDEX(FILTER($B42:AP42, ISNUMBER($B42:AP42)), COUNTA(FILTER($B42:AP42, ISNUMBER($B42:AP42)))),
IFERROR(
IF('Résultats des tournois'!AP42="""", INDEX(FILTER($C42:AP42, ISNUMBER($C42:AP42)), COUNTA(FILTE"&amp;"R($C42:AP42, ISNUMBER($C42:AP42)))),
lastVal + 'K dynamique'!AP42 * ((SQRT('Résultats des tournois'!AP$2 + 1)/'Résultats des tournois'!AP42) - (1 / (1 + 10^((AP$103 - lastVal)/400)))))
)
))"),"")</f>
        <v/>
      </c>
      <c r="AR42" s="32" t="str">
        <f>IFERROR(__xludf.DUMMYFUNCTION("IF('Résultats des tournois'!AQ$2=0,"""",LET(
lastVal, INDEX(FILTER($B42:AQ42, ISNUMBER($B42:AQ42)), COUNTA(FILTER($B42:AQ42, ISNUMBER($B42:AQ42)))),
IFERROR(
IF('Résultats des tournois'!AQ42="""", INDEX(FILTER($C42:AQ42, ISNUMBER($C42:AQ42)), COUNTA(FILTE"&amp;"R($C42:AQ42, ISNUMBER($C42:AQ42)))),
lastVal + 'K dynamique'!AQ42 * ((SQRT('Résultats des tournois'!AQ$2 + 1)/'Résultats des tournois'!AQ42) - (1 / (1 + 10^((AQ$103 - lastVal)/400)))))
)
))"),"")</f>
        <v/>
      </c>
      <c r="AS42" s="32" t="str">
        <f>IFERROR(__xludf.DUMMYFUNCTION("IF('Résultats des tournois'!AR$2=0,"""",LET(
lastVal, INDEX(FILTER($B42:AR42, ISNUMBER($B42:AR42)), COUNTA(FILTER($B42:AR42, ISNUMBER($B42:AR42)))),
IFERROR(
IF('Résultats des tournois'!AR42="""", INDEX(FILTER($C42:AR42, ISNUMBER($C42:AR42)), COUNTA(FILTE"&amp;"R($C42:AR42, ISNUMBER($C42:AR42)))),
lastVal + 'K dynamique'!AR42 * ((SQRT('Résultats des tournois'!AR$2 + 1)/'Résultats des tournois'!AR42) - (1 / (1 + 10^((AR$103 - lastVal)/400)))))
)
))"),"")</f>
        <v/>
      </c>
      <c r="AT42" s="32" t="str">
        <f>IFERROR(__xludf.DUMMYFUNCTION("IF('Résultats des tournois'!AS$2=0,"""",LET(
lastVal, INDEX(FILTER($B42:AS42, ISNUMBER($B42:AS42)), COUNTA(FILTER($B42:AS42, ISNUMBER($B42:AS42)))),
IFERROR(
IF('Résultats des tournois'!AS42="""", INDEX(FILTER($C42:AS42, ISNUMBER($C42:AS42)), COUNTA(FILTE"&amp;"R($C42:AS42, ISNUMBER($C42:AS42)))),
lastVal + 'K dynamique'!AS42 * ((SQRT('Résultats des tournois'!AS$2 + 1)/'Résultats des tournois'!AS42) - (1 / (1 + 10^((AS$103 - lastVal)/400)))))
)
))"),"")</f>
        <v/>
      </c>
      <c r="AU42" s="32" t="str">
        <f>IFERROR(__xludf.DUMMYFUNCTION("IF('Résultats des tournois'!AT$2=0,"""",LET(
lastVal, INDEX(FILTER($B42:AT42, ISNUMBER($B42:AT42)), COUNTA(FILTER($B42:AT42, ISNUMBER($B42:AT42)))),
IFERROR(
IF('Résultats des tournois'!AT42="""", INDEX(FILTER($C42:AT42, ISNUMBER($C42:AT42)), COUNTA(FILTE"&amp;"R($C42:AT42, ISNUMBER($C42:AT42)))),
lastVal + 'K dynamique'!AT42 * ((SQRT('Résultats des tournois'!AT$2 + 1)/'Résultats des tournois'!AT42) - (1 / (1 + 10^((AT$103 - lastVal)/400)))))
)
))"),"")</f>
        <v/>
      </c>
      <c r="AV42" s="32" t="str">
        <f>IFERROR(__xludf.DUMMYFUNCTION("IF('Résultats des tournois'!AU$2=0,"""",LET(
lastVal, INDEX(FILTER($B42:AU42, ISNUMBER($B42:AU42)), COUNTA(FILTER($B42:AU42, ISNUMBER($B42:AU42)))),
IFERROR(
IF('Résultats des tournois'!AU42="""", INDEX(FILTER($C42:AU42, ISNUMBER($C42:AU42)), COUNTA(FILTE"&amp;"R($C42:AU42, ISNUMBER($C42:AU42)))),
lastVal + 'K dynamique'!AU42 * ((SQRT('Résultats des tournois'!AU$2 + 1)/'Résultats des tournois'!AU42) - (1 / (1 + 10^((AU$103 - lastVal)/400)))))
)
))"),"")</f>
        <v/>
      </c>
      <c r="AW42" s="32" t="str">
        <f>IFERROR(__xludf.DUMMYFUNCTION("IF('Résultats des tournois'!AV$2=0,"""",LET(
lastVal, INDEX(FILTER($B42:AV42, ISNUMBER($B42:AV42)), COUNTA(FILTER($B42:AV42, ISNUMBER($B42:AV42)))),
IFERROR(
IF('Résultats des tournois'!AV42="""", INDEX(FILTER($C42:AV42, ISNUMBER($C42:AV42)), COUNTA(FILTE"&amp;"R($C42:AV42, ISNUMBER($C42:AV42)))),
lastVal + 'K dynamique'!AV42 * ((SQRT('Résultats des tournois'!AV$2 + 1)/'Résultats des tournois'!AV42) - (1 / (1 + 10^((AV$103 - lastVal)/400)))))
)
))"),"")</f>
        <v/>
      </c>
      <c r="AX42" s="32" t="str">
        <f>IFERROR(__xludf.DUMMYFUNCTION("IF('Résultats des tournois'!AW$2=0,"""",LET(
lastVal, INDEX(FILTER($B42:AW42, ISNUMBER($B42:AW42)), COUNTA(FILTER($B42:AW42, ISNUMBER($B42:AW42)))),
IFERROR(
IF('Résultats des tournois'!AW42="""", INDEX(FILTER($C42:AW42, ISNUMBER($C42:AW42)), COUNTA(FILTE"&amp;"R($C42:AW42, ISNUMBER($C42:AW42)))),
lastVal + 'K dynamique'!AW42 * ((SQRT('Résultats des tournois'!AW$2 + 1)/'Résultats des tournois'!AW42) - (1 / (1 + 10^((AW$103 - lastVal)/400)))))
)
))"),"")</f>
        <v/>
      </c>
      <c r="AY42" s="32" t="str">
        <f>IFERROR(__xludf.DUMMYFUNCTION("IF('Résultats des tournois'!AX$2=0,"""",LET(
lastVal, INDEX(FILTER($B42:AX42, ISNUMBER($B42:AX42)), COUNTA(FILTER($B42:AX42, ISNUMBER($B42:AX42)))),
IFERROR(
IF('Résultats des tournois'!AX42="""", INDEX(FILTER($C42:AX42, ISNUMBER($C42:AX42)), COUNTA(FILTE"&amp;"R($C42:AX42, ISNUMBER($C42:AX42)))),
lastVal + 'K dynamique'!AX42 * ((SQRT('Résultats des tournois'!AX$2 + 1)/'Résultats des tournois'!AX42) - (1 / (1 + 10^((AX$103 - lastVal)/400)))))
)
))"),"")</f>
        <v/>
      </c>
      <c r="AZ42" s="4" t="str">
        <f t="array" ref="AZ42">IF(MAX(($C42:AY42&lt;&gt;"")*COLUMN($C42:AY42))=0,"",INDEX($C42:AY42,1,MAX(($C42:AY42&lt;&gt;"")*COLUMN($C42:AY42))-COLUMN($C42)+1))</f>
        <v/>
      </c>
      <c r="BA42" s="33" t="str">
        <f t="shared" si="1"/>
        <v/>
      </c>
    </row>
    <row r="43" ht="14.25" customHeight="1">
      <c r="A43" s="32" t="str">
        <f>IF('Résultats des tournois'!A43="","",'Résultats des tournois'!A43)</f>
        <v/>
      </c>
      <c r="B43" s="32">
        <v>1500.0</v>
      </c>
      <c r="C43" s="32" t="str">
        <f>IF('Résultats des tournois'!B43="","",B43+'K dynamique'!B43*((SQRT('Résultats des tournois'!B$2+1)/'Résultats des tournois'!B43)-(1/(1+10^((B43-B43)/400)))))</f>
        <v/>
      </c>
      <c r="D43" s="32" t="str">
        <f>IFERROR(__xludf.DUMMYFUNCTION("IF('Résultats des tournois'!C$2=0,"""",LET(
lastVal, INDEX(FILTER($B43:C43, ISNUMBER($B43:C43)), COUNTA(FILTER($B43:C43, ISNUMBER($B43:C43)))),
IFERROR(
IF('Résultats des tournois'!C43="""", INDEX(FILTER($C43:C43, ISNUMBER($C43:C43)), COUNTA(FILTER($C43:C"&amp;"43, ISNUMBER($C43:C43)))),
lastVal + 'K dynamique'!C43 * ((SQRT('Résultats des tournois'!C$2 + 1)/'Résultats des tournois'!C43) - (1 / (1 + 10^((C$103 - lastVal)/400)))))
)
))"),"")</f>
        <v/>
      </c>
      <c r="E43" s="32" t="str">
        <f>IFERROR(__xludf.DUMMYFUNCTION("IF('Résultats des tournois'!D$2=0,"""",LET(
lastVal, INDEX(FILTER($B43:D43, ISNUMBER($B43:D43)), COUNTA(FILTER($B43:D43, ISNUMBER($B43:D43)))),
IFERROR(
IF('Résultats des tournois'!D43="""", INDEX(FILTER($C43:D43, ISNUMBER($C43:D43)), COUNTA(FILTER($C43:D"&amp;"43, ISNUMBER($C43:D43)))),
lastVal + 'K dynamique'!D43 * ((SQRT('Résultats des tournois'!D$2 + 1)/'Résultats des tournois'!D43) - (1 / (1 + 10^((D$103 - lastVal)/400)))))
)
))"),"")</f>
        <v/>
      </c>
      <c r="F43" s="32" t="str">
        <f>IFERROR(__xludf.DUMMYFUNCTION("IF('Résultats des tournois'!E$2=0,"""",LET(
lastVal, INDEX(FILTER($B43:E43, ISNUMBER($B43:E43)), COUNTA(FILTER($B43:E43, ISNUMBER($B43:E43)))),
IFERROR(
IF('Résultats des tournois'!E43="""", INDEX(FILTER($C43:E43, ISNUMBER($C43:E43)), COUNTA(FILTER($C43:E"&amp;"43, ISNUMBER($C43:E43)))),
lastVal + 'K dynamique'!E43 * ((SQRT('Résultats des tournois'!E$2 + 1)/'Résultats des tournois'!E43) - (1 / (1 + 10^((E$103 - lastVal)/400)))))
)
))"),"")</f>
        <v/>
      </c>
      <c r="G43" s="32" t="str">
        <f>IFERROR(__xludf.DUMMYFUNCTION("IF('Résultats des tournois'!F$2=0,"""",LET(
lastVal, INDEX(FILTER($B43:F43, ISNUMBER($B43:F43)), COUNTA(FILTER($B43:F43, ISNUMBER($B43:F43)))),
IFERROR(
IF('Résultats des tournois'!F43="""", INDEX(FILTER($C43:F43, ISNUMBER($C43:F43)), COUNTA(FILTER($C43:F"&amp;"43, ISNUMBER($C43:F43)))),
lastVal + 'K dynamique'!F43 * ((SQRT('Résultats des tournois'!F$2 + 1)/'Résultats des tournois'!F43) - (1 / (1 + 10^((F$103 - lastVal)/400)))))
)
))"),"")</f>
        <v/>
      </c>
      <c r="H43" s="32" t="str">
        <f>IFERROR(__xludf.DUMMYFUNCTION("IF('Résultats des tournois'!G$2=0,"""",LET(
lastVal, INDEX(FILTER($B43:G43, ISNUMBER($B43:G43)), COUNTA(FILTER($B43:G43, ISNUMBER($B43:G43)))),
IFERROR(
IF('Résultats des tournois'!G43="""", INDEX(FILTER($C43:G43, ISNUMBER($C43:G43)), COUNTA(FILTER($C43:G"&amp;"43, ISNUMBER($C43:G43)))),
lastVal + 'K dynamique'!G43 * ((SQRT('Résultats des tournois'!G$2 + 1)/'Résultats des tournois'!G43) - (1 / (1 + 10^((G$103 - lastVal)/400)))))
)
))"),"")</f>
        <v/>
      </c>
      <c r="I43" s="32" t="str">
        <f>IFERROR(__xludf.DUMMYFUNCTION("IF('Résultats des tournois'!H$2=0,"""",LET(
lastVal, INDEX(FILTER($B43:H43, ISNUMBER($B43:H43)), COUNTA(FILTER($B43:H43, ISNUMBER($B43:H43)))),
IFERROR(
IF('Résultats des tournois'!H43="""", INDEX(FILTER($C43:H43, ISNUMBER($C43:H43)), COUNTA(FILTER($C43:H"&amp;"43, ISNUMBER($C43:H43)))),
lastVal + 'K dynamique'!H43 * ((SQRT('Résultats des tournois'!H$2 + 1)/'Résultats des tournois'!H43) - (1 / (1 + 10^((H$103 - lastVal)/400)))))
)
))"),"")</f>
        <v/>
      </c>
      <c r="J43" s="32" t="str">
        <f>IFERROR(__xludf.DUMMYFUNCTION("IF('Résultats des tournois'!I$2=0,"""",LET(
lastVal, INDEX(FILTER($B43:I43, ISNUMBER($B43:I43)), COUNTA(FILTER($B43:I43, ISNUMBER($B43:I43)))),
IFERROR(
IF('Résultats des tournois'!I43="""", INDEX(FILTER($C43:I43, ISNUMBER($C43:I43)), COUNTA(FILTER($C43:I"&amp;"43, ISNUMBER($C43:I43)))),
lastVal + 'K dynamique'!I43 * ((SQRT('Résultats des tournois'!I$2 + 1)/'Résultats des tournois'!I43) - (1 / (1 + 10^((I$103 - lastVal)/400)))))
)
))"),"")</f>
        <v/>
      </c>
      <c r="K43" s="32" t="str">
        <f>IFERROR(__xludf.DUMMYFUNCTION("IF('Résultats des tournois'!J$2=0,"""",LET(
lastVal, INDEX(FILTER($B43:J43, ISNUMBER($B43:J43)), COUNTA(FILTER($B43:J43, ISNUMBER($B43:J43)))),
IFERROR(
IF('Résultats des tournois'!J43="""", INDEX(FILTER($C43:J43, ISNUMBER($C43:J43)), COUNTA(FILTER($C43:J"&amp;"43, ISNUMBER($C43:J43)))),
lastVal + 'K dynamique'!J43 * ((SQRT('Résultats des tournois'!J$2 + 1)/'Résultats des tournois'!J43) - (1 / (1 + 10^((J$103 - lastVal)/400)))))
)
))"),"")</f>
        <v/>
      </c>
      <c r="L43" s="32" t="str">
        <f>IFERROR(__xludf.DUMMYFUNCTION("IF('Résultats des tournois'!K$2=0,"""",LET(
lastVal, INDEX(FILTER($B43:K43, ISNUMBER($B43:K43)), COUNTA(FILTER($B43:K43, ISNUMBER($B43:K43)))),
IFERROR(
IF('Résultats des tournois'!K43="""", INDEX(FILTER($C43:K43, ISNUMBER($C43:K43)), COUNTA(FILTER($C43:K"&amp;"43, ISNUMBER($C43:K43)))),
lastVal + 'K dynamique'!K43 * ((SQRT('Résultats des tournois'!K$2 + 1)/'Résultats des tournois'!K43) - (1 / (1 + 10^((K$103 - lastVal)/400)))))
)
))"),"")</f>
        <v/>
      </c>
      <c r="M43" s="32" t="str">
        <f>IFERROR(__xludf.DUMMYFUNCTION("IF('Résultats des tournois'!L$2=0,"""",LET(
lastVal, INDEX(FILTER($B43:L43, ISNUMBER($B43:L43)), COUNTA(FILTER($B43:L43, ISNUMBER($B43:L43)))),
IFERROR(
IF('Résultats des tournois'!L43="""", INDEX(FILTER($C43:L43, ISNUMBER($C43:L43)), COUNTA(FILTER($C43:L"&amp;"43, ISNUMBER($C43:L43)))),
lastVal + 'K dynamique'!L43 * ((SQRT('Résultats des tournois'!L$2 + 1)/'Résultats des tournois'!L43) - (1 / (1 + 10^((L$103 - lastVal)/400)))))
)
))"),"")</f>
        <v/>
      </c>
      <c r="N43" s="32" t="str">
        <f>IFERROR(__xludf.DUMMYFUNCTION("IF('Résultats des tournois'!M$2=0,"""",LET(
lastVal, INDEX(FILTER($B43:M43, ISNUMBER($B43:M43)), COUNTA(FILTER($B43:M43, ISNUMBER($B43:M43)))),
IFERROR(
IF('Résultats des tournois'!M43="""", INDEX(FILTER($C43:M43, ISNUMBER($C43:M43)), COUNTA(FILTER($C43:M"&amp;"43, ISNUMBER($C43:M43)))),
lastVal + 'K dynamique'!M43 * ((SQRT('Résultats des tournois'!M$2 + 1)/'Résultats des tournois'!M43) - (1 / (1 + 10^((M$103 - lastVal)/400)))))
)
))"),"")</f>
        <v/>
      </c>
      <c r="O43" s="32" t="str">
        <f>IFERROR(__xludf.DUMMYFUNCTION("IF('Résultats des tournois'!N$2=0,"""",LET(
lastVal, INDEX(FILTER($B43:N43, ISNUMBER($B43:N43)), COUNTA(FILTER($B43:N43, ISNUMBER($B43:N43)))),
IFERROR(
IF('Résultats des tournois'!N43="""", INDEX(FILTER($C43:N43, ISNUMBER($C43:N43)), COUNTA(FILTER($C43:N"&amp;"43, ISNUMBER($C43:N43)))),
lastVal + 'K dynamique'!N43 * ((SQRT('Résultats des tournois'!N$2 + 1)/'Résultats des tournois'!N43) - (1 / (1 + 10^((N$103 - lastVal)/400)))))
)
))"),"")</f>
        <v/>
      </c>
      <c r="P43" s="32" t="str">
        <f>IFERROR(__xludf.DUMMYFUNCTION("IF('Résultats des tournois'!O$2=0,"""",LET(
lastVal, INDEX(FILTER($B43:O43, ISNUMBER($B43:O43)), COUNTA(FILTER($B43:O43, ISNUMBER($B43:O43)))),
IFERROR(
IF('Résultats des tournois'!O43="""", INDEX(FILTER($C43:O43, ISNUMBER($C43:O43)), COUNTA(FILTER($C43:O"&amp;"43, ISNUMBER($C43:O43)))),
lastVal + 'K dynamique'!O43 * ((SQRT('Résultats des tournois'!O$2 + 1)/'Résultats des tournois'!O43) - (1 / (1 + 10^((O$103 - lastVal)/400)))))
)
))"),"")</f>
        <v/>
      </c>
      <c r="Q43" s="32" t="str">
        <f>IFERROR(__xludf.DUMMYFUNCTION("IF('Résultats des tournois'!P$2=0,"""",LET(
lastVal, INDEX(FILTER($B43:P43, ISNUMBER($B43:P43)), COUNTA(FILTER($B43:P43, ISNUMBER($B43:P43)))),
IFERROR(
IF('Résultats des tournois'!P43="""", INDEX(FILTER($C43:P43, ISNUMBER($C43:P43)), COUNTA(FILTER($C43:P"&amp;"43, ISNUMBER($C43:P43)))),
lastVal + 'K dynamique'!P43 * ((SQRT('Résultats des tournois'!P$2 + 1)/'Résultats des tournois'!P43) - (1 / (1 + 10^((P$103 - lastVal)/400)))))
)
))"),"")</f>
        <v/>
      </c>
      <c r="R43" s="32" t="str">
        <f>IFERROR(__xludf.DUMMYFUNCTION("IF('Résultats des tournois'!Q$2=0,"""",LET(
lastVal, INDEX(FILTER($B43:Q43, ISNUMBER($B43:Q43)), COUNTA(FILTER($B43:Q43, ISNUMBER($B43:Q43)))),
IFERROR(
IF('Résultats des tournois'!Q43="""", INDEX(FILTER($C43:Q43, ISNUMBER($C43:Q43)), COUNTA(FILTER($C43:Q"&amp;"43, ISNUMBER($C43:Q43)))),
lastVal + 'K dynamique'!Q43 * ((SQRT('Résultats des tournois'!Q$2 + 1)/'Résultats des tournois'!Q43) - (1 / (1 + 10^((Q$103 - lastVal)/400)))))
)
))"),"")</f>
        <v/>
      </c>
      <c r="S43" s="32" t="str">
        <f>IFERROR(__xludf.DUMMYFUNCTION("IF('Résultats des tournois'!R$2=0,"""",LET(
lastVal, INDEX(FILTER($B43:R43, ISNUMBER($B43:R43)), COUNTA(FILTER($B43:R43, ISNUMBER($B43:R43)))),
IFERROR(
IF('Résultats des tournois'!R43="""", INDEX(FILTER($C43:R43, ISNUMBER($C43:R43)), COUNTA(FILTER($C43:R"&amp;"43, ISNUMBER($C43:R43)))),
lastVal + 'K dynamique'!R43 * ((SQRT('Résultats des tournois'!R$2 + 1)/'Résultats des tournois'!R43) - (1 / (1 + 10^((R$103 - lastVal)/400)))))
)
))"),"")</f>
        <v/>
      </c>
      <c r="T43" s="32" t="str">
        <f>IFERROR(__xludf.DUMMYFUNCTION("IF('Résultats des tournois'!S$2=0,"""",LET(
lastVal, INDEX(FILTER($B43:S43, ISNUMBER($B43:S43)), COUNTA(FILTER($B43:S43, ISNUMBER($B43:S43)))),
IFERROR(
IF('Résultats des tournois'!S43="""", INDEX(FILTER($C43:S43, ISNUMBER($C43:S43)), COUNTA(FILTER($C43:S"&amp;"43, ISNUMBER($C43:S43)))),
lastVal + 'K dynamique'!S43 * ((SQRT('Résultats des tournois'!S$2 + 1)/'Résultats des tournois'!S43) - (1 / (1 + 10^((S$103 - lastVal)/400)))))
)
))"),"")</f>
        <v/>
      </c>
      <c r="U43" s="32" t="str">
        <f>IFERROR(__xludf.DUMMYFUNCTION("IF('Résultats des tournois'!T$2=0,"""",LET(
lastVal, INDEX(FILTER($B43:T43, ISNUMBER($B43:T43)), COUNTA(FILTER($B43:T43, ISNUMBER($B43:T43)))),
IFERROR(
IF('Résultats des tournois'!T43="""", INDEX(FILTER($C43:T43, ISNUMBER($C43:T43)), COUNTA(FILTER($C43:T"&amp;"43, ISNUMBER($C43:T43)))),
lastVal + 'K dynamique'!T43 * ((SQRT('Résultats des tournois'!T$2 + 1)/'Résultats des tournois'!T43) - (1 / (1 + 10^((T$103 - lastVal)/400)))))
)
))"),"")</f>
        <v/>
      </c>
      <c r="V43" s="32" t="str">
        <f>IFERROR(__xludf.DUMMYFUNCTION("IF('Résultats des tournois'!U$2=0,"""",LET(
lastVal, INDEX(FILTER($B43:U43, ISNUMBER($B43:U43)), COUNTA(FILTER($B43:U43, ISNUMBER($B43:U43)))),
IFERROR(
IF('Résultats des tournois'!U43="""", INDEX(FILTER($C43:U43, ISNUMBER($C43:U43)), COUNTA(FILTER($C43:U"&amp;"43, ISNUMBER($C43:U43)))),
lastVal + 'K dynamique'!U43 * ((SQRT('Résultats des tournois'!U$2 + 1)/'Résultats des tournois'!U43) - (1 / (1 + 10^((U$103 - lastVal)/400)))))
)
))"),"")</f>
        <v/>
      </c>
      <c r="W43" s="32" t="str">
        <f>IFERROR(__xludf.DUMMYFUNCTION("IF('Résultats des tournois'!V$2=0,"""",LET(
lastVal, INDEX(FILTER($B43:V43, ISNUMBER($B43:V43)), COUNTA(FILTER($B43:V43, ISNUMBER($B43:V43)))),
IFERROR(
IF('Résultats des tournois'!V43="""", INDEX(FILTER($C43:V43, ISNUMBER($C43:V43)), COUNTA(FILTER($C43:V"&amp;"43, ISNUMBER($C43:V43)))),
lastVal + 'K dynamique'!V43 * ((SQRT('Résultats des tournois'!V$2 + 1)/'Résultats des tournois'!V43) - (1 / (1 + 10^((V$103 - lastVal)/400)))))
)
))"),"")</f>
        <v/>
      </c>
      <c r="X43" s="32" t="str">
        <f>IFERROR(__xludf.DUMMYFUNCTION("IF('Résultats des tournois'!W$2=0,"""",LET(
lastVal, INDEX(FILTER($B43:W43, ISNUMBER($B43:W43)), COUNTA(FILTER($B43:W43, ISNUMBER($B43:W43)))),
IFERROR(
IF('Résultats des tournois'!W43="""", INDEX(FILTER($C43:W43, ISNUMBER($C43:W43)), COUNTA(FILTER($C43:W"&amp;"43, ISNUMBER($C43:W43)))),
lastVal + 'K dynamique'!W43 * ((SQRT('Résultats des tournois'!W$2 + 1)/'Résultats des tournois'!W43) - (1 / (1 + 10^((W$103 - lastVal)/400)))))
)
))"),"")</f>
        <v/>
      </c>
      <c r="Y43" s="32" t="str">
        <f>IFERROR(__xludf.DUMMYFUNCTION("IF('Résultats des tournois'!X$2=0,"""",LET(
lastVal, INDEX(FILTER($B43:X43, ISNUMBER($B43:X43)), COUNTA(FILTER($B43:X43, ISNUMBER($B43:X43)))),
IFERROR(
IF('Résultats des tournois'!X43="""", INDEX(FILTER($C43:X43, ISNUMBER($C43:X43)), COUNTA(FILTER($C43:X"&amp;"43, ISNUMBER($C43:X43)))),
lastVal + 'K dynamique'!X43 * ((SQRT('Résultats des tournois'!X$2 + 1)/'Résultats des tournois'!X43) - (1 / (1 + 10^((X$103 - lastVal)/400)))))
)
))"),"")</f>
        <v/>
      </c>
      <c r="Z43" s="32" t="str">
        <f>IFERROR(__xludf.DUMMYFUNCTION("IF('Résultats des tournois'!Y$2=0,"""",LET(
lastVal, INDEX(FILTER($B43:Y43, ISNUMBER($B43:Y43)), COUNTA(FILTER($B43:Y43, ISNUMBER($B43:Y43)))),
IFERROR(
IF('Résultats des tournois'!Y43="""", INDEX(FILTER($C43:Y43, ISNUMBER($C43:Y43)), COUNTA(FILTER($C43:Y"&amp;"43, ISNUMBER($C43:Y43)))),
lastVal + 'K dynamique'!Y43 * ((SQRT('Résultats des tournois'!Y$2 + 1)/'Résultats des tournois'!Y43) - (1 / (1 + 10^((Y$103 - lastVal)/400)))))
)
))"),"")</f>
        <v/>
      </c>
      <c r="AA43" s="32" t="str">
        <f>IFERROR(__xludf.DUMMYFUNCTION("IF('Résultats des tournois'!Z$2=0,"""",LET(
lastVal, INDEX(FILTER($B43:Z43, ISNUMBER($B43:Z43)), COUNTA(FILTER($B43:Z43, ISNUMBER($B43:Z43)))),
IFERROR(
IF('Résultats des tournois'!Z43="""", INDEX(FILTER($C43:Z43, ISNUMBER($C43:Z43)), COUNTA(FILTER($C43:Z"&amp;"43, ISNUMBER($C43:Z43)))),
lastVal + 'K dynamique'!Z43 * ((SQRT('Résultats des tournois'!Z$2 + 1)/'Résultats des tournois'!Z43) - (1 / (1 + 10^((Z$103 - lastVal)/400)))))
)
))"),"")</f>
        <v/>
      </c>
      <c r="AB43" s="32" t="str">
        <f>IFERROR(__xludf.DUMMYFUNCTION("IF('Résultats des tournois'!AA$2=0,"""",LET(
lastVal, INDEX(FILTER($B43:AA43, ISNUMBER($B43:AA43)), COUNTA(FILTER($B43:AA43, ISNUMBER($B43:AA43)))),
IFERROR(
IF('Résultats des tournois'!AA43="""", INDEX(FILTER($C43:AA43, ISNUMBER($C43:AA43)), COUNTA(FILTE"&amp;"R($C43:AA43, ISNUMBER($C43:AA43)))),
lastVal + 'K dynamique'!AA43 * ((SQRT('Résultats des tournois'!AA$2 + 1)/'Résultats des tournois'!AA43) - (1 / (1 + 10^((AA$103 - lastVal)/400)))))
)
))"),"")</f>
        <v/>
      </c>
      <c r="AC43" s="32" t="str">
        <f>IFERROR(__xludf.DUMMYFUNCTION("IF('Résultats des tournois'!AB$2=0,"""",LET(
lastVal, INDEX(FILTER($B43:AB43, ISNUMBER($B43:AB43)), COUNTA(FILTER($B43:AB43, ISNUMBER($B43:AB43)))),
IFERROR(
IF('Résultats des tournois'!AB43="""", INDEX(FILTER($C43:AB43, ISNUMBER($C43:AB43)), COUNTA(FILTE"&amp;"R($C43:AB43, ISNUMBER($C43:AB43)))),
lastVal + 'K dynamique'!AB43 * ((SQRT('Résultats des tournois'!AB$2 + 1)/'Résultats des tournois'!AB43) - (1 / (1 + 10^((AB$103 - lastVal)/400)))))
)
))"),"")</f>
        <v/>
      </c>
      <c r="AD43" s="32" t="str">
        <f>IFERROR(__xludf.DUMMYFUNCTION("IF('Résultats des tournois'!AC$2=0,"""",LET(
lastVal, INDEX(FILTER($B43:AC43, ISNUMBER($B43:AC43)), COUNTA(FILTER($B43:AC43, ISNUMBER($B43:AC43)))),
IFERROR(
IF('Résultats des tournois'!AC43="""", INDEX(FILTER($C43:AC43, ISNUMBER($C43:AC43)), COUNTA(FILTE"&amp;"R($C43:AC43, ISNUMBER($C43:AC43)))),
lastVal + 'K dynamique'!AC43 * ((SQRT('Résultats des tournois'!AC$2 + 1)/'Résultats des tournois'!AC43) - (1 / (1 + 10^((AC$103 - lastVal)/400)))))
)
))"),"")</f>
        <v/>
      </c>
      <c r="AE43" s="32" t="str">
        <f>IFERROR(__xludf.DUMMYFUNCTION("IF('Résultats des tournois'!AD$2=0,"""",LET(
lastVal, INDEX(FILTER($B43:AD43, ISNUMBER($B43:AD43)), COUNTA(FILTER($B43:AD43, ISNUMBER($B43:AD43)))),
IFERROR(
IF('Résultats des tournois'!AD43="""", INDEX(FILTER($C43:AD43, ISNUMBER($C43:AD43)), COUNTA(FILTE"&amp;"R($C43:AD43, ISNUMBER($C43:AD43)))),
lastVal + 'K dynamique'!AD43 * ((SQRT('Résultats des tournois'!AD$2 + 1)/'Résultats des tournois'!AD43) - (1 / (1 + 10^((AD$103 - lastVal)/400)))))
)
))"),"")</f>
        <v/>
      </c>
      <c r="AF43" s="32" t="str">
        <f>IFERROR(__xludf.DUMMYFUNCTION("IF('Résultats des tournois'!AE$2=0,"""",LET(
lastVal, INDEX(FILTER($B43:AE43, ISNUMBER($B43:AE43)), COUNTA(FILTER($B43:AE43, ISNUMBER($B43:AE43)))),
IFERROR(
IF('Résultats des tournois'!AE43="""", INDEX(FILTER($C43:AE43, ISNUMBER($C43:AE43)), COUNTA(FILTE"&amp;"R($C43:AE43, ISNUMBER($C43:AE43)))),
lastVal + 'K dynamique'!AE43 * ((SQRT('Résultats des tournois'!AE$2 + 1)/'Résultats des tournois'!AE43) - (1 / (1 + 10^((AE$103 - lastVal)/400)))))
)
))"),"")</f>
        <v/>
      </c>
      <c r="AG43" s="32" t="str">
        <f>IFERROR(__xludf.DUMMYFUNCTION("IF('Résultats des tournois'!AF$2=0,"""",LET(
lastVal, INDEX(FILTER($B43:AF43, ISNUMBER($B43:AF43)), COUNTA(FILTER($B43:AF43, ISNUMBER($B43:AF43)))),
IFERROR(
IF('Résultats des tournois'!AF43="""", INDEX(FILTER($C43:AF43, ISNUMBER($C43:AF43)), COUNTA(FILTE"&amp;"R($C43:AF43, ISNUMBER($C43:AF43)))),
lastVal + 'K dynamique'!AF43 * ((SQRT('Résultats des tournois'!AF$2 + 1)/'Résultats des tournois'!AF43) - (1 / (1 + 10^((AF$103 - lastVal)/400)))))
)
))"),"")</f>
        <v/>
      </c>
      <c r="AH43" s="32" t="str">
        <f>IFERROR(__xludf.DUMMYFUNCTION("IF('Résultats des tournois'!AG$2=0,"""",LET(
lastVal, INDEX(FILTER($B43:AG43, ISNUMBER($B43:AG43)), COUNTA(FILTER($B43:AG43, ISNUMBER($B43:AG43)))),
IFERROR(
IF('Résultats des tournois'!AG43="""", INDEX(FILTER($C43:AG43, ISNUMBER($C43:AG43)), COUNTA(FILTE"&amp;"R($C43:AG43, ISNUMBER($C43:AG43)))),
lastVal + 'K dynamique'!AG43 * ((SQRT('Résultats des tournois'!AG$2 + 1)/'Résultats des tournois'!AG43) - (1 / (1 + 10^((AG$103 - lastVal)/400)))))
)
))"),"")</f>
        <v/>
      </c>
      <c r="AI43" s="32" t="str">
        <f>IFERROR(__xludf.DUMMYFUNCTION("IF('Résultats des tournois'!AH$2=0,"""",LET(
lastVal, INDEX(FILTER($B43:AH43, ISNUMBER($B43:AH43)), COUNTA(FILTER($B43:AH43, ISNUMBER($B43:AH43)))),
IFERROR(
IF('Résultats des tournois'!AH43="""", INDEX(FILTER($C43:AH43, ISNUMBER($C43:AH43)), COUNTA(FILTE"&amp;"R($C43:AH43, ISNUMBER($C43:AH43)))),
lastVal + 'K dynamique'!AH43 * ((SQRT('Résultats des tournois'!AH$2 + 1)/'Résultats des tournois'!AH43) - (1 / (1 + 10^((AH$103 - lastVal)/400)))))
)
))"),"")</f>
        <v/>
      </c>
      <c r="AJ43" s="32" t="str">
        <f>IFERROR(__xludf.DUMMYFUNCTION("IF('Résultats des tournois'!AI$2=0,"""",LET(
lastVal, INDEX(FILTER($B43:AI43, ISNUMBER($B43:AI43)), COUNTA(FILTER($B43:AI43, ISNUMBER($B43:AI43)))),
IFERROR(
IF('Résultats des tournois'!AI43="""", INDEX(FILTER($C43:AI43, ISNUMBER($C43:AI43)), COUNTA(FILTE"&amp;"R($C43:AI43, ISNUMBER($C43:AI43)))),
lastVal + 'K dynamique'!AI43 * ((SQRT('Résultats des tournois'!AI$2 + 1)/'Résultats des tournois'!AI43) - (1 / (1 + 10^((AI$103 - lastVal)/400)))))
)
))"),"")</f>
        <v/>
      </c>
      <c r="AK43" s="32" t="str">
        <f>IFERROR(__xludf.DUMMYFUNCTION("IF('Résultats des tournois'!AJ$2=0,"""",LET(
lastVal, INDEX(FILTER($B43:AJ43, ISNUMBER($B43:AJ43)), COUNTA(FILTER($B43:AJ43, ISNUMBER($B43:AJ43)))),
IFERROR(
IF('Résultats des tournois'!AJ43="""", INDEX(FILTER($C43:AJ43, ISNUMBER($C43:AJ43)), COUNTA(FILTE"&amp;"R($C43:AJ43, ISNUMBER($C43:AJ43)))),
lastVal + 'K dynamique'!AJ43 * ((SQRT('Résultats des tournois'!AJ$2 + 1)/'Résultats des tournois'!AJ43) - (1 / (1 + 10^((AJ$103 - lastVal)/400)))))
)
))"),"")</f>
        <v/>
      </c>
      <c r="AL43" s="32" t="str">
        <f>IFERROR(__xludf.DUMMYFUNCTION("IF('Résultats des tournois'!AK$2=0,"""",LET(
lastVal, INDEX(FILTER($B43:AK43, ISNUMBER($B43:AK43)), COUNTA(FILTER($B43:AK43, ISNUMBER($B43:AK43)))),
IFERROR(
IF('Résultats des tournois'!AK43="""", INDEX(FILTER($C43:AK43, ISNUMBER($C43:AK43)), COUNTA(FILTE"&amp;"R($C43:AK43, ISNUMBER($C43:AK43)))),
lastVal + 'K dynamique'!AK43 * ((SQRT('Résultats des tournois'!AK$2 + 1)/'Résultats des tournois'!AK43) - (1 / (1 + 10^((AK$103 - lastVal)/400)))))
)
))"),"")</f>
        <v/>
      </c>
      <c r="AM43" s="32" t="str">
        <f>IFERROR(__xludf.DUMMYFUNCTION("IF('Résultats des tournois'!AL$2=0,"""",LET(
lastVal, INDEX(FILTER($B43:AL43, ISNUMBER($B43:AL43)), COUNTA(FILTER($B43:AL43, ISNUMBER($B43:AL43)))),
IFERROR(
IF('Résultats des tournois'!AL43="""", INDEX(FILTER($C43:AL43, ISNUMBER($C43:AL43)), COUNTA(FILTE"&amp;"R($C43:AL43, ISNUMBER($C43:AL43)))),
lastVal + 'K dynamique'!AL43 * ((SQRT('Résultats des tournois'!AL$2 + 1)/'Résultats des tournois'!AL43) - (1 / (1 + 10^((AL$103 - lastVal)/400)))))
)
))"),"")</f>
        <v/>
      </c>
      <c r="AN43" s="32" t="str">
        <f>IFERROR(__xludf.DUMMYFUNCTION("IF('Résultats des tournois'!AM$2=0,"""",LET(
lastVal, INDEX(FILTER($B43:AM43, ISNUMBER($B43:AM43)), COUNTA(FILTER($B43:AM43, ISNUMBER($B43:AM43)))),
IFERROR(
IF('Résultats des tournois'!AM43="""", INDEX(FILTER($C43:AM43, ISNUMBER($C43:AM43)), COUNTA(FILTE"&amp;"R($C43:AM43, ISNUMBER($C43:AM43)))),
lastVal + 'K dynamique'!AM43 * ((SQRT('Résultats des tournois'!AM$2 + 1)/'Résultats des tournois'!AM43) - (1 / (1 + 10^((AM$103 - lastVal)/400)))))
)
))"),"")</f>
        <v/>
      </c>
      <c r="AO43" s="32" t="str">
        <f>IFERROR(__xludf.DUMMYFUNCTION("IF('Résultats des tournois'!AN$2=0,"""",LET(
lastVal, INDEX(FILTER($B43:AN43, ISNUMBER($B43:AN43)), COUNTA(FILTER($B43:AN43, ISNUMBER($B43:AN43)))),
IFERROR(
IF('Résultats des tournois'!AN43="""", INDEX(FILTER($C43:AN43, ISNUMBER($C43:AN43)), COUNTA(FILTE"&amp;"R($C43:AN43, ISNUMBER($C43:AN43)))),
lastVal + 'K dynamique'!AN43 * ((SQRT('Résultats des tournois'!AN$2 + 1)/'Résultats des tournois'!AN43) - (1 / (1 + 10^((AN$103 - lastVal)/400)))))
)
))"),"")</f>
        <v/>
      </c>
      <c r="AP43" s="32" t="str">
        <f>IFERROR(__xludf.DUMMYFUNCTION("IF('Résultats des tournois'!AO$2=0,"""",LET(
lastVal, INDEX(FILTER($B43:AO43, ISNUMBER($B43:AO43)), COUNTA(FILTER($B43:AO43, ISNUMBER($B43:AO43)))),
IFERROR(
IF('Résultats des tournois'!AO43="""", INDEX(FILTER($C43:AO43, ISNUMBER($C43:AO43)), COUNTA(FILTE"&amp;"R($C43:AO43, ISNUMBER($C43:AO43)))),
lastVal + 'K dynamique'!AO43 * ((SQRT('Résultats des tournois'!AO$2 + 1)/'Résultats des tournois'!AO43) - (1 / (1 + 10^((AO$103 - lastVal)/400)))))
)
))"),"")</f>
        <v/>
      </c>
      <c r="AQ43" s="32" t="str">
        <f>IFERROR(__xludf.DUMMYFUNCTION("IF('Résultats des tournois'!AP$2=0,"""",LET(
lastVal, INDEX(FILTER($B43:AP43, ISNUMBER($B43:AP43)), COUNTA(FILTER($B43:AP43, ISNUMBER($B43:AP43)))),
IFERROR(
IF('Résultats des tournois'!AP43="""", INDEX(FILTER($C43:AP43, ISNUMBER($C43:AP43)), COUNTA(FILTE"&amp;"R($C43:AP43, ISNUMBER($C43:AP43)))),
lastVal + 'K dynamique'!AP43 * ((SQRT('Résultats des tournois'!AP$2 + 1)/'Résultats des tournois'!AP43) - (1 / (1 + 10^((AP$103 - lastVal)/400)))))
)
))"),"")</f>
        <v/>
      </c>
      <c r="AR43" s="32" t="str">
        <f>IFERROR(__xludf.DUMMYFUNCTION("IF('Résultats des tournois'!AQ$2=0,"""",LET(
lastVal, INDEX(FILTER($B43:AQ43, ISNUMBER($B43:AQ43)), COUNTA(FILTER($B43:AQ43, ISNUMBER($B43:AQ43)))),
IFERROR(
IF('Résultats des tournois'!AQ43="""", INDEX(FILTER($C43:AQ43, ISNUMBER($C43:AQ43)), COUNTA(FILTE"&amp;"R($C43:AQ43, ISNUMBER($C43:AQ43)))),
lastVal + 'K dynamique'!AQ43 * ((SQRT('Résultats des tournois'!AQ$2 + 1)/'Résultats des tournois'!AQ43) - (1 / (1 + 10^((AQ$103 - lastVal)/400)))))
)
))"),"")</f>
        <v/>
      </c>
      <c r="AS43" s="32" t="str">
        <f>IFERROR(__xludf.DUMMYFUNCTION("IF('Résultats des tournois'!AR$2=0,"""",LET(
lastVal, INDEX(FILTER($B43:AR43, ISNUMBER($B43:AR43)), COUNTA(FILTER($B43:AR43, ISNUMBER($B43:AR43)))),
IFERROR(
IF('Résultats des tournois'!AR43="""", INDEX(FILTER($C43:AR43, ISNUMBER($C43:AR43)), COUNTA(FILTE"&amp;"R($C43:AR43, ISNUMBER($C43:AR43)))),
lastVal + 'K dynamique'!AR43 * ((SQRT('Résultats des tournois'!AR$2 + 1)/'Résultats des tournois'!AR43) - (1 / (1 + 10^((AR$103 - lastVal)/400)))))
)
))"),"")</f>
        <v/>
      </c>
      <c r="AT43" s="32" t="str">
        <f>IFERROR(__xludf.DUMMYFUNCTION("IF('Résultats des tournois'!AS$2=0,"""",LET(
lastVal, INDEX(FILTER($B43:AS43, ISNUMBER($B43:AS43)), COUNTA(FILTER($B43:AS43, ISNUMBER($B43:AS43)))),
IFERROR(
IF('Résultats des tournois'!AS43="""", INDEX(FILTER($C43:AS43, ISNUMBER($C43:AS43)), COUNTA(FILTE"&amp;"R($C43:AS43, ISNUMBER($C43:AS43)))),
lastVal + 'K dynamique'!AS43 * ((SQRT('Résultats des tournois'!AS$2 + 1)/'Résultats des tournois'!AS43) - (1 / (1 + 10^((AS$103 - lastVal)/400)))))
)
))"),"")</f>
        <v/>
      </c>
      <c r="AU43" s="32" t="str">
        <f>IFERROR(__xludf.DUMMYFUNCTION("IF('Résultats des tournois'!AT$2=0,"""",LET(
lastVal, INDEX(FILTER($B43:AT43, ISNUMBER($B43:AT43)), COUNTA(FILTER($B43:AT43, ISNUMBER($B43:AT43)))),
IFERROR(
IF('Résultats des tournois'!AT43="""", INDEX(FILTER($C43:AT43, ISNUMBER($C43:AT43)), COUNTA(FILTE"&amp;"R($C43:AT43, ISNUMBER($C43:AT43)))),
lastVal + 'K dynamique'!AT43 * ((SQRT('Résultats des tournois'!AT$2 + 1)/'Résultats des tournois'!AT43) - (1 / (1 + 10^((AT$103 - lastVal)/400)))))
)
))"),"")</f>
        <v/>
      </c>
      <c r="AV43" s="32" t="str">
        <f>IFERROR(__xludf.DUMMYFUNCTION("IF('Résultats des tournois'!AU$2=0,"""",LET(
lastVal, INDEX(FILTER($B43:AU43, ISNUMBER($B43:AU43)), COUNTA(FILTER($B43:AU43, ISNUMBER($B43:AU43)))),
IFERROR(
IF('Résultats des tournois'!AU43="""", INDEX(FILTER($C43:AU43, ISNUMBER($C43:AU43)), COUNTA(FILTE"&amp;"R($C43:AU43, ISNUMBER($C43:AU43)))),
lastVal + 'K dynamique'!AU43 * ((SQRT('Résultats des tournois'!AU$2 + 1)/'Résultats des tournois'!AU43) - (1 / (1 + 10^((AU$103 - lastVal)/400)))))
)
))"),"")</f>
        <v/>
      </c>
      <c r="AW43" s="32" t="str">
        <f>IFERROR(__xludf.DUMMYFUNCTION("IF('Résultats des tournois'!AV$2=0,"""",LET(
lastVal, INDEX(FILTER($B43:AV43, ISNUMBER($B43:AV43)), COUNTA(FILTER($B43:AV43, ISNUMBER($B43:AV43)))),
IFERROR(
IF('Résultats des tournois'!AV43="""", INDEX(FILTER($C43:AV43, ISNUMBER($C43:AV43)), COUNTA(FILTE"&amp;"R($C43:AV43, ISNUMBER($C43:AV43)))),
lastVal + 'K dynamique'!AV43 * ((SQRT('Résultats des tournois'!AV$2 + 1)/'Résultats des tournois'!AV43) - (1 / (1 + 10^((AV$103 - lastVal)/400)))))
)
))"),"")</f>
        <v/>
      </c>
      <c r="AX43" s="32" t="str">
        <f>IFERROR(__xludf.DUMMYFUNCTION("IF('Résultats des tournois'!AW$2=0,"""",LET(
lastVal, INDEX(FILTER($B43:AW43, ISNUMBER($B43:AW43)), COUNTA(FILTER($B43:AW43, ISNUMBER($B43:AW43)))),
IFERROR(
IF('Résultats des tournois'!AW43="""", INDEX(FILTER($C43:AW43, ISNUMBER($C43:AW43)), COUNTA(FILTE"&amp;"R($C43:AW43, ISNUMBER($C43:AW43)))),
lastVal + 'K dynamique'!AW43 * ((SQRT('Résultats des tournois'!AW$2 + 1)/'Résultats des tournois'!AW43) - (1 / (1 + 10^((AW$103 - lastVal)/400)))))
)
))"),"")</f>
        <v/>
      </c>
      <c r="AY43" s="32" t="str">
        <f>IFERROR(__xludf.DUMMYFUNCTION("IF('Résultats des tournois'!AX$2=0,"""",LET(
lastVal, INDEX(FILTER($B43:AX43, ISNUMBER($B43:AX43)), COUNTA(FILTER($B43:AX43, ISNUMBER($B43:AX43)))),
IFERROR(
IF('Résultats des tournois'!AX43="""", INDEX(FILTER($C43:AX43, ISNUMBER($C43:AX43)), COUNTA(FILTE"&amp;"R($C43:AX43, ISNUMBER($C43:AX43)))),
lastVal + 'K dynamique'!AX43 * ((SQRT('Résultats des tournois'!AX$2 + 1)/'Résultats des tournois'!AX43) - (1 / (1 + 10^((AX$103 - lastVal)/400)))))
)
))"),"")</f>
        <v/>
      </c>
      <c r="AZ43" s="4" t="str">
        <f t="array" ref="AZ43">IF(MAX(($C43:AY43&lt;&gt;"")*COLUMN($C43:AY43))=0,"",INDEX($C43:AY43,1,MAX(($C43:AY43&lt;&gt;"")*COLUMN($C43:AY43))-COLUMN($C43)+1))</f>
        <v/>
      </c>
      <c r="BA43" s="33" t="str">
        <f t="shared" si="1"/>
        <v/>
      </c>
    </row>
    <row r="44" ht="14.25" customHeight="1">
      <c r="A44" s="32" t="str">
        <f>IF('Résultats des tournois'!A44="","",'Résultats des tournois'!A44)</f>
        <v/>
      </c>
      <c r="B44" s="32">
        <v>1500.0</v>
      </c>
      <c r="C44" s="32" t="str">
        <f>IF('Résultats des tournois'!B44="","",B44+'K dynamique'!B44*((SQRT('Résultats des tournois'!B$2+1)/'Résultats des tournois'!B44)-(1/(1+10^((B44-B44)/400)))))</f>
        <v/>
      </c>
      <c r="D44" s="32" t="str">
        <f>IFERROR(__xludf.DUMMYFUNCTION("IF('Résultats des tournois'!C$2=0,"""",LET(
lastVal, INDEX(FILTER($B44:C44, ISNUMBER($B44:C44)), COUNTA(FILTER($B44:C44, ISNUMBER($B44:C44)))),
IFERROR(
IF('Résultats des tournois'!C44="""", INDEX(FILTER($C44:C44, ISNUMBER($C44:C44)), COUNTA(FILTER($C44:C"&amp;"44, ISNUMBER($C44:C44)))),
lastVal + 'K dynamique'!C44 * ((SQRT('Résultats des tournois'!C$2 + 1)/'Résultats des tournois'!C44) - (1 / (1 + 10^((C$103 - lastVal)/400)))))
)
))"),"")</f>
        <v/>
      </c>
      <c r="E44" s="32" t="str">
        <f>IFERROR(__xludf.DUMMYFUNCTION("IF('Résultats des tournois'!D$2=0,"""",LET(
lastVal, INDEX(FILTER($B44:D44, ISNUMBER($B44:D44)), COUNTA(FILTER($B44:D44, ISNUMBER($B44:D44)))),
IFERROR(
IF('Résultats des tournois'!D44="""", INDEX(FILTER($C44:D44, ISNUMBER($C44:D44)), COUNTA(FILTER($C44:D"&amp;"44, ISNUMBER($C44:D44)))),
lastVal + 'K dynamique'!D44 * ((SQRT('Résultats des tournois'!D$2 + 1)/'Résultats des tournois'!D44) - (1 / (1 + 10^((D$103 - lastVal)/400)))))
)
))"),"")</f>
        <v/>
      </c>
      <c r="F44" s="32" t="str">
        <f>IFERROR(__xludf.DUMMYFUNCTION("IF('Résultats des tournois'!E$2=0,"""",LET(
lastVal, INDEX(FILTER($B44:E44, ISNUMBER($B44:E44)), COUNTA(FILTER($B44:E44, ISNUMBER($B44:E44)))),
IFERROR(
IF('Résultats des tournois'!E44="""", INDEX(FILTER($C44:E44, ISNUMBER($C44:E44)), COUNTA(FILTER($C44:E"&amp;"44, ISNUMBER($C44:E44)))),
lastVal + 'K dynamique'!E44 * ((SQRT('Résultats des tournois'!E$2 + 1)/'Résultats des tournois'!E44) - (1 / (1 + 10^((E$103 - lastVal)/400)))))
)
))"),"")</f>
        <v/>
      </c>
      <c r="G44" s="32" t="str">
        <f>IFERROR(__xludf.DUMMYFUNCTION("IF('Résultats des tournois'!F$2=0,"""",LET(
lastVal, INDEX(FILTER($B44:F44, ISNUMBER($B44:F44)), COUNTA(FILTER($B44:F44, ISNUMBER($B44:F44)))),
IFERROR(
IF('Résultats des tournois'!F44="""", INDEX(FILTER($C44:F44, ISNUMBER($C44:F44)), COUNTA(FILTER($C44:F"&amp;"44, ISNUMBER($C44:F44)))),
lastVal + 'K dynamique'!F44 * ((SQRT('Résultats des tournois'!F$2 + 1)/'Résultats des tournois'!F44) - (1 / (1 + 10^((F$103 - lastVal)/400)))))
)
))"),"")</f>
        <v/>
      </c>
      <c r="H44" s="32" t="str">
        <f>IFERROR(__xludf.DUMMYFUNCTION("IF('Résultats des tournois'!G$2=0,"""",LET(
lastVal, INDEX(FILTER($B44:G44, ISNUMBER($B44:G44)), COUNTA(FILTER($B44:G44, ISNUMBER($B44:G44)))),
IFERROR(
IF('Résultats des tournois'!G44="""", INDEX(FILTER($C44:G44, ISNUMBER($C44:G44)), COUNTA(FILTER($C44:G"&amp;"44, ISNUMBER($C44:G44)))),
lastVal + 'K dynamique'!G44 * ((SQRT('Résultats des tournois'!G$2 + 1)/'Résultats des tournois'!G44) - (1 / (1 + 10^((G$103 - lastVal)/400)))))
)
))"),"")</f>
        <v/>
      </c>
      <c r="I44" s="32" t="str">
        <f>IFERROR(__xludf.DUMMYFUNCTION("IF('Résultats des tournois'!H$2=0,"""",LET(
lastVal, INDEX(FILTER($B44:H44, ISNUMBER($B44:H44)), COUNTA(FILTER($B44:H44, ISNUMBER($B44:H44)))),
IFERROR(
IF('Résultats des tournois'!H44="""", INDEX(FILTER($C44:H44, ISNUMBER($C44:H44)), COUNTA(FILTER($C44:H"&amp;"44, ISNUMBER($C44:H44)))),
lastVal + 'K dynamique'!H44 * ((SQRT('Résultats des tournois'!H$2 + 1)/'Résultats des tournois'!H44) - (1 / (1 + 10^((H$103 - lastVal)/400)))))
)
))"),"")</f>
        <v/>
      </c>
      <c r="J44" s="32" t="str">
        <f>IFERROR(__xludf.DUMMYFUNCTION("IF('Résultats des tournois'!I$2=0,"""",LET(
lastVal, INDEX(FILTER($B44:I44, ISNUMBER($B44:I44)), COUNTA(FILTER($B44:I44, ISNUMBER($B44:I44)))),
IFERROR(
IF('Résultats des tournois'!I44="""", INDEX(FILTER($C44:I44, ISNUMBER($C44:I44)), COUNTA(FILTER($C44:I"&amp;"44, ISNUMBER($C44:I44)))),
lastVal + 'K dynamique'!I44 * ((SQRT('Résultats des tournois'!I$2 + 1)/'Résultats des tournois'!I44) - (1 / (1 + 10^((I$103 - lastVal)/400)))))
)
))"),"")</f>
        <v/>
      </c>
      <c r="K44" s="32" t="str">
        <f>IFERROR(__xludf.DUMMYFUNCTION("IF('Résultats des tournois'!J$2=0,"""",LET(
lastVal, INDEX(FILTER($B44:J44, ISNUMBER($B44:J44)), COUNTA(FILTER($B44:J44, ISNUMBER($B44:J44)))),
IFERROR(
IF('Résultats des tournois'!J44="""", INDEX(FILTER($C44:J44, ISNUMBER($C44:J44)), COUNTA(FILTER($C44:J"&amp;"44, ISNUMBER($C44:J44)))),
lastVal + 'K dynamique'!J44 * ((SQRT('Résultats des tournois'!J$2 + 1)/'Résultats des tournois'!J44) - (1 / (1 + 10^((J$103 - lastVal)/400)))))
)
))"),"")</f>
        <v/>
      </c>
      <c r="L44" s="32" t="str">
        <f>IFERROR(__xludf.DUMMYFUNCTION("IF('Résultats des tournois'!K$2=0,"""",LET(
lastVal, INDEX(FILTER($B44:K44, ISNUMBER($B44:K44)), COUNTA(FILTER($B44:K44, ISNUMBER($B44:K44)))),
IFERROR(
IF('Résultats des tournois'!K44="""", INDEX(FILTER($C44:K44, ISNUMBER($C44:K44)), COUNTA(FILTER($C44:K"&amp;"44, ISNUMBER($C44:K44)))),
lastVal + 'K dynamique'!K44 * ((SQRT('Résultats des tournois'!K$2 + 1)/'Résultats des tournois'!K44) - (1 / (1 + 10^((K$103 - lastVal)/400)))))
)
))"),"")</f>
        <v/>
      </c>
      <c r="M44" s="32" t="str">
        <f>IFERROR(__xludf.DUMMYFUNCTION("IF('Résultats des tournois'!L$2=0,"""",LET(
lastVal, INDEX(FILTER($B44:L44, ISNUMBER($B44:L44)), COUNTA(FILTER($B44:L44, ISNUMBER($B44:L44)))),
IFERROR(
IF('Résultats des tournois'!L44="""", INDEX(FILTER($C44:L44, ISNUMBER($C44:L44)), COUNTA(FILTER($C44:L"&amp;"44, ISNUMBER($C44:L44)))),
lastVal + 'K dynamique'!L44 * ((SQRT('Résultats des tournois'!L$2 + 1)/'Résultats des tournois'!L44) - (1 / (1 + 10^((L$103 - lastVal)/400)))))
)
))"),"")</f>
        <v/>
      </c>
      <c r="N44" s="32" t="str">
        <f>IFERROR(__xludf.DUMMYFUNCTION("IF('Résultats des tournois'!M$2=0,"""",LET(
lastVal, INDEX(FILTER($B44:M44, ISNUMBER($B44:M44)), COUNTA(FILTER($B44:M44, ISNUMBER($B44:M44)))),
IFERROR(
IF('Résultats des tournois'!M44="""", INDEX(FILTER($C44:M44, ISNUMBER($C44:M44)), COUNTA(FILTER($C44:M"&amp;"44, ISNUMBER($C44:M44)))),
lastVal + 'K dynamique'!M44 * ((SQRT('Résultats des tournois'!M$2 + 1)/'Résultats des tournois'!M44) - (1 / (1 + 10^((M$103 - lastVal)/400)))))
)
))"),"")</f>
        <v/>
      </c>
      <c r="O44" s="32" t="str">
        <f>IFERROR(__xludf.DUMMYFUNCTION("IF('Résultats des tournois'!N$2=0,"""",LET(
lastVal, INDEX(FILTER($B44:N44, ISNUMBER($B44:N44)), COUNTA(FILTER($B44:N44, ISNUMBER($B44:N44)))),
IFERROR(
IF('Résultats des tournois'!N44="""", INDEX(FILTER($C44:N44, ISNUMBER($C44:N44)), COUNTA(FILTER($C44:N"&amp;"44, ISNUMBER($C44:N44)))),
lastVal + 'K dynamique'!N44 * ((SQRT('Résultats des tournois'!N$2 + 1)/'Résultats des tournois'!N44) - (1 / (1 + 10^((N$103 - lastVal)/400)))))
)
))"),"")</f>
        <v/>
      </c>
      <c r="P44" s="32" t="str">
        <f>IFERROR(__xludf.DUMMYFUNCTION("IF('Résultats des tournois'!O$2=0,"""",LET(
lastVal, INDEX(FILTER($B44:O44, ISNUMBER($B44:O44)), COUNTA(FILTER($B44:O44, ISNUMBER($B44:O44)))),
IFERROR(
IF('Résultats des tournois'!O44="""", INDEX(FILTER($C44:O44, ISNUMBER($C44:O44)), COUNTA(FILTER($C44:O"&amp;"44, ISNUMBER($C44:O44)))),
lastVal + 'K dynamique'!O44 * ((SQRT('Résultats des tournois'!O$2 + 1)/'Résultats des tournois'!O44) - (1 / (1 + 10^((O$103 - lastVal)/400)))))
)
))"),"")</f>
        <v/>
      </c>
      <c r="Q44" s="32" t="str">
        <f>IFERROR(__xludf.DUMMYFUNCTION("IF('Résultats des tournois'!P$2=0,"""",LET(
lastVal, INDEX(FILTER($B44:P44, ISNUMBER($B44:P44)), COUNTA(FILTER($B44:P44, ISNUMBER($B44:P44)))),
IFERROR(
IF('Résultats des tournois'!P44="""", INDEX(FILTER($C44:P44, ISNUMBER($C44:P44)), COUNTA(FILTER($C44:P"&amp;"44, ISNUMBER($C44:P44)))),
lastVal + 'K dynamique'!P44 * ((SQRT('Résultats des tournois'!P$2 + 1)/'Résultats des tournois'!P44) - (1 / (1 + 10^((P$103 - lastVal)/400)))))
)
))"),"")</f>
        <v/>
      </c>
      <c r="R44" s="32" t="str">
        <f>IFERROR(__xludf.DUMMYFUNCTION("IF('Résultats des tournois'!Q$2=0,"""",LET(
lastVal, INDEX(FILTER($B44:Q44, ISNUMBER($B44:Q44)), COUNTA(FILTER($B44:Q44, ISNUMBER($B44:Q44)))),
IFERROR(
IF('Résultats des tournois'!Q44="""", INDEX(FILTER($C44:Q44, ISNUMBER($C44:Q44)), COUNTA(FILTER($C44:Q"&amp;"44, ISNUMBER($C44:Q44)))),
lastVal + 'K dynamique'!Q44 * ((SQRT('Résultats des tournois'!Q$2 + 1)/'Résultats des tournois'!Q44) - (1 / (1 + 10^((Q$103 - lastVal)/400)))))
)
))"),"")</f>
        <v/>
      </c>
      <c r="S44" s="32" t="str">
        <f>IFERROR(__xludf.DUMMYFUNCTION("IF('Résultats des tournois'!R$2=0,"""",LET(
lastVal, INDEX(FILTER($B44:R44, ISNUMBER($B44:R44)), COUNTA(FILTER($B44:R44, ISNUMBER($B44:R44)))),
IFERROR(
IF('Résultats des tournois'!R44="""", INDEX(FILTER($C44:R44, ISNUMBER($C44:R44)), COUNTA(FILTER($C44:R"&amp;"44, ISNUMBER($C44:R44)))),
lastVal + 'K dynamique'!R44 * ((SQRT('Résultats des tournois'!R$2 + 1)/'Résultats des tournois'!R44) - (1 / (1 + 10^((R$103 - lastVal)/400)))))
)
))"),"")</f>
        <v/>
      </c>
      <c r="T44" s="32" t="str">
        <f>IFERROR(__xludf.DUMMYFUNCTION("IF('Résultats des tournois'!S$2=0,"""",LET(
lastVal, INDEX(FILTER($B44:S44, ISNUMBER($B44:S44)), COUNTA(FILTER($B44:S44, ISNUMBER($B44:S44)))),
IFERROR(
IF('Résultats des tournois'!S44="""", INDEX(FILTER($C44:S44, ISNUMBER($C44:S44)), COUNTA(FILTER($C44:S"&amp;"44, ISNUMBER($C44:S44)))),
lastVal + 'K dynamique'!S44 * ((SQRT('Résultats des tournois'!S$2 + 1)/'Résultats des tournois'!S44) - (1 / (1 + 10^((S$103 - lastVal)/400)))))
)
))"),"")</f>
        <v/>
      </c>
      <c r="U44" s="32" t="str">
        <f>IFERROR(__xludf.DUMMYFUNCTION("IF('Résultats des tournois'!T$2=0,"""",LET(
lastVal, INDEX(FILTER($B44:T44, ISNUMBER($B44:T44)), COUNTA(FILTER($B44:T44, ISNUMBER($B44:T44)))),
IFERROR(
IF('Résultats des tournois'!T44="""", INDEX(FILTER($C44:T44, ISNUMBER($C44:T44)), COUNTA(FILTER($C44:T"&amp;"44, ISNUMBER($C44:T44)))),
lastVal + 'K dynamique'!T44 * ((SQRT('Résultats des tournois'!T$2 + 1)/'Résultats des tournois'!T44) - (1 / (1 + 10^((T$103 - lastVal)/400)))))
)
))"),"")</f>
        <v/>
      </c>
      <c r="V44" s="32" t="str">
        <f>IFERROR(__xludf.DUMMYFUNCTION("IF('Résultats des tournois'!U$2=0,"""",LET(
lastVal, INDEX(FILTER($B44:U44, ISNUMBER($B44:U44)), COUNTA(FILTER($B44:U44, ISNUMBER($B44:U44)))),
IFERROR(
IF('Résultats des tournois'!U44="""", INDEX(FILTER($C44:U44, ISNUMBER($C44:U44)), COUNTA(FILTER($C44:U"&amp;"44, ISNUMBER($C44:U44)))),
lastVal + 'K dynamique'!U44 * ((SQRT('Résultats des tournois'!U$2 + 1)/'Résultats des tournois'!U44) - (1 / (1 + 10^((U$103 - lastVal)/400)))))
)
))"),"")</f>
        <v/>
      </c>
      <c r="W44" s="32" t="str">
        <f>IFERROR(__xludf.DUMMYFUNCTION("IF('Résultats des tournois'!V$2=0,"""",LET(
lastVal, INDEX(FILTER($B44:V44, ISNUMBER($B44:V44)), COUNTA(FILTER($B44:V44, ISNUMBER($B44:V44)))),
IFERROR(
IF('Résultats des tournois'!V44="""", INDEX(FILTER($C44:V44, ISNUMBER($C44:V44)), COUNTA(FILTER($C44:V"&amp;"44, ISNUMBER($C44:V44)))),
lastVal + 'K dynamique'!V44 * ((SQRT('Résultats des tournois'!V$2 + 1)/'Résultats des tournois'!V44) - (1 / (1 + 10^((V$103 - lastVal)/400)))))
)
))"),"")</f>
        <v/>
      </c>
      <c r="X44" s="32" t="str">
        <f>IFERROR(__xludf.DUMMYFUNCTION("IF('Résultats des tournois'!W$2=0,"""",LET(
lastVal, INDEX(FILTER($B44:W44, ISNUMBER($B44:W44)), COUNTA(FILTER($B44:W44, ISNUMBER($B44:W44)))),
IFERROR(
IF('Résultats des tournois'!W44="""", INDEX(FILTER($C44:W44, ISNUMBER($C44:W44)), COUNTA(FILTER($C44:W"&amp;"44, ISNUMBER($C44:W44)))),
lastVal + 'K dynamique'!W44 * ((SQRT('Résultats des tournois'!W$2 + 1)/'Résultats des tournois'!W44) - (1 / (1 + 10^((W$103 - lastVal)/400)))))
)
))"),"")</f>
        <v/>
      </c>
      <c r="Y44" s="32" t="str">
        <f>IFERROR(__xludf.DUMMYFUNCTION("IF('Résultats des tournois'!X$2=0,"""",LET(
lastVal, INDEX(FILTER($B44:X44, ISNUMBER($B44:X44)), COUNTA(FILTER($B44:X44, ISNUMBER($B44:X44)))),
IFERROR(
IF('Résultats des tournois'!X44="""", INDEX(FILTER($C44:X44, ISNUMBER($C44:X44)), COUNTA(FILTER($C44:X"&amp;"44, ISNUMBER($C44:X44)))),
lastVal + 'K dynamique'!X44 * ((SQRT('Résultats des tournois'!X$2 + 1)/'Résultats des tournois'!X44) - (1 / (1 + 10^((X$103 - lastVal)/400)))))
)
))"),"")</f>
        <v/>
      </c>
      <c r="Z44" s="32" t="str">
        <f>IFERROR(__xludf.DUMMYFUNCTION("IF('Résultats des tournois'!Y$2=0,"""",LET(
lastVal, INDEX(FILTER($B44:Y44, ISNUMBER($B44:Y44)), COUNTA(FILTER($B44:Y44, ISNUMBER($B44:Y44)))),
IFERROR(
IF('Résultats des tournois'!Y44="""", INDEX(FILTER($C44:Y44, ISNUMBER($C44:Y44)), COUNTA(FILTER($C44:Y"&amp;"44, ISNUMBER($C44:Y44)))),
lastVal + 'K dynamique'!Y44 * ((SQRT('Résultats des tournois'!Y$2 + 1)/'Résultats des tournois'!Y44) - (1 / (1 + 10^((Y$103 - lastVal)/400)))))
)
))"),"")</f>
        <v/>
      </c>
      <c r="AA44" s="32" t="str">
        <f>IFERROR(__xludf.DUMMYFUNCTION("IF('Résultats des tournois'!Z$2=0,"""",LET(
lastVal, INDEX(FILTER($B44:Z44, ISNUMBER($B44:Z44)), COUNTA(FILTER($B44:Z44, ISNUMBER($B44:Z44)))),
IFERROR(
IF('Résultats des tournois'!Z44="""", INDEX(FILTER($C44:Z44, ISNUMBER($C44:Z44)), COUNTA(FILTER($C44:Z"&amp;"44, ISNUMBER($C44:Z44)))),
lastVal + 'K dynamique'!Z44 * ((SQRT('Résultats des tournois'!Z$2 + 1)/'Résultats des tournois'!Z44) - (1 / (1 + 10^((Z$103 - lastVal)/400)))))
)
))"),"")</f>
        <v/>
      </c>
      <c r="AB44" s="32" t="str">
        <f>IFERROR(__xludf.DUMMYFUNCTION("IF('Résultats des tournois'!AA$2=0,"""",LET(
lastVal, INDEX(FILTER($B44:AA44, ISNUMBER($B44:AA44)), COUNTA(FILTER($B44:AA44, ISNUMBER($B44:AA44)))),
IFERROR(
IF('Résultats des tournois'!AA44="""", INDEX(FILTER($C44:AA44, ISNUMBER($C44:AA44)), COUNTA(FILTE"&amp;"R($C44:AA44, ISNUMBER($C44:AA44)))),
lastVal + 'K dynamique'!AA44 * ((SQRT('Résultats des tournois'!AA$2 + 1)/'Résultats des tournois'!AA44) - (1 / (1 + 10^((AA$103 - lastVal)/400)))))
)
))"),"")</f>
        <v/>
      </c>
      <c r="AC44" s="32" t="str">
        <f>IFERROR(__xludf.DUMMYFUNCTION("IF('Résultats des tournois'!AB$2=0,"""",LET(
lastVal, INDEX(FILTER($B44:AB44, ISNUMBER($B44:AB44)), COUNTA(FILTER($B44:AB44, ISNUMBER($B44:AB44)))),
IFERROR(
IF('Résultats des tournois'!AB44="""", INDEX(FILTER($C44:AB44, ISNUMBER($C44:AB44)), COUNTA(FILTE"&amp;"R($C44:AB44, ISNUMBER($C44:AB44)))),
lastVal + 'K dynamique'!AB44 * ((SQRT('Résultats des tournois'!AB$2 + 1)/'Résultats des tournois'!AB44) - (1 / (1 + 10^((AB$103 - lastVal)/400)))))
)
))"),"")</f>
        <v/>
      </c>
      <c r="AD44" s="32" t="str">
        <f>IFERROR(__xludf.DUMMYFUNCTION("IF('Résultats des tournois'!AC$2=0,"""",LET(
lastVal, INDEX(FILTER($B44:AC44, ISNUMBER($B44:AC44)), COUNTA(FILTER($B44:AC44, ISNUMBER($B44:AC44)))),
IFERROR(
IF('Résultats des tournois'!AC44="""", INDEX(FILTER($C44:AC44, ISNUMBER($C44:AC44)), COUNTA(FILTE"&amp;"R($C44:AC44, ISNUMBER($C44:AC44)))),
lastVal + 'K dynamique'!AC44 * ((SQRT('Résultats des tournois'!AC$2 + 1)/'Résultats des tournois'!AC44) - (1 / (1 + 10^((AC$103 - lastVal)/400)))))
)
))"),"")</f>
        <v/>
      </c>
      <c r="AE44" s="32" t="str">
        <f>IFERROR(__xludf.DUMMYFUNCTION("IF('Résultats des tournois'!AD$2=0,"""",LET(
lastVal, INDEX(FILTER($B44:AD44, ISNUMBER($B44:AD44)), COUNTA(FILTER($B44:AD44, ISNUMBER($B44:AD44)))),
IFERROR(
IF('Résultats des tournois'!AD44="""", INDEX(FILTER($C44:AD44, ISNUMBER($C44:AD44)), COUNTA(FILTE"&amp;"R($C44:AD44, ISNUMBER($C44:AD44)))),
lastVal + 'K dynamique'!AD44 * ((SQRT('Résultats des tournois'!AD$2 + 1)/'Résultats des tournois'!AD44) - (1 / (1 + 10^((AD$103 - lastVal)/400)))))
)
))"),"")</f>
        <v/>
      </c>
      <c r="AF44" s="32" t="str">
        <f>IFERROR(__xludf.DUMMYFUNCTION("IF('Résultats des tournois'!AE$2=0,"""",LET(
lastVal, INDEX(FILTER($B44:AE44, ISNUMBER($B44:AE44)), COUNTA(FILTER($B44:AE44, ISNUMBER($B44:AE44)))),
IFERROR(
IF('Résultats des tournois'!AE44="""", INDEX(FILTER($C44:AE44, ISNUMBER($C44:AE44)), COUNTA(FILTE"&amp;"R($C44:AE44, ISNUMBER($C44:AE44)))),
lastVal + 'K dynamique'!AE44 * ((SQRT('Résultats des tournois'!AE$2 + 1)/'Résultats des tournois'!AE44) - (1 / (1 + 10^((AE$103 - lastVal)/400)))))
)
))"),"")</f>
        <v/>
      </c>
      <c r="AG44" s="32" t="str">
        <f>IFERROR(__xludf.DUMMYFUNCTION("IF('Résultats des tournois'!AF$2=0,"""",LET(
lastVal, INDEX(FILTER($B44:AF44, ISNUMBER($B44:AF44)), COUNTA(FILTER($B44:AF44, ISNUMBER($B44:AF44)))),
IFERROR(
IF('Résultats des tournois'!AF44="""", INDEX(FILTER($C44:AF44, ISNUMBER($C44:AF44)), COUNTA(FILTE"&amp;"R($C44:AF44, ISNUMBER($C44:AF44)))),
lastVal + 'K dynamique'!AF44 * ((SQRT('Résultats des tournois'!AF$2 + 1)/'Résultats des tournois'!AF44) - (1 / (1 + 10^((AF$103 - lastVal)/400)))))
)
))"),"")</f>
        <v/>
      </c>
      <c r="AH44" s="32" t="str">
        <f>IFERROR(__xludf.DUMMYFUNCTION("IF('Résultats des tournois'!AG$2=0,"""",LET(
lastVal, INDEX(FILTER($B44:AG44, ISNUMBER($B44:AG44)), COUNTA(FILTER($B44:AG44, ISNUMBER($B44:AG44)))),
IFERROR(
IF('Résultats des tournois'!AG44="""", INDEX(FILTER($C44:AG44, ISNUMBER($C44:AG44)), COUNTA(FILTE"&amp;"R($C44:AG44, ISNUMBER($C44:AG44)))),
lastVal + 'K dynamique'!AG44 * ((SQRT('Résultats des tournois'!AG$2 + 1)/'Résultats des tournois'!AG44) - (1 / (1 + 10^((AG$103 - lastVal)/400)))))
)
))"),"")</f>
        <v/>
      </c>
      <c r="AI44" s="32" t="str">
        <f>IFERROR(__xludf.DUMMYFUNCTION("IF('Résultats des tournois'!AH$2=0,"""",LET(
lastVal, INDEX(FILTER($B44:AH44, ISNUMBER($B44:AH44)), COUNTA(FILTER($B44:AH44, ISNUMBER($B44:AH44)))),
IFERROR(
IF('Résultats des tournois'!AH44="""", INDEX(FILTER($C44:AH44, ISNUMBER($C44:AH44)), COUNTA(FILTE"&amp;"R($C44:AH44, ISNUMBER($C44:AH44)))),
lastVal + 'K dynamique'!AH44 * ((SQRT('Résultats des tournois'!AH$2 + 1)/'Résultats des tournois'!AH44) - (1 / (1 + 10^((AH$103 - lastVal)/400)))))
)
))"),"")</f>
        <v/>
      </c>
      <c r="AJ44" s="32" t="str">
        <f>IFERROR(__xludf.DUMMYFUNCTION("IF('Résultats des tournois'!AI$2=0,"""",LET(
lastVal, INDEX(FILTER($B44:AI44, ISNUMBER($B44:AI44)), COUNTA(FILTER($B44:AI44, ISNUMBER($B44:AI44)))),
IFERROR(
IF('Résultats des tournois'!AI44="""", INDEX(FILTER($C44:AI44, ISNUMBER($C44:AI44)), COUNTA(FILTE"&amp;"R($C44:AI44, ISNUMBER($C44:AI44)))),
lastVal + 'K dynamique'!AI44 * ((SQRT('Résultats des tournois'!AI$2 + 1)/'Résultats des tournois'!AI44) - (1 / (1 + 10^((AI$103 - lastVal)/400)))))
)
))"),"")</f>
        <v/>
      </c>
      <c r="AK44" s="32" t="str">
        <f>IFERROR(__xludf.DUMMYFUNCTION("IF('Résultats des tournois'!AJ$2=0,"""",LET(
lastVal, INDEX(FILTER($B44:AJ44, ISNUMBER($B44:AJ44)), COUNTA(FILTER($B44:AJ44, ISNUMBER($B44:AJ44)))),
IFERROR(
IF('Résultats des tournois'!AJ44="""", INDEX(FILTER($C44:AJ44, ISNUMBER($C44:AJ44)), COUNTA(FILTE"&amp;"R($C44:AJ44, ISNUMBER($C44:AJ44)))),
lastVal + 'K dynamique'!AJ44 * ((SQRT('Résultats des tournois'!AJ$2 + 1)/'Résultats des tournois'!AJ44) - (1 / (1 + 10^((AJ$103 - lastVal)/400)))))
)
))"),"")</f>
        <v/>
      </c>
      <c r="AL44" s="32" t="str">
        <f>IFERROR(__xludf.DUMMYFUNCTION("IF('Résultats des tournois'!AK$2=0,"""",LET(
lastVal, INDEX(FILTER($B44:AK44, ISNUMBER($B44:AK44)), COUNTA(FILTER($B44:AK44, ISNUMBER($B44:AK44)))),
IFERROR(
IF('Résultats des tournois'!AK44="""", INDEX(FILTER($C44:AK44, ISNUMBER($C44:AK44)), COUNTA(FILTE"&amp;"R($C44:AK44, ISNUMBER($C44:AK44)))),
lastVal + 'K dynamique'!AK44 * ((SQRT('Résultats des tournois'!AK$2 + 1)/'Résultats des tournois'!AK44) - (1 / (1 + 10^((AK$103 - lastVal)/400)))))
)
))"),"")</f>
        <v/>
      </c>
      <c r="AM44" s="32" t="str">
        <f>IFERROR(__xludf.DUMMYFUNCTION("IF('Résultats des tournois'!AL$2=0,"""",LET(
lastVal, INDEX(FILTER($B44:AL44, ISNUMBER($B44:AL44)), COUNTA(FILTER($B44:AL44, ISNUMBER($B44:AL44)))),
IFERROR(
IF('Résultats des tournois'!AL44="""", INDEX(FILTER($C44:AL44, ISNUMBER($C44:AL44)), COUNTA(FILTE"&amp;"R($C44:AL44, ISNUMBER($C44:AL44)))),
lastVal + 'K dynamique'!AL44 * ((SQRT('Résultats des tournois'!AL$2 + 1)/'Résultats des tournois'!AL44) - (1 / (1 + 10^((AL$103 - lastVal)/400)))))
)
))"),"")</f>
        <v/>
      </c>
      <c r="AN44" s="32" t="str">
        <f>IFERROR(__xludf.DUMMYFUNCTION("IF('Résultats des tournois'!AM$2=0,"""",LET(
lastVal, INDEX(FILTER($B44:AM44, ISNUMBER($B44:AM44)), COUNTA(FILTER($B44:AM44, ISNUMBER($B44:AM44)))),
IFERROR(
IF('Résultats des tournois'!AM44="""", INDEX(FILTER($C44:AM44, ISNUMBER($C44:AM44)), COUNTA(FILTE"&amp;"R($C44:AM44, ISNUMBER($C44:AM44)))),
lastVal + 'K dynamique'!AM44 * ((SQRT('Résultats des tournois'!AM$2 + 1)/'Résultats des tournois'!AM44) - (1 / (1 + 10^((AM$103 - lastVal)/400)))))
)
))"),"")</f>
        <v/>
      </c>
      <c r="AO44" s="32" t="str">
        <f>IFERROR(__xludf.DUMMYFUNCTION("IF('Résultats des tournois'!AN$2=0,"""",LET(
lastVal, INDEX(FILTER($B44:AN44, ISNUMBER($B44:AN44)), COUNTA(FILTER($B44:AN44, ISNUMBER($B44:AN44)))),
IFERROR(
IF('Résultats des tournois'!AN44="""", INDEX(FILTER($C44:AN44, ISNUMBER($C44:AN44)), COUNTA(FILTE"&amp;"R($C44:AN44, ISNUMBER($C44:AN44)))),
lastVal + 'K dynamique'!AN44 * ((SQRT('Résultats des tournois'!AN$2 + 1)/'Résultats des tournois'!AN44) - (1 / (1 + 10^((AN$103 - lastVal)/400)))))
)
))"),"")</f>
        <v/>
      </c>
      <c r="AP44" s="32" t="str">
        <f>IFERROR(__xludf.DUMMYFUNCTION("IF('Résultats des tournois'!AO$2=0,"""",LET(
lastVal, INDEX(FILTER($B44:AO44, ISNUMBER($B44:AO44)), COUNTA(FILTER($B44:AO44, ISNUMBER($B44:AO44)))),
IFERROR(
IF('Résultats des tournois'!AO44="""", INDEX(FILTER($C44:AO44, ISNUMBER($C44:AO44)), COUNTA(FILTE"&amp;"R($C44:AO44, ISNUMBER($C44:AO44)))),
lastVal + 'K dynamique'!AO44 * ((SQRT('Résultats des tournois'!AO$2 + 1)/'Résultats des tournois'!AO44) - (1 / (1 + 10^((AO$103 - lastVal)/400)))))
)
))"),"")</f>
        <v/>
      </c>
      <c r="AQ44" s="32" t="str">
        <f>IFERROR(__xludf.DUMMYFUNCTION("IF('Résultats des tournois'!AP$2=0,"""",LET(
lastVal, INDEX(FILTER($B44:AP44, ISNUMBER($B44:AP44)), COUNTA(FILTER($B44:AP44, ISNUMBER($B44:AP44)))),
IFERROR(
IF('Résultats des tournois'!AP44="""", INDEX(FILTER($C44:AP44, ISNUMBER($C44:AP44)), COUNTA(FILTE"&amp;"R($C44:AP44, ISNUMBER($C44:AP44)))),
lastVal + 'K dynamique'!AP44 * ((SQRT('Résultats des tournois'!AP$2 + 1)/'Résultats des tournois'!AP44) - (1 / (1 + 10^((AP$103 - lastVal)/400)))))
)
))"),"")</f>
        <v/>
      </c>
      <c r="AR44" s="32" t="str">
        <f>IFERROR(__xludf.DUMMYFUNCTION("IF('Résultats des tournois'!AQ$2=0,"""",LET(
lastVal, INDEX(FILTER($B44:AQ44, ISNUMBER($B44:AQ44)), COUNTA(FILTER($B44:AQ44, ISNUMBER($B44:AQ44)))),
IFERROR(
IF('Résultats des tournois'!AQ44="""", INDEX(FILTER($C44:AQ44, ISNUMBER($C44:AQ44)), COUNTA(FILTE"&amp;"R($C44:AQ44, ISNUMBER($C44:AQ44)))),
lastVal + 'K dynamique'!AQ44 * ((SQRT('Résultats des tournois'!AQ$2 + 1)/'Résultats des tournois'!AQ44) - (1 / (1 + 10^((AQ$103 - lastVal)/400)))))
)
))"),"")</f>
        <v/>
      </c>
      <c r="AS44" s="32" t="str">
        <f>IFERROR(__xludf.DUMMYFUNCTION("IF('Résultats des tournois'!AR$2=0,"""",LET(
lastVal, INDEX(FILTER($B44:AR44, ISNUMBER($B44:AR44)), COUNTA(FILTER($B44:AR44, ISNUMBER($B44:AR44)))),
IFERROR(
IF('Résultats des tournois'!AR44="""", INDEX(FILTER($C44:AR44, ISNUMBER($C44:AR44)), COUNTA(FILTE"&amp;"R($C44:AR44, ISNUMBER($C44:AR44)))),
lastVal + 'K dynamique'!AR44 * ((SQRT('Résultats des tournois'!AR$2 + 1)/'Résultats des tournois'!AR44) - (1 / (1 + 10^((AR$103 - lastVal)/400)))))
)
))"),"")</f>
        <v/>
      </c>
      <c r="AT44" s="32" t="str">
        <f>IFERROR(__xludf.DUMMYFUNCTION("IF('Résultats des tournois'!AS$2=0,"""",LET(
lastVal, INDEX(FILTER($B44:AS44, ISNUMBER($B44:AS44)), COUNTA(FILTER($B44:AS44, ISNUMBER($B44:AS44)))),
IFERROR(
IF('Résultats des tournois'!AS44="""", INDEX(FILTER($C44:AS44, ISNUMBER($C44:AS44)), COUNTA(FILTE"&amp;"R($C44:AS44, ISNUMBER($C44:AS44)))),
lastVal + 'K dynamique'!AS44 * ((SQRT('Résultats des tournois'!AS$2 + 1)/'Résultats des tournois'!AS44) - (1 / (1 + 10^((AS$103 - lastVal)/400)))))
)
))"),"")</f>
        <v/>
      </c>
      <c r="AU44" s="32" t="str">
        <f>IFERROR(__xludf.DUMMYFUNCTION("IF('Résultats des tournois'!AT$2=0,"""",LET(
lastVal, INDEX(FILTER($B44:AT44, ISNUMBER($B44:AT44)), COUNTA(FILTER($B44:AT44, ISNUMBER($B44:AT44)))),
IFERROR(
IF('Résultats des tournois'!AT44="""", INDEX(FILTER($C44:AT44, ISNUMBER($C44:AT44)), COUNTA(FILTE"&amp;"R($C44:AT44, ISNUMBER($C44:AT44)))),
lastVal + 'K dynamique'!AT44 * ((SQRT('Résultats des tournois'!AT$2 + 1)/'Résultats des tournois'!AT44) - (1 / (1 + 10^((AT$103 - lastVal)/400)))))
)
))"),"")</f>
        <v/>
      </c>
      <c r="AV44" s="32" t="str">
        <f>IFERROR(__xludf.DUMMYFUNCTION("IF('Résultats des tournois'!AU$2=0,"""",LET(
lastVal, INDEX(FILTER($B44:AU44, ISNUMBER($B44:AU44)), COUNTA(FILTER($B44:AU44, ISNUMBER($B44:AU44)))),
IFERROR(
IF('Résultats des tournois'!AU44="""", INDEX(FILTER($C44:AU44, ISNUMBER($C44:AU44)), COUNTA(FILTE"&amp;"R($C44:AU44, ISNUMBER($C44:AU44)))),
lastVal + 'K dynamique'!AU44 * ((SQRT('Résultats des tournois'!AU$2 + 1)/'Résultats des tournois'!AU44) - (1 / (1 + 10^((AU$103 - lastVal)/400)))))
)
))"),"")</f>
        <v/>
      </c>
      <c r="AW44" s="32" t="str">
        <f>IFERROR(__xludf.DUMMYFUNCTION("IF('Résultats des tournois'!AV$2=0,"""",LET(
lastVal, INDEX(FILTER($B44:AV44, ISNUMBER($B44:AV44)), COUNTA(FILTER($B44:AV44, ISNUMBER($B44:AV44)))),
IFERROR(
IF('Résultats des tournois'!AV44="""", INDEX(FILTER($C44:AV44, ISNUMBER($C44:AV44)), COUNTA(FILTE"&amp;"R($C44:AV44, ISNUMBER($C44:AV44)))),
lastVal + 'K dynamique'!AV44 * ((SQRT('Résultats des tournois'!AV$2 + 1)/'Résultats des tournois'!AV44) - (1 / (1 + 10^((AV$103 - lastVal)/400)))))
)
))"),"")</f>
        <v/>
      </c>
      <c r="AX44" s="32" t="str">
        <f>IFERROR(__xludf.DUMMYFUNCTION("IF('Résultats des tournois'!AW$2=0,"""",LET(
lastVal, INDEX(FILTER($B44:AW44, ISNUMBER($B44:AW44)), COUNTA(FILTER($B44:AW44, ISNUMBER($B44:AW44)))),
IFERROR(
IF('Résultats des tournois'!AW44="""", INDEX(FILTER($C44:AW44, ISNUMBER($C44:AW44)), COUNTA(FILTE"&amp;"R($C44:AW44, ISNUMBER($C44:AW44)))),
lastVal + 'K dynamique'!AW44 * ((SQRT('Résultats des tournois'!AW$2 + 1)/'Résultats des tournois'!AW44) - (1 / (1 + 10^((AW$103 - lastVal)/400)))))
)
))"),"")</f>
        <v/>
      </c>
      <c r="AY44" s="32" t="str">
        <f>IFERROR(__xludf.DUMMYFUNCTION("IF('Résultats des tournois'!AX$2=0,"""",LET(
lastVal, INDEX(FILTER($B44:AX44, ISNUMBER($B44:AX44)), COUNTA(FILTER($B44:AX44, ISNUMBER($B44:AX44)))),
IFERROR(
IF('Résultats des tournois'!AX44="""", INDEX(FILTER($C44:AX44, ISNUMBER($C44:AX44)), COUNTA(FILTE"&amp;"R($C44:AX44, ISNUMBER($C44:AX44)))),
lastVal + 'K dynamique'!AX44 * ((SQRT('Résultats des tournois'!AX$2 + 1)/'Résultats des tournois'!AX44) - (1 / (1 + 10^((AX$103 - lastVal)/400)))))
)
))"),"")</f>
        <v/>
      </c>
      <c r="AZ44" s="4" t="str">
        <f t="array" ref="AZ44">IF(MAX(($C44:AY44&lt;&gt;"")*COLUMN($C44:AY44))=0,"",INDEX($C44:AY44,1,MAX(($C44:AY44&lt;&gt;"")*COLUMN($C44:AY44))-COLUMN($C44)+1))</f>
        <v/>
      </c>
      <c r="BA44" s="33" t="str">
        <f t="shared" si="1"/>
        <v/>
      </c>
    </row>
    <row r="45" ht="14.25" customHeight="1">
      <c r="A45" s="32" t="str">
        <f>IF('Résultats des tournois'!A45="","",'Résultats des tournois'!A45)</f>
        <v/>
      </c>
      <c r="B45" s="32">
        <v>1500.0</v>
      </c>
      <c r="C45" s="32" t="str">
        <f>IF('Résultats des tournois'!B45="","",B45+'K dynamique'!B45*((SQRT('Résultats des tournois'!B$2+1)/'Résultats des tournois'!B45)-(1/(1+10^((B45-B45)/400)))))</f>
        <v/>
      </c>
      <c r="D45" s="32" t="str">
        <f>IFERROR(__xludf.DUMMYFUNCTION("IF('Résultats des tournois'!C$2=0,"""",LET(
lastVal, INDEX(FILTER($B45:C45, ISNUMBER($B45:C45)), COUNTA(FILTER($B45:C45, ISNUMBER($B45:C45)))),
IFERROR(
IF('Résultats des tournois'!C45="""", INDEX(FILTER($C45:C45, ISNUMBER($C45:C45)), COUNTA(FILTER($C45:C"&amp;"45, ISNUMBER($C45:C45)))),
lastVal + 'K dynamique'!C45 * ((SQRT('Résultats des tournois'!C$2 + 1)/'Résultats des tournois'!C45) - (1 / (1 + 10^((C$103 - lastVal)/400)))))
)
))"),"")</f>
        <v/>
      </c>
      <c r="E45" s="32" t="str">
        <f>IFERROR(__xludf.DUMMYFUNCTION("IF('Résultats des tournois'!D$2=0,"""",LET(
lastVal, INDEX(FILTER($B45:D45, ISNUMBER($B45:D45)), COUNTA(FILTER($B45:D45, ISNUMBER($B45:D45)))),
IFERROR(
IF('Résultats des tournois'!D45="""", INDEX(FILTER($C45:D45, ISNUMBER($C45:D45)), COUNTA(FILTER($C45:D"&amp;"45, ISNUMBER($C45:D45)))),
lastVal + 'K dynamique'!D45 * ((SQRT('Résultats des tournois'!D$2 + 1)/'Résultats des tournois'!D45) - (1 / (1 + 10^((D$103 - lastVal)/400)))))
)
))"),"")</f>
        <v/>
      </c>
      <c r="F45" s="32" t="str">
        <f>IFERROR(__xludf.DUMMYFUNCTION("IF('Résultats des tournois'!E$2=0,"""",LET(
lastVal, INDEX(FILTER($B45:E45, ISNUMBER($B45:E45)), COUNTA(FILTER($B45:E45, ISNUMBER($B45:E45)))),
IFERROR(
IF('Résultats des tournois'!E45="""", INDEX(FILTER($C45:E45, ISNUMBER($C45:E45)), COUNTA(FILTER($C45:E"&amp;"45, ISNUMBER($C45:E45)))),
lastVal + 'K dynamique'!E45 * ((SQRT('Résultats des tournois'!E$2 + 1)/'Résultats des tournois'!E45) - (1 / (1 + 10^((E$103 - lastVal)/400)))))
)
))"),"")</f>
        <v/>
      </c>
      <c r="G45" s="32" t="str">
        <f>IFERROR(__xludf.DUMMYFUNCTION("IF('Résultats des tournois'!F$2=0,"""",LET(
lastVal, INDEX(FILTER($B45:F45, ISNUMBER($B45:F45)), COUNTA(FILTER($B45:F45, ISNUMBER($B45:F45)))),
IFERROR(
IF('Résultats des tournois'!F45="""", INDEX(FILTER($C45:F45, ISNUMBER($C45:F45)), COUNTA(FILTER($C45:F"&amp;"45, ISNUMBER($C45:F45)))),
lastVal + 'K dynamique'!F45 * ((SQRT('Résultats des tournois'!F$2 + 1)/'Résultats des tournois'!F45) - (1 / (1 + 10^((F$103 - lastVal)/400)))))
)
))"),"")</f>
        <v/>
      </c>
      <c r="H45" s="32" t="str">
        <f>IFERROR(__xludf.DUMMYFUNCTION("IF('Résultats des tournois'!G$2=0,"""",LET(
lastVal, INDEX(FILTER($B45:G45, ISNUMBER($B45:G45)), COUNTA(FILTER($B45:G45, ISNUMBER($B45:G45)))),
IFERROR(
IF('Résultats des tournois'!G45="""", INDEX(FILTER($C45:G45, ISNUMBER($C45:G45)), COUNTA(FILTER($C45:G"&amp;"45, ISNUMBER($C45:G45)))),
lastVal + 'K dynamique'!G45 * ((SQRT('Résultats des tournois'!G$2 + 1)/'Résultats des tournois'!G45) - (1 / (1 + 10^((G$103 - lastVal)/400)))))
)
))"),"")</f>
        <v/>
      </c>
      <c r="I45" s="32" t="str">
        <f>IFERROR(__xludf.DUMMYFUNCTION("IF('Résultats des tournois'!H$2=0,"""",LET(
lastVal, INDEX(FILTER($B45:H45, ISNUMBER($B45:H45)), COUNTA(FILTER($B45:H45, ISNUMBER($B45:H45)))),
IFERROR(
IF('Résultats des tournois'!H45="""", INDEX(FILTER($C45:H45, ISNUMBER($C45:H45)), COUNTA(FILTER($C45:H"&amp;"45, ISNUMBER($C45:H45)))),
lastVal + 'K dynamique'!H45 * ((SQRT('Résultats des tournois'!H$2 + 1)/'Résultats des tournois'!H45) - (1 / (1 + 10^((H$103 - lastVal)/400)))))
)
))"),"")</f>
        <v/>
      </c>
      <c r="J45" s="32" t="str">
        <f>IFERROR(__xludf.DUMMYFUNCTION("IF('Résultats des tournois'!I$2=0,"""",LET(
lastVal, INDEX(FILTER($B45:I45, ISNUMBER($B45:I45)), COUNTA(FILTER($B45:I45, ISNUMBER($B45:I45)))),
IFERROR(
IF('Résultats des tournois'!I45="""", INDEX(FILTER($C45:I45, ISNUMBER($C45:I45)), COUNTA(FILTER($C45:I"&amp;"45, ISNUMBER($C45:I45)))),
lastVal + 'K dynamique'!I45 * ((SQRT('Résultats des tournois'!I$2 + 1)/'Résultats des tournois'!I45) - (1 / (1 + 10^((I$103 - lastVal)/400)))))
)
))"),"")</f>
        <v/>
      </c>
      <c r="K45" s="32" t="str">
        <f>IFERROR(__xludf.DUMMYFUNCTION("IF('Résultats des tournois'!J$2=0,"""",LET(
lastVal, INDEX(FILTER($B45:J45, ISNUMBER($B45:J45)), COUNTA(FILTER($B45:J45, ISNUMBER($B45:J45)))),
IFERROR(
IF('Résultats des tournois'!J45="""", INDEX(FILTER($C45:J45, ISNUMBER($C45:J45)), COUNTA(FILTER($C45:J"&amp;"45, ISNUMBER($C45:J45)))),
lastVal + 'K dynamique'!J45 * ((SQRT('Résultats des tournois'!J$2 + 1)/'Résultats des tournois'!J45) - (1 / (1 + 10^((J$103 - lastVal)/400)))))
)
))"),"")</f>
        <v/>
      </c>
      <c r="L45" s="32" t="str">
        <f>IFERROR(__xludf.DUMMYFUNCTION("IF('Résultats des tournois'!K$2=0,"""",LET(
lastVal, INDEX(FILTER($B45:K45, ISNUMBER($B45:K45)), COUNTA(FILTER($B45:K45, ISNUMBER($B45:K45)))),
IFERROR(
IF('Résultats des tournois'!K45="""", INDEX(FILTER($C45:K45, ISNUMBER($C45:K45)), COUNTA(FILTER($C45:K"&amp;"45, ISNUMBER($C45:K45)))),
lastVal + 'K dynamique'!K45 * ((SQRT('Résultats des tournois'!K$2 + 1)/'Résultats des tournois'!K45) - (1 / (1 + 10^((K$103 - lastVal)/400)))))
)
))"),"")</f>
        <v/>
      </c>
      <c r="M45" s="32" t="str">
        <f>IFERROR(__xludf.DUMMYFUNCTION("IF('Résultats des tournois'!L$2=0,"""",LET(
lastVal, INDEX(FILTER($B45:L45, ISNUMBER($B45:L45)), COUNTA(FILTER($B45:L45, ISNUMBER($B45:L45)))),
IFERROR(
IF('Résultats des tournois'!L45="""", INDEX(FILTER($C45:L45, ISNUMBER($C45:L45)), COUNTA(FILTER($C45:L"&amp;"45, ISNUMBER($C45:L45)))),
lastVal + 'K dynamique'!L45 * ((SQRT('Résultats des tournois'!L$2 + 1)/'Résultats des tournois'!L45) - (1 / (1 + 10^((L$103 - lastVal)/400)))))
)
))"),"")</f>
        <v/>
      </c>
      <c r="N45" s="32" t="str">
        <f>IFERROR(__xludf.DUMMYFUNCTION("IF('Résultats des tournois'!M$2=0,"""",LET(
lastVal, INDEX(FILTER($B45:M45, ISNUMBER($B45:M45)), COUNTA(FILTER($B45:M45, ISNUMBER($B45:M45)))),
IFERROR(
IF('Résultats des tournois'!M45="""", INDEX(FILTER($C45:M45, ISNUMBER($C45:M45)), COUNTA(FILTER($C45:M"&amp;"45, ISNUMBER($C45:M45)))),
lastVal + 'K dynamique'!M45 * ((SQRT('Résultats des tournois'!M$2 + 1)/'Résultats des tournois'!M45) - (1 / (1 + 10^((M$103 - lastVal)/400)))))
)
))"),"")</f>
        <v/>
      </c>
      <c r="O45" s="32" t="str">
        <f>IFERROR(__xludf.DUMMYFUNCTION("IF('Résultats des tournois'!N$2=0,"""",LET(
lastVal, INDEX(FILTER($B45:N45, ISNUMBER($B45:N45)), COUNTA(FILTER($B45:N45, ISNUMBER($B45:N45)))),
IFERROR(
IF('Résultats des tournois'!N45="""", INDEX(FILTER($C45:N45, ISNUMBER($C45:N45)), COUNTA(FILTER($C45:N"&amp;"45, ISNUMBER($C45:N45)))),
lastVal + 'K dynamique'!N45 * ((SQRT('Résultats des tournois'!N$2 + 1)/'Résultats des tournois'!N45) - (1 / (1 + 10^((N$103 - lastVal)/400)))))
)
))"),"")</f>
        <v/>
      </c>
      <c r="P45" s="32" t="str">
        <f>IFERROR(__xludf.DUMMYFUNCTION("IF('Résultats des tournois'!O$2=0,"""",LET(
lastVal, INDEX(FILTER($B45:O45, ISNUMBER($B45:O45)), COUNTA(FILTER($B45:O45, ISNUMBER($B45:O45)))),
IFERROR(
IF('Résultats des tournois'!O45="""", INDEX(FILTER($C45:O45, ISNUMBER($C45:O45)), COUNTA(FILTER($C45:O"&amp;"45, ISNUMBER($C45:O45)))),
lastVal + 'K dynamique'!O45 * ((SQRT('Résultats des tournois'!O$2 + 1)/'Résultats des tournois'!O45) - (1 / (1 + 10^((O$103 - lastVal)/400)))))
)
))"),"")</f>
        <v/>
      </c>
      <c r="Q45" s="32" t="str">
        <f>IFERROR(__xludf.DUMMYFUNCTION("IF('Résultats des tournois'!P$2=0,"""",LET(
lastVal, INDEX(FILTER($B45:P45, ISNUMBER($B45:P45)), COUNTA(FILTER($B45:P45, ISNUMBER($B45:P45)))),
IFERROR(
IF('Résultats des tournois'!P45="""", INDEX(FILTER($C45:P45, ISNUMBER($C45:P45)), COUNTA(FILTER($C45:P"&amp;"45, ISNUMBER($C45:P45)))),
lastVal + 'K dynamique'!P45 * ((SQRT('Résultats des tournois'!P$2 + 1)/'Résultats des tournois'!P45) - (1 / (1 + 10^((P$103 - lastVal)/400)))))
)
))"),"")</f>
        <v/>
      </c>
      <c r="R45" s="32" t="str">
        <f>IFERROR(__xludf.DUMMYFUNCTION("IF('Résultats des tournois'!Q$2=0,"""",LET(
lastVal, INDEX(FILTER($B45:Q45, ISNUMBER($B45:Q45)), COUNTA(FILTER($B45:Q45, ISNUMBER($B45:Q45)))),
IFERROR(
IF('Résultats des tournois'!Q45="""", INDEX(FILTER($C45:Q45, ISNUMBER($C45:Q45)), COUNTA(FILTER($C45:Q"&amp;"45, ISNUMBER($C45:Q45)))),
lastVal + 'K dynamique'!Q45 * ((SQRT('Résultats des tournois'!Q$2 + 1)/'Résultats des tournois'!Q45) - (1 / (1 + 10^((Q$103 - lastVal)/400)))))
)
))"),"")</f>
        <v/>
      </c>
      <c r="S45" s="32" t="str">
        <f>IFERROR(__xludf.DUMMYFUNCTION("IF('Résultats des tournois'!R$2=0,"""",LET(
lastVal, INDEX(FILTER($B45:R45, ISNUMBER($B45:R45)), COUNTA(FILTER($B45:R45, ISNUMBER($B45:R45)))),
IFERROR(
IF('Résultats des tournois'!R45="""", INDEX(FILTER($C45:R45, ISNUMBER($C45:R45)), COUNTA(FILTER($C45:R"&amp;"45, ISNUMBER($C45:R45)))),
lastVal + 'K dynamique'!R45 * ((SQRT('Résultats des tournois'!R$2 + 1)/'Résultats des tournois'!R45) - (1 / (1 + 10^((R$103 - lastVal)/400)))))
)
))"),"")</f>
        <v/>
      </c>
      <c r="T45" s="32" t="str">
        <f>IFERROR(__xludf.DUMMYFUNCTION("IF('Résultats des tournois'!S$2=0,"""",LET(
lastVal, INDEX(FILTER($B45:S45, ISNUMBER($B45:S45)), COUNTA(FILTER($B45:S45, ISNUMBER($B45:S45)))),
IFERROR(
IF('Résultats des tournois'!S45="""", INDEX(FILTER($C45:S45, ISNUMBER($C45:S45)), COUNTA(FILTER($C45:S"&amp;"45, ISNUMBER($C45:S45)))),
lastVal + 'K dynamique'!S45 * ((SQRT('Résultats des tournois'!S$2 + 1)/'Résultats des tournois'!S45) - (1 / (1 + 10^((S$103 - lastVal)/400)))))
)
))"),"")</f>
        <v/>
      </c>
      <c r="U45" s="32" t="str">
        <f>IFERROR(__xludf.DUMMYFUNCTION("IF('Résultats des tournois'!T$2=0,"""",LET(
lastVal, INDEX(FILTER($B45:T45, ISNUMBER($B45:T45)), COUNTA(FILTER($B45:T45, ISNUMBER($B45:T45)))),
IFERROR(
IF('Résultats des tournois'!T45="""", INDEX(FILTER($C45:T45, ISNUMBER($C45:T45)), COUNTA(FILTER($C45:T"&amp;"45, ISNUMBER($C45:T45)))),
lastVal + 'K dynamique'!T45 * ((SQRT('Résultats des tournois'!T$2 + 1)/'Résultats des tournois'!T45) - (1 / (1 + 10^((T$103 - lastVal)/400)))))
)
))"),"")</f>
        <v/>
      </c>
      <c r="V45" s="32" t="str">
        <f>IFERROR(__xludf.DUMMYFUNCTION("IF('Résultats des tournois'!U$2=0,"""",LET(
lastVal, INDEX(FILTER($B45:U45, ISNUMBER($B45:U45)), COUNTA(FILTER($B45:U45, ISNUMBER($B45:U45)))),
IFERROR(
IF('Résultats des tournois'!U45="""", INDEX(FILTER($C45:U45, ISNUMBER($C45:U45)), COUNTA(FILTER($C45:U"&amp;"45, ISNUMBER($C45:U45)))),
lastVal + 'K dynamique'!U45 * ((SQRT('Résultats des tournois'!U$2 + 1)/'Résultats des tournois'!U45) - (1 / (1 + 10^((U$103 - lastVal)/400)))))
)
))"),"")</f>
        <v/>
      </c>
      <c r="W45" s="32" t="str">
        <f>IFERROR(__xludf.DUMMYFUNCTION("IF('Résultats des tournois'!V$2=0,"""",LET(
lastVal, INDEX(FILTER($B45:V45, ISNUMBER($B45:V45)), COUNTA(FILTER($B45:V45, ISNUMBER($B45:V45)))),
IFERROR(
IF('Résultats des tournois'!V45="""", INDEX(FILTER($C45:V45, ISNUMBER($C45:V45)), COUNTA(FILTER($C45:V"&amp;"45, ISNUMBER($C45:V45)))),
lastVal + 'K dynamique'!V45 * ((SQRT('Résultats des tournois'!V$2 + 1)/'Résultats des tournois'!V45) - (1 / (1 + 10^((V$103 - lastVal)/400)))))
)
))"),"")</f>
        <v/>
      </c>
      <c r="X45" s="32" t="str">
        <f>IFERROR(__xludf.DUMMYFUNCTION("IF('Résultats des tournois'!W$2=0,"""",LET(
lastVal, INDEX(FILTER($B45:W45, ISNUMBER($B45:W45)), COUNTA(FILTER($B45:W45, ISNUMBER($B45:W45)))),
IFERROR(
IF('Résultats des tournois'!W45="""", INDEX(FILTER($C45:W45, ISNUMBER($C45:W45)), COUNTA(FILTER($C45:W"&amp;"45, ISNUMBER($C45:W45)))),
lastVal + 'K dynamique'!W45 * ((SQRT('Résultats des tournois'!W$2 + 1)/'Résultats des tournois'!W45) - (1 / (1 + 10^((W$103 - lastVal)/400)))))
)
))"),"")</f>
        <v/>
      </c>
      <c r="Y45" s="32" t="str">
        <f>IFERROR(__xludf.DUMMYFUNCTION("IF('Résultats des tournois'!X$2=0,"""",LET(
lastVal, INDEX(FILTER($B45:X45, ISNUMBER($B45:X45)), COUNTA(FILTER($B45:X45, ISNUMBER($B45:X45)))),
IFERROR(
IF('Résultats des tournois'!X45="""", INDEX(FILTER($C45:X45, ISNUMBER($C45:X45)), COUNTA(FILTER($C45:X"&amp;"45, ISNUMBER($C45:X45)))),
lastVal + 'K dynamique'!X45 * ((SQRT('Résultats des tournois'!X$2 + 1)/'Résultats des tournois'!X45) - (1 / (1 + 10^((X$103 - lastVal)/400)))))
)
))"),"")</f>
        <v/>
      </c>
      <c r="Z45" s="32" t="str">
        <f>IFERROR(__xludf.DUMMYFUNCTION("IF('Résultats des tournois'!Y$2=0,"""",LET(
lastVal, INDEX(FILTER($B45:Y45, ISNUMBER($B45:Y45)), COUNTA(FILTER($B45:Y45, ISNUMBER($B45:Y45)))),
IFERROR(
IF('Résultats des tournois'!Y45="""", INDEX(FILTER($C45:Y45, ISNUMBER($C45:Y45)), COUNTA(FILTER($C45:Y"&amp;"45, ISNUMBER($C45:Y45)))),
lastVal + 'K dynamique'!Y45 * ((SQRT('Résultats des tournois'!Y$2 + 1)/'Résultats des tournois'!Y45) - (1 / (1 + 10^((Y$103 - lastVal)/400)))))
)
))"),"")</f>
        <v/>
      </c>
      <c r="AA45" s="32" t="str">
        <f>IFERROR(__xludf.DUMMYFUNCTION("IF('Résultats des tournois'!Z$2=0,"""",LET(
lastVal, INDEX(FILTER($B45:Z45, ISNUMBER($B45:Z45)), COUNTA(FILTER($B45:Z45, ISNUMBER($B45:Z45)))),
IFERROR(
IF('Résultats des tournois'!Z45="""", INDEX(FILTER($C45:Z45, ISNUMBER($C45:Z45)), COUNTA(FILTER($C45:Z"&amp;"45, ISNUMBER($C45:Z45)))),
lastVal + 'K dynamique'!Z45 * ((SQRT('Résultats des tournois'!Z$2 + 1)/'Résultats des tournois'!Z45) - (1 / (1 + 10^((Z$103 - lastVal)/400)))))
)
))"),"")</f>
        <v/>
      </c>
      <c r="AB45" s="32" t="str">
        <f>IFERROR(__xludf.DUMMYFUNCTION("IF('Résultats des tournois'!AA$2=0,"""",LET(
lastVal, INDEX(FILTER($B45:AA45, ISNUMBER($B45:AA45)), COUNTA(FILTER($B45:AA45, ISNUMBER($B45:AA45)))),
IFERROR(
IF('Résultats des tournois'!AA45="""", INDEX(FILTER($C45:AA45, ISNUMBER($C45:AA45)), COUNTA(FILTE"&amp;"R($C45:AA45, ISNUMBER($C45:AA45)))),
lastVal + 'K dynamique'!AA45 * ((SQRT('Résultats des tournois'!AA$2 + 1)/'Résultats des tournois'!AA45) - (1 / (1 + 10^((AA$103 - lastVal)/400)))))
)
))"),"")</f>
        <v/>
      </c>
      <c r="AC45" s="32" t="str">
        <f>IFERROR(__xludf.DUMMYFUNCTION("IF('Résultats des tournois'!AB$2=0,"""",LET(
lastVal, INDEX(FILTER($B45:AB45, ISNUMBER($B45:AB45)), COUNTA(FILTER($B45:AB45, ISNUMBER($B45:AB45)))),
IFERROR(
IF('Résultats des tournois'!AB45="""", INDEX(FILTER($C45:AB45, ISNUMBER($C45:AB45)), COUNTA(FILTE"&amp;"R($C45:AB45, ISNUMBER($C45:AB45)))),
lastVal + 'K dynamique'!AB45 * ((SQRT('Résultats des tournois'!AB$2 + 1)/'Résultats des tournois'!AB45) - (1 / (1 + 10^((AB$103 - lastVal)/400)))))
)
))"),"")</f>
        <v/>
      </c>
      <c r="AD45" s="32" t="str">
        <f>IFERROR(__xludf.DUMMYFUNCTION("IF('Résultats des tournois'!AC$2=0,"""",LET(
lastVal, INDEX(FILTER($B45:AC45, ISNUMBER($B45:AC45)), COUNTA(FILTER($B45:AC45, ISNUMBER($B45:AC45)))),
IFERROR(
IF('Résultats des tournois'!AC45="""", INDEX(FILTER($C45:AC45, ISNUMBER($C45:AC45)), COUNTA(FILTE"&amp;"R($C45:AC45, ISNUMBER($C45:AC45)))),
lastVal + 'K dynamique'!AC45 * ((SQRT('Résultats des tournois'!AC$2 + 1)/'Résultats des tournois'!AC45) - (1 / (1 + 10^((AC$103 - lastVal)/400)))))
)
))"),"")</f>
        <v/>
      </c>
      <c r="AE45" s="32" t="str">
        <f>IFERROR(__xludf.DUMMYFUNCTION("IF('Résultats des tournois'!AD$2=0,"""",LET(
lastVal, INDEX(FILTER($B45:AD45, ISNUMBER($B45:AD45)), COUNTA(FILTER($B45:AD45, ISNUMBER($B45:AD45)))),
IFERROR(
IF('Résultats des tournois'!AD45="""", INDEX(FILTER($C45:AD45, ISNUMBER($C45:AD45)), COUNTA(FILTE"&amp;"R($C45:AD45, ISNUMBER($C45:AD45)))),
lastVal + 'K dynamique'!AD45 * ((SQRT('Résultats des tournois'!AD$2 + 1)/'Résultats des tournois'!AD45) - (1 / (1 + 10^((AD$103 - lastVal)/400)))))
)
))"),"")</f>
        <v/>
      </c>
      <c r="AF45" s="32" t="str">
        <f>IFERROR(__xludf.DUMMYFUNCTION("IF('Résultats des tournois'!AE$2=0,"""",LET(
lastVal, INDEX(FILTER($B45:AE45, ISNUMBER($B45:AE45)), COUNTA(FILTER($B45:AE45, ISNUMBER($B45:AE45)))),
IFERROR(
IF('Résultats des tournois'!AE45="""", INDEX(FILTER($C45:AE45, ISNUMBER($C45:AE45)), COUNTA(FILTE"&amp;"R($C45:AE45, ISNUMBER($C45:AE45)))),
lastVal + 'K dynamique'!AE45 * ((SQRT('Résultats des tournois'!AE$2 + 1)/'Résultats des tournois'!AE45) - (1 / (1 + 10^((AE$103 - lastVal)/400)))))
)
))"),"")</f>
        <v/>
      </c>
      <c r="AG45" s="32" t="str">
        <f>IFERROR(__xludf.DUMMYFUNCTION("IF('Résultats des tournois'!AF$2=0,"""",LET(
lastVal, INDEX(FILTER($B45:AF45, ISNUMBER($B45:AF45)), COUNTA(FILTER($B45:AF45, ISNUMBER($B45:AF45)))),
IFERROR(
IF('Résultats des tournois'!AF45="""", INDEX(FILTER($C45:AF45, ISNUMBER($C45:AF45)), COUNTA(FILTE"&amp;"R($C45:AF45, ISNUMBER($C45:AF45)))),
lastVal + 'K dynamique'!AF45 * ((SQRT('Résultats des tournois'!AF$2 + 1)/'Résultats des tournois'!AF45) - (1 / (1 + 10^((AF$103 - lastVal)/400)))))
)
))"),"")</f>
        <v/>
      </c>
      <c r="AH45" s="32" t="str">
        <f>IFERROR(__xludf.DUMMYFUNCTION("IF('Résultats des tournois'!AG$2=0,"""",LET(
lastVal, INDEX(FILTER($B45:AG45, ISNUMBER($B45:AG45)), COUNTA(FILTER($B45:AG45, ISNUMBER($B45:AG45)))),
IFERROR(
IF('Résultats des tournois'!AG45="""", INDEX(FILTER($C45:AG45, ISNUMBER($C45:AG45)), COUNTA(FILTE"&amp;"R($C45:AG45, ISNUMBER($C45:AG45)))),
lastVal + 'K dynamique'!AG45 * ((SQRT('Résultats des tournois'!AG$2 + 1)/'Résultats des tournois'!AG45) - (1 / (1 + 10^((AG$103 - lastVal)/400)))))
)
))"),"")</f>
        <v/>
      </c>
      <c r="AI45" s="32" t="str">
        <f>IFERROR(__xludf.DUMMYFUNCTION("IF('Résultats des tournois'!AH$2=0,"""",LET(
lastVal, INDEX(FILTER($B45:AH45, ISNUMBER($B45:AH45)), COUNTA(FILTER($B45:AH45, ISNUMBER($B45:AH45)))),
IFERROR(
IF('Résultats des tournois'!AH45="""", INDEX(FILTER($C45:AH45, ISNUMBER($C45:AH45)), COUNTA(FILTE"&amp;"R($C45:AH45, ISNUMBER($C45:AH45)))),
lastVal + 'K dynamique'!AH45 * ((SQRT('Résultats des tournois'!AH$2 + 1)/'Résultats des tournois'!AH45) - (1 / (1 + 10^((AH$103 - lastVal)/400)))))
)
))"),"")</f>
        <v/>
      </c>
      <c r="AJ45" s="32" t="str">
        <f>IFERROR(__xludf.DUMMYFUNCTION("IF('Résultats des tournois'!AI$2=0,"""",LET(
lastVal, INDEX(FILTER($B45:AI45, ISNUMBER($B45:AI45)), COUNTA(FILTER($B45:AI45, ISNUMBER($B45:AI45)))),
IFERROR(
IF('Résultats des tournois'!AI45="""", INDEX(FILTER($C45:AI45, ISNUMBER($C45:AI45)), COUNTA(FILTE"&amp;"R($C45:AI45, ISNUMBER($C45:AI45)))),
lastVal + 'K dynamique'!AI45 * ((SQRT('Résultats des tournois'!AI$2 + 1)/'Résultats des tournois'!AI45) - (1 / (1 + 10^((AI$103 - lastVal)/400)))))
)
))"),"")</f>
        <v/>
      </c>
      <c r="AK45" s="32" t="str">
        <f>IFERROR(__xludf.DUMMYFUNCTION("IF('Résultats des tournois'!AJ$2=0,"""",LET(
lastVal, INDEX(FILTER($B45:AJ45, ISNUMBER($B45:AJ45)), COUNTA(FILTER($B45:AJ45, ISNUMBER($B45:AJ45)))),
IFERROR(
IF('Résultats des tournois'!AJ45="""", INDEX(FILTER($C45:AJ45, ISNUMBER($C45:AJ45)), COUNTA(FILTE"&amp;"R($C45:AJ45, ISNUMBER($C45:AJ45)))),
lastVal + 'K dynamique'!AJ45 * ((SQRT('Résultats des tournois'!AJ$2 + 1)/'Résultats des tournois'!AJ45) - (1 / (1 + 10^((AJ$103 - lastVal)/400)))))
)
))"),"")</f>
        <v/>
      </c>
      <c r="AL45" s="32" t="str">
        <f>IFERROR(__xludf.DUMMYFUNCTION("IF('Résultats des tournois'!AK$2=0,"""",LET(
lastVal, INDEX(FILTER($B45:AK45, ISNUMBER($B45:AK45)), COUNTA(FILTER($B45:AK45, ISNUMBER($B45:AK45)))),
IFERROR(
IF('Résultats des tournois'!AK45="""", INDEX(FILTER($C45:AK45, ISNUMBER($C45:AK45)), COUNTA(FILTE"&amp;"R($C45:AK45, ISNUMBER($C45:AK45)))),
lastVal + 'K dynamique'!AK45 * ((SQRT('Résultats des tournois'!AK$2 + 1)/'Résultats des tournois'!AK45) - (1 / (1 + 10^((AK$103 - lastVal)/400)))))
)
))"),"")</f>
        <v/>
      </c>
      <c r="AM45" s="32" t="str">
        <f>IFERROR(__xludf.DUMMYFUNCTION("IF('Résultats des tournois'!AL$2=0,"""",LET(
lastVal, INDEX(FILTER($B45:AL45, ISNUMBER($B45:AL45)), COUNTA(FILTER($B45:AL45, ISNUMBER($B45:AL45)))),
IFERROR(
IF('Résultats des tournois'!AL45="""", INDEX(FILTER($C45:AL45, ISNUMBER($C45:AL45)), COUNTA(FILTE"&amp;"R($C45:AL45, ISNUMBER($C45:AL45)))),
lastVal + 'K dynamique'!AL45 * ((SQRT('Résultats des tournois'!AL$2 + 1)/'Résultats des tournois'!AL45) - (1 / (1 + 10^((AL$103 - lastVal)/400)))))
)
))"),"")</f>
        <v/>
      </c>
      <c r="AN45" s="32" t="str">
        <f>IFERROR(__xludf.DUMMYFUNCTION("IF('Résultats des tournois'!AM$2=0,"""",LET(
lastVal, INDEX(FILTER($B45:AM45, ISNUMBER($B45:AM45)), COUNTA(FILTER($B45:AM45, ISNUMBER($B45:AM45)))),
IFERROR(
IF('Résultats des tournois'!AM45="""", INDEX(FILTER($C45:AM45, ISNUMBER($C45:AM45)), COUNTA(FILTE"&amp;"R($C45:AM45, ISNUMBER($C45:AM45)))),
lastVal + 'K dynamique'!AM45 * ((SQRT('Résultats des tournois'!AM$2 + 1)/'Résultats des tournois'!AM45) - (1 / (1 + 10^((AM$103 - lastVal)/400)))))
)
))"),"")</f>
        <v/>
      </c>
      <c r="AO45" s="32" t="str">
        <f>IFERROR(__xludf.DUMMYFUNCTION("IF('Résultats des tournois'!AN$2=0,"""",LET(
lastVal, INDEX(FILTER($B45:AN45, ISNUMBER($B45:AN45)), COUNTA(FILTER($B45:AN45, ISNUMBER($B45:AN45)))),
IFERROR(
IF('Résultats des tournois'!AN45="""", INDEX(FILTER($C45:AN45, ISNUMBER($C45:AN45)), COUNTA(FILTE"&amp;"R($C45:AN45, ISNUMBER($C45:AN45)))),
lastVal + 'K dynamique'!AN45 * ((SQRT('Résultats des tournois'!AN$2 + 1)/'Résultats des tournois'!AN45) - (1 / (1 + 10^((AN$103 - lastVal)/400)))))
)
))"),"")</f>
        <v/>
      </c>
      <c r="AP45" s="32" t="str">
        <f>IFERROR(__xludf.DUMMYFUNCTION("IF('Résultats des tournois'!AO$2=0,"""",LET(
lastVal, INDEX(FILTER($B45:AO45, ISNUMBER($B45:AO45)), COUNTA(FILTER($B45:AO45, ISNUMBER($B45:AO45)))),
IFERROR(
IF('Résultats des tournois'!AO45="""", INDEX(FILTER($C45:AO45, ISNUMBER($C45:AO45)), COUNTA(FILTE"&amp;"R($C45:AO45, ISNUMBER($C45:AO45)))),
lastVal + 'K dynamique'!AO45 * ((SQRT('Résultats des tournois'!AO$2 + 1)/'Résultats des tournois'!AO45) - (1 / (1 + 10^((AO$103 - lastVal)/400)))))
)
))"),"")</f>
        <v/>
      </c>
      <c r="AQ45" s="32" t="str">
        <f>IFERROR(__xludf.DUMMYFUNCTION("IF('Résultats des tournois'!AP$2=0,"""",LET(
lastVal, INDEX(FILTER($B45:AP45, ISNUMBER($B45:AP45)), COUNTA(FILTER($B45:AP45, ISNUMBER($B45:AP45)))),
IFERROR(
IF('Résultats des tournois'!AP45="""", INDEX(FILTER($C45:AP45, ISNUMBER($C45:AP45)), COUNTA(FILTE"&amp;"R($C45:AP45, ISNUMBER($C45:AP45)))),
lastVal + 'K dynamique'!AP45 * ((SQRT('Résultats des tournois'!AP$2 + 1)/'Résultats des tournois'!AP45) - (1 / (1 + 10^((AP$103 - lastVal)/400)))))
)
))"),"")</f>
        <v/>
      </c>
      <c r="AR45" s="32" t="str">
        <f>IFERROR(__xludf.DUMMYFUNCTION("IF('Résultats des tournois'!AQ$2=0,"""",LET(
lastVal, INDEX(FILTER($B45:AQ45, ISNUMBER($B45:AQ45)), COUNTA(FILTER($B45:AQ45, ISNUMBER($B45:AQ45)))),
IFERROR(
IF('Résultats des tournois'!AQ45="""", INDEX(FILTER($C45:AQ45, ISNUMBER($C45:AQ45)), COUNTA(FILTE"&amp;"R($C45:AQ45, ISNUMBER($C45:AQ45)))),
lastVal + 'K dynamique'!AQ45 * ((SQRT('Résultats des tournois'!AQ$2 + 1)/'Résultats des tournois'!AQ45) - (1 / (1 + 10^((AQ$103 - lastVal)/400)))))
)
))"),"")</f>
        <v/>
      </c>
      <c r="AS45" s="32" t="str">
        <f>IFERROR(__xludf.DUMMYFUNCTION("IF('Résultats des tournois'!AR$2=0,"""",LET(
lastVal, INDEX(FILTER($B45:AR45, ISNUMBER($B45:AR45)), COUNTA(FILTER($B45:AR45, ISNUMBER($B45:AR45)))),
IFERROR(
IF('Résultats des tournois'!AR45="""", INDEX(FILTER($C45:AR45, ISNUMBER($C45:AR45)), COUNTA(FILTE"&amp;"R($C45:AR45, ISNUMBER($C45:AR45)))),
lastVal + 'K dynamique'!AR45 * ((SQRT('Résultats des tournois'!AR$2 + 1)/'Résultats des tournois'!AR45) - (1 / (1 + 10^((AR$103 - lastVal)/400)))))
)
))"),"")</f>
        <v/>
      </c>
      <c r="AT45" s="32" t="str">
        <f>IFERROR(__xludf.DUMMYFUNCTION("IF('Résultats des tournois'!AS$2=0,"""",LET(
lastVal, INDEX(FILTER($B45:AS45, ISNUMBER($B45:AS45)), COUNTA(FILTER($B45:AS45, ISNUMBER($B45:AS45)))),
IFERROR(
IF('Résultats des tournois'!AS45="""", INDEX(FILTER($C45:AS45, ISNUMBER($C45:AS45)), COUNTA(FILTE"&amp;"R($C45:AS45, ISNUMBER($C45:AS45)))),
lastVal + 'K dynamique'!AS45 * ((SQRT('Résultats des tournois'!AS$2 + 1)/'Résultats des tournois'!AS45) - (1 / (1 + 10^((AS$103 - lastVal)/400)))))
)
))"),"")</f>
        <v/>
      </c>
      <c r="AU45" s="32" t="str">
        <f>IFERROR(__xludf.DUMMYFUNCTION("IF('Résultats des tournois'!AT$2=0,"""",LET(
lastVal, INDEX(FILTER($B45:AT45, ISNUMBER($B45:AT45)), COUNTA(FILTER($B45:AT45, ISNUMBER($B45:AT45)))),
IFERROR(
IF('Résultats des tournois'!AT45="""", INDEX(FILTER($C45:AT45, ISNUMBER($C45:AT45)), COUNTA(FILTE"&amp;"R($C45:AT45, ISNUMBER($C45:AT45)))),
lastVal + 'K dynamique'!AT45 * ((SQRT('Résultats des tournois'!AT$2 + 1)/'Résultats des tournois'!AT45) - (1 / (1 + 10^((AT$103 - lastVal)/400)))))
)
))"),"")</f>
        <v/>
      </c>
      <c r="AV45" s="32" t="str">
        <f>IFERROR(__xludf.DUMMYFUNCTION("IF('Résultats des tournois'!AU$2=0,"""",LET(
lastVal, INDEX(FILTER($B45:AU45, ISNUMBER($B45:AU45)), COUNTA(FILTER($B45:AU45, ISNUMBER($B45:AU45)))),
IFERROR(
IF('Résultats des tournois'!AU45="""", INDEX(FILTER($C45:AU45, ISNUMBER($C45:AU45)), COUNTA(FILTE"&amp;"R($C45:AU45, ISNUMBER($C45:AU45)))),
lastVal + 'K dynamique'!AU45 * ((SQRT('Résultats des tournois'!AU$2 + 1)/'Résultats des tournois'!AU45) - (1 / (1 + 10^((AU$103 - lastVal)/400)))))
)
))"),"")</f>
        <v/>
      </c>
      <c r="AW45" s="32" t="str">
        <f>IFERROR(__xludf.DUMMYFUNCTION("IF('Résultats des tournois'!AV$2=0,"""",LET(
lastVal, INDEX(FILTER($B45:AV45, ISNUMBER($B45:AV45)), COUNTA(FILTER($B45:AV45, ISNUMBER($B45:AV45)))),
IFERROR(
IF('Résultats des tournois'!AV45="""", INDEX(FILTER($C45:AV45, ISNUMBER($C45:AV45)), COUNTA(FILTE"&amp;"R($C45:AV45, ISNUMBER($C45:AV45)))),
lastVal + 'K dynamique'!AV45 * ((SQRT('Résultats des tournois'!AV$2 + 1)/'Résultats des tournois'!AV45) - (1 / (1 + 10^((AV$103 - lastVal)/400)))))
)
))"),"")</f>
        <v/>
      </c>
      <c r="AX45" s="32" t="str">
        <f>IFERROR(__xludf.DUMMYFUNCTION("IF('Résultats des tournois'!AW$2=0,"""",LET(
lastVal, INDEX(FILTER($B45:AW45, ISNUMBER($B45:AW45)), COUNTA(FILTER($B45:AW45, ISNUMBER($B45:AW45)))),
IFERROR(
IF('Résultats des tournois'!AW45="""", INDEX(FILTER($C45:AW45, ISNUMBER($C45:AW45)), COUNTA(FILTE"&amp;"R($C45:AW45, ISNUMBER($C45:AW45)))),
lastVal + 'K dynamique'!AW45 * ((SQRT('Résultats des tournois'!AW$2 + 1)/'Résultats des tournois'!AW45) - (1 / (1 + 10^((AW$103 - lastVal)/400)))))
)
))"),"")</f>
        <v/>
      </c>
      <c r="AY45" s="32" t="str">
        <f>IFERROR(__xludf.DUMMYFUNCTION("IF('Résultats des tournois'!AX$2=0,"""",LET(
lastVal, INDEX(FILTER($B45:AX45, ISNUMBER($B45:AX45)), COUNTA(FILTER($B45:AX45, ISNUMBER($B45:AX45)))),
IFERROR(
IF('Résultats des tournois'!AX45="""", INDEX(FILTER($C45:AX45, ISNUMBER($C45:AX45)), COUNTA(FILTE"&amp;"R($C45:AX45, ISNUMBER($C45:AX45)))),
lastVal + 'K dynamique'!AX45 * ((SQRT('Résultats des tournois'!AX$2 + 1)/'Résultats des tournois'!AX45) - (1 / (1 + 10^((AX$103 - lastVal)/400)))))
)
))"),"")</f>
        <v/>
      </c>
      <c r="AZ45" s="4" t="str">
        <f t="array" ref="AZ45">IF(MAX(($C45:AY45&lt;&gt;"")*COLUMN($C45:AY45))=0,"",INDEX($C45:AY45,1,MAX(($C45:AY45&lt;&gt;"")*COLUMN($C45:AY45))-COLUMN($C45)+1))</f>
        <v/>
      </c>
      <c r="BA45" s="33" t="str">
        <f t="shared" si="1"/>
        <v/>
      </c>
    </row>
    <row r="46" ht="14.25" customHeight="1">
      <c r="A46" s="32" t="str">
        <f>IF('Résultats des tournois'!A46="","",'Résultats des tournois'!A46)</f>
        <v/>
      </c>
      <c r="B46" s="32">
        <v>1500.0</v>
      </c>
      <c r="C46" s="32" t="str">
        <f>IF('Résultats des tournois'!B46="","",B46+'K dynamique'!B46*((SQRT('Résultats des tournois'!B$2+1)/'Résultats des tournois'!B46)-(1/(1+10^((B46-B46)/400)))))</f>
        <v/>
      </c>
      <c r="D46" s="32" t="str">
        <f>IFERROR(__xludf.DUMMYFUNCTION("IF('Résultats des tournois'!C$2=0,"""",LET(
lastVal, INDEX(FILTER($B46:C46, ISNUMBER($B46:C46)), COUNTA(FILTER($B46:C46, ISNUMBER($B46:C46)))),
IFERROR(
IF('Résultats des tournois'!C46="""", INDEX(FILTER($C46:C46, ISNUMBER($C46:C46)), COUNTA(FILTER($C46:C"&amp;"46, ISNUMBER($C46:C46)))),
lastVal + 'K dynamique'!C46 * ((SQRT('Résultats des tournois'!C$2 + 1)/'Résultats des tournois'!C46) - (1 / (1 + 10^((C$103 - lastVal)/400)))))
)
))"),"")</f>
        <v/>
      </c>
      <c r="E46" s="32" t="str">
        <f>IFERROR(__xludf.DUMMYFUNCTION("IF('Résultats des tournois'!D$2=0,"""",LET(
lastVal, INDEX(FILTER($B46:D46, ISNUMBER($B46:D46)), COUNTA(FILTER($B46:D46, ISNUMBER($B46:D46)))),
IFERROR(
IF('Résultats des tournois'!D46="""", INDEX(FILTER($C46:D46, ISNUMBER($C46:D46)), COUNTA(FILTER($C46:D"&amp;"46, ISNUMBER($C46:D46)))),
lastVal + 'K dynamique'!D46 * ((SQRT('Résultats des tournois'!D$2 + 1)/'Résultats des tournois'!D46) - (1 / (1 + 10^((D$103 - lastVal)/400)))))
)
))"),"")</f>
        <v/>
      </c>
      <c r="F46" s="32" t="str">
        <f>IFERROR(__xludf.DUMMYFUNCTION("IF('Résultats des tournois'!E$2=0,"""",LET(
lastVal, INDEX(FILTER($B46:E46, ISNUMBER($B46:E46)), COUNTA(FILTER($B46:E46, ISNUMBER($B46:E46)))),
IFERROR(
IF('Résultats des tournois'!E46="""", INDEX(FILTER($C46:E46, ISNUMBER($C46:E46)), COUNTA(FILTER($C46:E"&amp;"46, ISNUMBER($C46:E46)))),
lastVal + 'K dynamique'!E46 * ((SQRT('Résultats des tournois'!E$2 + 1)/'Résultats des tournois'!E46) - (1 / (1 + 10^((E$103 - lastVal)/400)))))
)
))"),"")</f>
        <v/>
      </c>
      <c r="G46" s="32" t="str">
        <f>IFERROR(__xludf.DUMMYFUNCTION("IF('Résultats des tournois'!F$2=0,"""",LET(
lastVal, INDEX(FILTER($B46:F46, ISNUMBER($B46:F46)), COUNTA(FILTER($B46:F46, ISNUMBER($B46:F46)))),
IFERROR(
IF('Résultats des tournois'!F46="""", INDEX(FILTER($C46:F46, ISNUMBER($C46:F46)), COUNTA(FILTER($C46:F"&amp;"46, ISNUMBER($C46:F46)))),
lastVal + 'K dynamique'!F46 * ((SQRT('Résultats des tournois'!F$2 + 1)/'Résultats des tournois'!F46) - (1 / (1 + 10^((F$103 - lastVal)/400)))))
)
))"),"")</f>
        <v/>
      </c>
      <c r="H46" s="32" t="str">
        <f>IFERROR(__xludf.DUMMYFUNCTION("IF('Résultats des tournois'!G$2=0,"""",LET(
lastVal, INDEX(FILTER($B46:G46, ISNUMBER($B46:G46)), COUNTA(FILTER($B46:G46, ISNUMBER($B46:G46)))),
IFERROR(
IF('Résultats des tournois'!G46="""", INDEX(FILTER($C46:G46, ISNUMBER($C46:G46)), COUNTA(FILTER($C46:G"&amp;"46, ISNUMBER($C46:G46)))),
lastVal + 'K dynamique'!G46 * ((SQRT('Résultats des tournois'!G$2 + 1)/'Résultats des tournois'!G46) - (1 / (1 + 10^((G$103 - lastVal)/400)))))
)
))"),"")</f>
        <v/>
      </c>
      <c r="I46" s="32" t="str">
        <f>IFERROR(__xludf.DUMMYFUNCTION("IF('Résultats des tournois'!H$2=0,"""",LET(
lastVal, INDEX(FILTER($B46:H46, ISNUMBER($B46:H46)), COUNTA(FILTER($B46:H46, ISNUMBER($B46:H46)))),
IFERROR(
IF('Résultats des tournois'!H46="""", INDEX(FILTER($C46:H46, ISNUMBER($C46:H46)), COUNTA(FILTER($C46:H"&amp;"46, ISNUMBER($C46:H46)))),
lastVal + 'K dynamique'!H46 * ((SQRT('Résultats des tournois'!H$2 + 1)/'Résultats des tournois'!H46) - (1 / (1 + 10^((H$103 - lastVal)/400)))))
)
))"),"")</f>
        <v/>
      </c>
      <c r="J46" s="32" t="str">
        <f>IFERROR(__xludf.DUMMYFUNCTION("IF('Résultats des tournois'!I$2=0,"""",LET(
lastVal, INDEX(FILTER($B46:I46, ISNUMBER($B46:I46)), COUNTA(FILTER($B46:I46, ISNUMBER($B46:I46)))),
IFERROR(
IF('Résultats des tournois'!I46="""", INDEX(FILTER($C46:I46, ISNUMBER($C46:I46)), COUNTA(FILTER($C46:I"&amp;"46, ISNUMBER($C46:I46)))),
lastVal + 'K dynamique'!I46 * ((SQRT('Résultats des tournois'!I$2 + 1)/'Résultats des tournois'!I46) - (1 / (1 + 10^((I$103 - lastVal)/400)))))
)
))"),"")</f>
        <v/>
      </c>
      <c r="K46" s="32" t="str">
        <f>IFERROR(__xludf.DUMMYFUNCTION("IF('Résultats des tournois'!J$2=0,"""",LET(
lastVal, INDEX(FILTER($B46:J46, ISNUMBER($B46:J46)), COUNTA(FILTER($B46:J46, ISNUMBER($B46:J46)))),
IFERROR(
IF('Résultats des tournois'!J46="""", INDEX(FILTER($C46:J46, ISNUMBER($C46:J46)), COUNTA(FILTER($C46:J"&amp;"46, ISNUMBER($C46:J46)))),
lastVal + 'K dynamique'!J46 * ((SQRT('Résultats des tournois'!J$2 + 1)/'Résultats des tournois'!J46) - (1 / (1 + 10^((J$103 - lastVal)/400)))))
)
))"),"")</f>
        <v/>
      </c>
      <c r="L46" s="32" t="str">
        <f>IFERROR(__xludf.DUMMYFUNCTION("IF('Résultats des tournois'!K$2=0,"""",LET(
lastVal, INDEX(FILTER($B46:K46, ISNUMBER($B46:K46)), COUNTA(FILTER($B46:K46, ISNUMBER($B46:K46)))),
IFERROR(
IF('Résultats des tournois'!K46="""", INDEX(FILTER($C46:K46, ISNUMBER($C46:K46)), COUNTA(FILTER($C46:K"&amp;"46, ISNUMBER($C46:K46)))),
lastVal + 'K dynamique'!K46 * ((SQRT('Résultats des tournois'!K$2 + 1)/'Résultats des tournois'!K46) - (1 / (1 + 10^((K$103 - lastVal)/400)))))
)
))"),"")</f>
        <v/>
      </c>
      <c r="M46" s="32" t="str">
        <f>IFERROR(__xludf.DUMMYFUNCTION("IF('Résultats des tournois'!L$2=0,"""",LET(
lastVal, INDEX(FILTER($B46:L46, ISNUMBER($B46:L46)), COUNTA(FILTER($B46:L46, ISNUMBER($B46:L46)))),
IFERROR(
IF('Résultats des tournois'!L46="""", INDEX(FILTER($C46:L46, ISNUMBER($C46:L46)), COUNTA(FILTER($C46:L"&amp;"46, ISNUMBER($C46:L46)))),
lastVal + 'K dynamique'!L46 * ((SQRT('Résultats des tournois'!L$2 + 1)/'Résultats des tournois'!L46) - (1 / (1 + 10^((L$103 - lastVal)/400)))))
)
))"),"")</f>
        <v/>
      </c>
      <c r="N46" s="32" t="str">
        <f>IFERROR(__xludf.DUMMYFUNCTION("IF('Résultats des tournois'!M$2=0,"""",LET(
lastVal, INDEX(FILTER($B46:M46, ISNUMBER($B46:M46)), COUNTA(FILTER($B46:M46, ISNUMBER($B46:M46)))),
IFERROR(
IF('Résultats des tournois'!M46="""", INDEX(FILTER($C46:M46, ISNUMBER($C46:M46)), COUNTA(FILTER($C46:M"&amp;"46, ISNUMBER($C46:M46)))),
lastVal + 'K dynamique'!M46 * ((SQRT('Résultats des tournois'!M$2 + 1)/'Résultats des tournois'!M46) - (1 / (1 + 10^((M$103 - lastVal)/400)))))
)
))"),"")</f>
        <v/>
      </c>
      <c r="O46" s="32" t="str">
        <f>IFERROR(__xludf.DUMMYFUNCTION("IF('Résultats des tournois'!N$2=0,"""",LET(
lastVal, INDEX(FILTER($B46:N46, ISNUMBER($B46:N46)), COUNTA(FILTER($B46:N46, ISNUMBER($B46:N46)))),
IFERROR(
IF('Résultats des tournois'!N46="""", INDEX(FILTER($C46:N46, ISNUMBER($C46:N46)), COUNTA(FILTER($C46:N"&amp;"46, ISNUMBER($C46:N46)))),
lastVal + 'K dynamique'!N46 * ((SQRT('Résultats des tournois'!N$2 + 1)/'Résultats des tournois'!N46) - (1 / (1 + 10^((N$103 - lastVal)/400)))))
)
))"),"")</f>
        <v/>
      </c>
      <c r="P46" s="32" t="str">
        <f>IFERROR(__xludf.DUMMYFUNCTION("IF('Résultats des tournois'!O$2=0,"""",LET(
lastVal, INDEX(FILTER($B46:O46, ISNUMBER($B46:O46)), COUNTA(FILTER($B46:O46, ISNUMBER($B46:O46)))),
IFERROR(
IF('Résultats des tournois'!O46="""", INDEX(FILTER($C46:O46, ISNUMBER($C46:O46)), COUNTA(FILTER($C46:O"&amp;"46, ISNUMBER($C46:O46)))),
lastVal + 'K dynamique'!O46 * ((SQRT('Résultats des tournois'!O$2 + 1)/'Résultats des tournois'!O46) - (1 / (1 + 10^((O$103 - lastVal)/400)))))
)
))"),"")</f>
        <v/>
      </c>
      <c r="Q46" s="32" t="str">
        <f>IFERROR(__xludf.DUMMYFUNCTION("IF('Résultats des tournois'!P$2=0,"""",LET(
lastVal, INDEX(FILTER($B46:P46, ISNUMBER($B46:P46)), COUNTA(FILTER($B46:P46, ISNUMBER($B46:P46)))),
IFERROR(
IF('Résultats des tournois'!P46="""", INDEX(FILTER($C46:P46, ISNUMBER($C46:P46)), COUNTA(FILTER($C46:P"&amp;"46, ISNUMBER($C46:P46)))),
lastVal + 'K dynamique'!P46 * ((SQRT('Résultats des tournois'!P$2 + 1)/'Résultats des tournois'!P46) - (1 / (1 + 10^((P$103 - lastVal)/400)))))
)
))"),"")</f>
        <v/>
      </c>
      <c r="R46" s="32" t="str">
        <f>IFERROR(__xludf.DUMMYFUNCTION("IF('Résultats des tournois'!Q$2=0,"""",LET(
lastVal, INDEX(FILTER($B46:Q46, ISNUMBER($B46:Q46)), COUNTA(FILTER($B46:Q46, ISNUMBER($B46:Q46)))),
IFERROR(
IF('Résultats des tournois'!Q46="""", INDEX(FILTER($C46:Q46, ISNUMBER($C46:Q46)), COUNTA(FILTER($C46:Q"&amp;"46, ISNUMBER($C46:Q46)))),
lastVal + 'K dynamique'!Q46 * ((SQRT('Résultats des tournois'!Q$2 + 1)/'Résultats des tournois'!Q46) - (1 / (1 + 10^((Q$103 - lastVal)/400)))))
)
))"),"")</f>
        <v/>
      </c>
      <c r="S46" s="32" t="str">
        <f>IFERROR(__xludf.DUMMYFUNCTION("IF('Résultats des tournois'!R$2=0,"""",LET(
lastVal, INDEX(FILTER($B46:R46, ISNUMBER($B46:R46)), COUNTA(FILTER($B46:R46, ISNUMBER($B46:R46)))),
IFERROR(
IF('Résultats des tournois'!R46="""", INDEX(FILTER($C46:R46, ISNUMBER($C46:R46)), COUNTA(FILTER($C46:R"&amp;"46, ISNUMBER($C46:R46)))),
lastVal + 'K dynamique'!R46 * ((SQRT('Résultats des tournois'!R$2 + 1)/'Résultats des tournois'!R46) - (1 / (1 + 10^((R$103 - lastVal)/400)))))
)
))"),"")</f>
        <v/>
      </c>
      <c r="T46" s="32" t="str">
        <f>IFERROR(__xludf.DUMMYFUNCTION("IF('Résultats des tournois'!S$2=0,"""",LET(
lastVal, INDEX(FILTER($B46:S46, ISNUMBER($B46:S46)), COUNTA(FILTER($B46:S46, ISNUMBER($B46:S46)))),
IFERROR(
IF('Résultats des tournois'!S46="""", INDEX(FILTER($C46:S46, ISNUMBER($C46:S46)), COUNTA(FILTER($C46:S"&amp;"46, ISNUMBER($C46:S46)))),
lastVal + 'K dynamique'!S46 * ((SQRT('Résultats des tournois'!S$2 + 1)/'Résultats des tournois'!S46) - (1 / (1 + 10^((S$103 - lastVal)/400)))))
)
))"),"")</f>
        <v/>
      </c>
      <c r="U46" s="32" t="str">
        <f>IFERROR(__xludf.DUMMYFUNCTION("IF('Résultats des tournois'!T$2=0,"""",LET(
lastVal, INDEX(FILTER($B46:T46, ISNUMBER($B46:T46)), COUNTA(FILTER($B46:T46, ISNUMBER($B46:T46)))),
IFERROR(
IF('Résultats des tournois'!T46="""", INDEX(FILTER($C46:T46, ISNUMBER($C46:T46)), COUNTA(FILTER($C46:T"&amp;"46, ISNUMBER($C46:T46)))),
lastVal + 'K dynamique'!T46 * ((SQRT('Résultats des tournois'!T$2 + 1)/'Résultats des tournois'!T46) - (1 / (1 + 10^((T$103 - lastVal)/400)))))
)
))"),"")</f>
        <v/>
      </c>
      <c r="V46" s="32" t="str">
        <f>IFERROR(__xludf.DUMMYFUNCTION("IF('Résultats des tournois'!U$2=0,"""",LET(
lastVal, INDEX(FILTER($B46:U46, ISNUMBER($B46:U46)), COUNTA(FILTER($B46:U46, ISNUMBER($B46:U46)))),
IFERROR(
IF('Résultats des tournois'!U46="""", INDEX(FILTER($C46:U46, ISNUMBER($C46:U46)), COUNTA(FILTER($C46:U"&amp;"46, ISNUMBER($C46:U46)))),
lastVal + 'K dynamique'!U46 * ((SQRT('Résultats des tournois'!U$2 + 1)/'Résultats des tournois'!U46) - (1 / (1 + 10^((U$103 - lastVal)/400)))))
)
))"),"")</f>
        <v/>
      </c>
      <c r="W46" s="32" t="str">
        <f>IFERROR(__xludf.DUMMYFUNCTION("IF('Résultats des tournois'!V$2=0,"""",LET(
lastVal, INDEX(FILTER($B46:V46, ISNUMBER($B46:V46)), COUNTA(FILTER($B46:V46, ISNUMBER($B46:V46)))),
IFERROR(
IF('Résultats des tournois'!V46="""", INDEX(FILTER($C46:V46, ISNUMBER($C46:V46)), COUNTA(FILTER($C46:V"&amp;"46, ISNUMBER($C46:V46)))),
lastVal + 'K dynamique'!V46 * ((SQRT('Résultats des tournois'!V$2 + 1)/'Résultats des tournois'!V46) - (1 / (1 + 10^((V$103 - lastVal)/400)))))
)
))"),"")</f>
        <v/>
      </c>
      <c r="X46" s="32" t="str">
        <f>IFERROR(__xludf.DUMMYFUNCTION("IF('Résultats des tournois'!W$2=0,"""",LET(
lastVal, INDEX(FILTER($B46:W46, ISNUMBER($B46:W46)), COUNTA(FILTER($B46:W46, ISNUMBER($B46:W46)))),
IFERROR(
IF('Résultats des tournois'!W46="""", INDEX(FILTER($C46:W46, ISNUMBER($C46:W46)), COUNTA(FILTER($C46:W"&amp;"46, ISNUMBER($C46:W46)))),
lastVal + 'K dynamique'!W46 * ((SQRT('Résultats des tournois'!W$2 + 1)/'Résultats des tournois'!W46) - (1 / (1 + 10^((W$103 - lastVal)/400)))))
)
))"),"")</f>
        <v/>
      </c>
      <c r="Y46" s="32" t="str">
        <f>IFERROR(__xludf.DUMMYFUNCTION("IF('Résultats des tournois'!X$2=0,"""",LET(
lastVal, INDEX(FILTER($B46:X46, ISNUMBER($B46:X46)), COUNTA(FILTER($B46:X46, ISNUMBER($B46:X46)))),
IFERROR(
IF('Résultats des tournois'!X46="""", INDEX(FILTER($C46:X46, ISNUMBER($C46:X46)), COUNTA(FILTER($C46:X"&amp;"46, ISNUMBER($C46:X46)))),
lastVal + 'K dynamique'!X46 * ((SQRT('Résultats des tournois'!X$2 + 1)/'Résultats des tournois'!X46) - (1 / (1 + 10^((X$103 - lastVal)/400)))))
)
))"),"")</f>
        <v/>
      </c>
      <c r="Z46" s="32" t="str">
        <f>IFERROR(__xludf.DUMMYFUNCTION("IF('Résultats des tournois'!Y$2=0,"""",LET(
lastVal, INDEX(FILTER($B46:Y46, ISNUMBER($B46:Y46)), COUNTA(FILTER($B46:Y46, ISNUMBER($B46:Y46)))),
IFERROR(
IF('Résultats des tournois'!Y46="""", INDEX(FILTER($C46:Y46, ISNUMBER($C46:Y46)), COUNTA(FILTER($C46:Y"&amp;"46, ISNUMBER($C46:Y46)))),
lastVal + 'K dynamique'!Y46 * ((SQRT('Résultats des tournois'!Y$2 + 1)/'Résultats des tournois'!Y46) - (1 / (1 + 10^((Y$103 - lastVal)/400)))))
)
))"),"")</f>
        <v/>
      </c>
      <c r="AA46" s="32" t="str">
        <f>IFERROR(__xludf.DUMMYFUNCTION("IF('Résultats des tournois'!Z$2=0,"""",LET(
lastVal, INDEX(FILTER($B46:Z46, ISNUMBER($B46:Z46)), COUNTA(FILTER($B46:Z46, ISNUMBER($B46:Z46)))),
IFERROR(
IF('Résultats des tournois'!Z46="""", INDEX(FILTER($C46:Z46, ISNUMBER($C46:Z46)), COUNTA(FILTER($C46:Z"&amp;"46, ISNUMBER($C46:Z46)))),
lastVal + 'K dynamique'!Z46 * ((SQRT('Résultats des tournois'!Z$2 + 1)/'Résultats des tournois'!Z46) - (1 / (1 + 10^((Z$103 - lastVal)/400)))))
)
))"),"")</f>
        <v/>
      </c>
      <c r="AB46" s="32" t="str">
        <f>IFERROR(__xludf.DUMMYFUNCTION("IF('Résultats des tournois'!AA$2=0,"""",LET(
lastVal, INDEX(FILTER($B46:AA46, ISNUMBER($B46:AA46)), COUNTA(FILTER($B46:AA46, ISNUMBER($B46:AA46)))),
IFERROR(
IF('Résultats des tournois'!AA46="""", INDEX(FILTER($C46:AA46, ISNUMBER($C46:AA46)), COUNTA(FILTE"&amp;"R($C46:AA46, ISNUMBER($C46:AA46)))),
lastVal + 'K dynamique'!AA46 * ((SQRT('Résultats des tournois'!AA$2 + 1)/'Résultats des tournois'!AA46) - (1 / (1 + 10^((AA$103 - lastVal)/400)))))
)
))"),"")</f>
        <v/>
      </c>
      <c r="AC46" s="32" t="str">
        <f>IFERROR(__xludf.DUMMYFUNCTION("IF('Résultats des tournois'!AB$2=0,"""",LET(
lastVal, INDEX(FILTER($B46:AB46, ISNUMBER($B46:AB46)), COUNTA(FILTER($B46:AB46, ISNUMBER($B46:AB46)))),
IFERROR(
IF('Résultats des tournois'!AB46="""", INDEX(FILTER($C46:AB46, ISNUMBER($C46:AB46)), COUNTA(FILTE"&amp;"R($C46:AB46, ISNUMBER($C46:AB46)))),
lastVal + 'K dynamique'!AB46 * ((SQRT('Résultats des tournois'!AB$2 + 1)/'Résultats des tournois'!AB46) - (1 / (1 + 10^((AB$103 - lastVal)/400)))))
)
))"),"")</f>
        <v/>
      </c>
      <c r="AD46" s="32" t="str">
        <f>IFERROR(__xludf.DUMMYFUNCTION("IF('Résultats des tournois'!AC$2=0,"""",LET(
lastVal, INDEX(FILTER($B46:AC46, ISNUMBER($B46:AC46)), COUNTA(FILTER($B46:AC46, ISNUMBER($B46:AC46)))),
IFERROR(
IF('Résultats des tournois'!AC46="""", INDEX(FILTER($C46:AC46, ISNUMBER($C46:AC46)), COUNTA(FILTE"&amp;"R($C46:AC46, ISNUMBER($C46:AC46)))),
lastVal + 'K dynamique'!AC46 * ((SQRT('Résultats des tournois'!AC$2 + 1)/'Résultats des tournois'!AC46) - (1 / (1 + 10^((AC$103 - lastVal)/400)))))
)
))"),"")</f>
        <v/>
      </c>
      <c r="AE46" s="32" t="str">
        <f>IFERROR(__xludf.DUMMYFUNCTION("IF('Résultats des tournois'!AD$2=0,"""",LET(
lastVal, INDEX(FILTER($B46:AD46, ISNUMBER($B46:AD46)), COUNTA(FILTER($B46:AD46, ISNUMBER($B46:AD46)))),
IFERROR(
IF('Résultats des tournois'!AD46="""", INDEX(FILTER($C46:AD46, ISNUMBER($C46:AD46)), COUNTA(FILTE"&amp;"R($C46:AD46, ISNUMBER($C46:AD46)))),
lastVal + 'K dynamique'!AD46 * ((SQRT('Résultats des tournois'!AD$2 + 1)/'Résultats des tournois'!AD46) - (1 / (1 + 10^((AD$103 - lastVal)/400)))))
)
))"),"")</f>
        <v/>
      </c>
      <c r="AF46" s="32" t="str">
        <f>IFERROR(__xludf.DUMMYFUNCTION("IF('Résultats des tournois'!AE$2=0,"""",LET(
lastVal, INDEX(FILTER($B46:AE46, ISNUMBER($B46:AE46)), COUNTA(FILTER($B46:AE46, ISNUMBER($B46:AE46)))),
IFERROR(
IF('Résultats des tournois'!AE46="""", INDEX(FILTER($C46:AE46, ISNUMBER($C46:AE46)), COUNTA(FILTE"&amp;"R($C46:AE46, ISNUMBER($C46:AE46)))),
lastVal + 'K dynamique'!AE46 * ((SQRT('Résultats des tournois'!AE$2 + 1)/'Résultats des tournois'!AE46) - (1 / (1 + 10^((AE$103 - lastVal)/400)))))
)
))"),"")</f>
        <v/>
      </c>
      <c r="AG46" s="32" t="str">
        <f>IFERROR(__xludf.DUMMYFUNCTION("IF('Résultats des tournois'!AF$2=0,"""",LET(
lastVal, INDEX(FILTER($B46:AF46, ISNUMBER($B46:AF46)), COUNTA(FILTER($B46:AF46, ISNUMBER($B46:AF46)))),
IFERROR(
IF('Résultats des tournois'!AF46="""", INDEX(FILTER($C46:AF46, ISNUMBER($C46:AF46)), COUNTA(FILTE"&amp;"R($C46:AF46, ISNUMBER($C46:AF46)))),
lastVal + 'K dynamique'!AF46 * ((SQRT('Résultats des tournois'!AF$2 + 1)/'Résultats des tournois'!AF46) - (1 / (1 + 10^((AF$103 - lastVal)/400)))))
)
))"),"")</f>
        <v/>
      </c>
      <c r="AH46" s="32" t="str">
        <f>IFERROR(__xludf.DUMMYFUNCTION("IF('Résultats des tournois'!AG$2=0,"""",LET(
lastVal, INDEX(FILTER($B46:AG46, ISNUMBER($B46:AG46)), COUNTA(FILTER($B46:AG46, ISNUMBER($B46:AG46)))),
IFERROR(
IF('Résultats des tournois'!AG46="""", INDEX(FILTER($C46:AG46, ISNUMBER($C46:AG46)), COUNTA(FILTE"&amp;"R($C46:AG46, ISNUMBER($C46:AG46)))),
lastVal + 'K dynamique'!AG46 * ((SQRT('Résultats des tournois'!AG$2 + 1)/'Résultats des tournois'!AG46) - (1 / (1 + 10^((AG$103 - lastVal)/400)))))
)
))"),"")</f>
        <v/>
      </c>
      <c r="AI46" s="32" t="str">
        <f>IFERROR(__xludf.DUMMYFUNCTION("IF('Résultats des tournois'!AH$2=0,"""",LET(
lastVal, INDEX(FILTER($B46:AH46, ISNUMBER($B46:AH46)), COUNTA(FILTER($B46:AH46, ISNUMBER($B46:AH46)))),
IFERROR(
IF('Résultats des tournois'!AH46="""", INDEX(FILTER($C46:AH46, ISNUMBER($C46:AH46)), COUNTA(FILTE"&amp;"R($C46:AH46, ISNUMBER($C46:AH46)))),
lastVal + 'K dynamique'!AH46 * ((SQRT('Résultats des tournois'!AH$2 + 1)/'Résultats des tournois'!AH46) - (1 / (1 + 10^((AH$103 - lastVal)/400)))))
)
))"),"")</f>
        <v/>
      </c>
      <c r="AJ46" s="32" t="str">
        <f>IFERROR(__xludf.DUMMYFUNCTION("IF('Résultats des tournois'!AI$2=0,"""",LET(
lastVal, INDEX(FILTER($B46:AI46, ISNUMBER($B46:AI46)), COUNTA(FILTER($B46:AI46, ISNUMBER($B46:AI46)))),
IFERROR(
IF('Résultats des tournois'!AI46="""", INDEX(FILTER($C46:AI46, ISNUMBER($C46:AI46)), COUNTA(FILTE"&amp;"R($C46:AI46, ISNUMBER($C46:AI46)))),
lastVal + 'K dynamique'!AI46 * ((SQRT('Résultats des tournois'!AI$2 + 1)/'Résultats des tournois'!AI46) - (1 / (1 + 10^((AI$103 - lastVal)/400)))))
)
))"),"")</f>
        <v/>
      </c>
      <c r="AK46" s="32" t="str">
        <f>IFERROR(__xludf.DUMMYFUNCTION("IF('Résultats des tournois'!AJ$2=0,"""",LET(
lastVal, INDEX(FILTER($B46:AJ46, ISNUMBER($B46:AJ46)), COUNTA(FILTER($B46:AJ46, ISNUMBER($B46:AJ46)))),
IFERROR(
IF('Résultats des tournois'!AJ46="""", INDEX(FILTER($C46:AJ46, ISNUMBER($C46:AJ46)), COUNTA(FILTE"&amp;"R($C46:AJ46, ISNUMBER($C46:AJ46)))),
lastVal + 'K dynamique'!AJ46 * ((SQRT('Résultats des tournois'!AJ$2 + 1)/'Résultats des tournois'!AJ46) - (1 / (1 + 10^((AJ$103 - lastVal)/400)))))
)
))"),"")</f>
        <v/>
      </c>
      <c r="AL46" s="32" t="str">
        <f>IFERROR(__xludf.DUMMYFUNCTION("IF('Résultats des tournois'!AK$2=0,"""",LET(
lastVal, INDEX(FILTER($B46:AK46, ISNUMBER($B46:AK46)), COUNTA(FILTER($B46:AK46, ISNUMBER($B46:AK46)))),
IFERROR(
IF('Résultats des tournois'!AK46="""", INDEX(FILTER($C46:AK46, ISNUMBER($C46:AK46)), COUNTA(FILTE"&amp;"R($C46:AK46, ISNUMBER($C46:AK46)))),
lastVal + 'K dynamique'!AK46 * ((SQRT('Résultats des tournois'!AK$2 + 1)/'Résultats des tournois'!AK46) - (1 / (1 + 10^((AK$103 - lastVal)/400)))))
)
))"),"")</f>
        <v/>
      </c>
      <c r="AM46" s="32" t="str">
        <f>IFERROR(__xludf.DUMMYFUNCTION("IF('Résultats des tournois'!AL$2=0,"""",LET(
lastVal, INDEX(FILTER($B46:AL46, ISNUMBER($B46:AL46)), COUNTA(FILTER($B46:AL46, ISNUMBER($B46:AL46)))),
IFERROR(
IF('Résultats des tournois'!AL46="""", INDEX(FILTER($C46:AL46, ISNUMBER($C46:AL46)), COUNTA(FILTE"&amp;"R($C46:AL46, ISNUMBER($C46:AL46)))),
lastVal + 'K dynamique'!AL46 * ((SQRT('Résultats des tournois'!AL$2 + 1)/'Résultats des tournois'!AL46) - (1 / (1 + 10^((AL$103 - lastVal)/400)))))
)
))"),"")</f>
        <v/>
      </c>
      <c r="AN46" s="32" t="str">
        <f>IFERROR(__xludf.DUMMYFUNCTION("IF('Résultats des tournois'!AM$2=0,"""",LET(
lastVal, INDEX(FILTER($B46:AM46, ISNUMBER($B46:AM46)), COUNTA(FILTER($B46:AM46, ISNUMBER($B46:AM46)))),
IFERROR(
IF('Résultats des tournois'!AM46="""", INDEX(FILTER($C46:AM46, ISNUMBER($C46:AM46)), COUNTA(FILTE"&amp;"R($C46:AM46, ISNUMBER($C46:AM46)))),
lastVal + 'K dynamique'!AM46 * ((SQRT('Résultats des tournois'!AM$2 + 1)/'Résultats des tournois'!AM46) - (1 / (1 + 10^((AM$103 - lastVal)/400)))))
)
))"),"")</f>
        <v/>
      </c>
      <c r="AO46" s="32" t="str">
        <f>IFERROR(__xludf.DUMMYFUNCTION("IF('Résultats des tournois'!AN$2=0,"""",LET(
lastVal, INDEX(FILTER($B46:AN46, ISNUMBER($B46:AN46)), COUNTA(FILTER($B46:AN46, ISNUMBER($B46:AN46)))),
IFERROR(
IF('Résultats des tournois'!AN46="""", INDEX(FILTER($C46:AN46, ISNUMBER($C46:AN46)), COUNTA(FILTE"&amp;"R($C46:AN46, ISNUMBER($C46:AN46)))),
lastVal + 'K dynamique'!AN46 * ((SQRT('Résultats des tournois'!AN$2 + 1)/'Résultats des tournois'!AN46) - (1 / (1 + 10^((AN$103 - lastVal)/400)))))
)
))"),"")</f>
        <v/>
      </c>
      <c r="AP46" s="32" t="str">
        <f>IFERROR(__xludf.DUMMYFUNCTION("IF('Résultats des tournois'!AO$2=0,"""",LET(
lastVal, INDEX(FILTER($B46:AO46, ISNUMBER($B46:AO46)), COUNTA(FILTER($B46:AO46, ISNUMBER($B46:AO46)))),
IFERROR(
IF('Résultats des tournois'!AO46="""", INDEX(FILTER($C46:AO46, ISNUMBER($C46:AO46)), COUNTA(FILTE"&amp;"R($C46:AO46, ISNUMBER($C46:AO46)))),
lastVal + 'K dynamique'!AO46 * ((SQRT('Résultats des tournois'!AO$2 + 1)/'Résultats des tournois'!AO46) - (1 / (1 + 10^((AO$103 - lastVal)/400)))))
)
))"),"")</f>
        <v/>
      </c>
      <c r="AQ46" s="32" t="str">
        <f>IFERROR(__xludf.DUMMYFUNCTION("IF('Résultats des tournois'!AP$2=0,"""",LET(
lastVal, INDEX(FILTER($B46:AP46, ISNUMBER($B46:AP46)), COUNTA(FILTER($B46:AP46, ISNUMBER($B46:AP46)))),
IFERROR(
IF('Résultats des tournois'!AP46="""", INDEX(FILTER($C46:AP46, ISNUMBER($C46:AP46)), COUNTA(FILTE"&amp;"R($C46:AP46, ISNUMBER($C46:AP46)))),
lastVal + 'K dynamique'!AP46 * ((SQRT('Résultats des tournois'!AP$2 + 1)/'Résultats des tournois'!AP46) - (1 / (1 + 10^((AP$103 - lastVal)/400)))))
)
))"),"")</f>
        <v/>
      </c>
      <c r="AR46" s="32" t="str">
        <f>IFERROR(__xludf.DUMMYFUNCTION("IF('Résultats des tournois'!AQ$2=0,"""",LET(
lastVal, INDEX(FILTER($B46:AQ46, ISNUMBER($B46:AQ46)), COUNTA(FILTER($B46:AQ46, ISNUMBER($B46:AQ46)))),
IFERROR(
IF('Résultats des tournois'!AQ46="""", INDEX(FILTER($C46:AQ46, ISNUMBER($C46:AQ46)), COUNTA(FILTE"&amp;"R($C46:AQ46, ISNUMBER($C46:AQ46)))),
lastVal + 'K dynamique'!AQ46 * ((SQRT('Résultats des tournois'!AQ$2 + 1)/'Résultats des tournois'!AQ46) - (1 / (1 + 10^((AQ$103 - lastVal)/400)))))
)
))"),"")</f>
        <v/>
      </c>
      <c r="AS46" s="32" t="str">
        <f>IFERROR(__xludf.DUMMYFUNCTION("IF('Résultats des tournois'!AR$2=0,"""",LET(
lastVal, INDEX(FILTER($B46:AR46, ISNUMBER($B46:AR46)), COUNTA(FILTER($B46:AR46, ISNUMBER($B46:AR46)))),
IFERROR(
IF('Résultats des tournois'!AR46="""", INDEX(FILTER($C46:AR46, ISNUMBER($C46:AR46)), COUNTA(FILTE"&amp;"R($C46:AR46, ISNUMBER($C46:AR46)))),
lastVal + 'K dynamique'!AR46 * ((SQRT('Résultats des tournois'!AR$2 + 1)/'Résultats des tournois'!AR46) - (1 / (1 + 10^((AR$103 - lastVal)/400)))))
)
))"),"")</f>
        <v/>
      </c>
      <c r="AT46" s="32" t="str">
        <f>IFERROR(__xludf.DUMMYFUNCTION("IF('Résultats des tournois'!AS$2=0,"""",LET(
lastVal, INDEX(FILTER($B46:AS46, ISNUMBER($B46:AS46)), COUNTA(FILTER($B46:AS46, ISNUMBER($B46:AS46)))),
IFERROR(
IF('Résultats des tournois'!AS46="""", INDEX(FILTER($C46:AS46, ISNUMBER($C46:AS46)), COUNTA(FILTE"&amp;"R($C46:AS46, ISNUMBER($C46:AS46)))),
lastVal + 'K dynamique'!AS46 * ((SQRT('Résultats des tournois'!AS$2 + 1)/'Résultats des tournois'!AS46) - (1 / (1 + 10^((AS$103 - lastVal)/400)))))
)
))"),"")</f>
        <v/>
      </c>
      <c r="AU46" s="32" t="str">
        <f>IFERROR(__xludf.DUMMYFUNCTION("IF('Résultats des tournois'!AT$2=0,"""",LET(
lastVal, INDEX(FILTER($B46:AT46, ISNUMBER($B46:AT46)), COUNTA(FILTER($B46:AT46, ISNUMBER($B46:AT46)))),
IFERROR(
IF('Résultats des tournois'!AT46="""", INDEX(FILTER($C46:AT46, ISNUMBER($C46:AT46)), COUNTA(FILTE"&amp;"R($C46:AT46, ISNUMBER($C46:AT46)))),
lastVal + 'K dynamique'!AT46 * ((SQRT('Résultats des tournois'!AT$2 + 1)/'Résultats des tournois'!AT46) - (1 / (1 + 10^((AT$103 - lastVal)/400)))))
)
))"),"")</f>
        <v/>
      </c>
      <c r="AV46" s="32" t="str">
        <f>IFERROR(__xludf.DUMMYFUNCTION("IF('Résultats des tournois'!AU$2=0,"""",LET(
lastVal, INDEX(FILTER($B46:AU46, ISNUMBER($B46:AU46)), COUNTA(FILTER($B46:AU46, ISNUMBER($B46:AU46)))),
IFERROR(
IF('Résultats des tournois'!AU46="""", INDEX(FILTER($C46:AU46, ISNUMBER($C46:AU46)), COUNTA(FILTE"&amp;"R($C46:AU46, ISNUMBER($C46:AU46)))),
lastVal + 'K dynamique'!AU46 * ((SQRT('Résultats des tournois'!AU$2 + 1)/'Résultats des tournois'!AU46) - (1 / (1 + 10^((AU$103 - lastVal)/400)))))
)
))"),"")</f>
        <v/>
      </c>
      <c r="AW46" s="32" t="str">
        <f>IFERROR(__xludf.DUMMYFUNCTION("IF('Résultats des tournois'!AV$2=0,"""",LET(
lastVal, INDEX(FILTER($B46:AV46, ISNUMBER($B46:AV46)), COUNTA(FILTER($B46:AV46, ISNUMBER($B46:AV46)))),
IFERROR(
IF('Résultats des tournois'!AV46="""", INDEX(FILTER($C46:AV46, ISNUMBER($C46:AV46)), COUNTA(FILTE"&amp;"R($C46:AV46, ISNUMBER($C46:AV46)))),
lastVal + 'K dynamique'!AV46 * ((SQRT('Résultats des tournois'!AV$2 + 1)/'Résultats des tournois'!AV46) - (1 / (1 + 10^((AV$103 - lastVal)/400)))))
)
))"),"")</f>
        <v/>
      </c>
      <c r="AX46" s="32" t="str">
        <f>IFERROR(__xludf.DUMMYFUNCTION("IF('Résultats des tournois'!AW$2=0,"""",LET(
lastVal, INDEX(FILTER($B46:AW46, ISNUMBER($B46:AW46)), COUNTA(FILTER($B46:AW46, ISNUMBER($B46:AW46)))),
IFERROR(
IF('Résultats des tournois'!AW46="""", INDEX(FILTER($C46:AW46, ISNUMBER($C46:AW46)), COUNTA(FILTE"&amp;"R($C46:AW46, ISNUMBER($C46:AW46)))),
lastVal + 'K dynamique'!AW46 * ((SQRT('Résultats des tournois'!AW$2 + 1)/'Résultats des tournois'!AW46) - (1 / (1 + 10^((AW$103 - lastVal)/400)))))
)
))"),"")</f>
        <v/>
      </c>
      <c r="AY46" s="32" t="str">
        <f>IFERROR(__xludf.DUMMYFUNCTION("IF('Résultats des tournois'!AX$2=0,"""",LET(
lastVal, INDEX(FILTER($B46:AX46, ISNUMBER($B46:AX46)), COUNTA(FILTER($B46:AX46, ISNUMBER($B46:AX46)))),
IFERROR(
IF('Résultats des tournois'!AX46="""", INDEX(FILTER($C46:AX46, ISNUMBER($C46:AX46)), COUNTA(FILTE"&amp;"R($C46:AX46, ISNUMBER($C46:AX46)))),
lastVal + 'K dynamique'!AX46 * ((SQRT('Résultats des tournois'!AX$2 + 1)/'Résultats des tournois'!AX46) - (1 / (1 + 10^((AX$103 - lastVal)/400)))))
)
))"),"")</f>
        <v/>
      </c>
      <c r="AZ46" s="4" t="str">
        <f t="array" ref="AZ46">IF(MAX(($C46:AY46&lt;&gt;"")*COLUMN($C46:AY46))=0,"",INDEX($C46:AY46,1,MAX(($C46:AY46&lt;&gt;"")*COLUMN($C46:AY46))-COLUMN($C46)+1))</f>
        <v/>
      </c>
      <c r="BA46" s="33" t="str">
        <f t="shared" si="1"/>
        <v/>
      </c>
    </row>
    <row r="47" ht="14.25" customHeight="1">
      <c r="A47" s="32" t="str">
        <f>IF('Résultats des tournois'!A47="","",'Résultats des tournois'!A47)</f>
        <v/>
      </c>
      <c r="B47" s="32">
        <v>1500.0</v>
      </c>
      <c r="C47" s="32" t="str">
        <f>IF('Résultats des tournois'!B47="","",B47+'K dynamique'!B47*((SQRT('Résultats des tournois'!B$2+1)/'Résultats des tournois'!B47)-(1/(1+10^((B47-B47)/400)))))</f>
        <v/>
      </c>
      <c r="D47" s="32" t="str">
        <f>IFERROR(__xludf.DUMMYFUNCTION("IF('Résultats des tournois'!C$2=0,"""",LET(
lastVal, INDEX(FILTER($B47:C47, ISNUMBER($B47:C47)), COUNTA(FILTER($B47:C47, ISNUMBER($B47:C47)))),
IFERROR(
IF('Résultats des tournois'!C47="""", INDEX(FILTER($C47:C47, ISNUMBER($C47:C47)), COUNTA(FILTER($C47:C"&amp;"47, ISNUMBER($C47:C47)))),
lastVal + 'K dynamique'!C47 * ((SQRT('Résultats des tournois'!C$2 + 1)/'Résultats des tournois'!C47) - (1 / (1 + 10^((C$103 - lastVal)/400)))))
)
))"),"")</f>
        <v/>
      </c>
      <c r="E47" s="32" t="str">
        <f>IFERROR(__xludf.DUMMYFUNCTION("IF('Résultats des tournois'!D$2=0,"""",LET(
lastVal, INDEX(FILTER($B47:D47, ISNUMBER($B47:D47)), COUNTA(FILTER($B47:D47, ISNUMBER($B47:D47)))),
IFERROR(
IF('Résultats des tournois'!D47="""", INDEX(FILTER($C47:D47, ISNUMBER($C47:D47)), COUNTA(FILTER($C47:D"&amp;"47, ISNUMBER($C47:D47)))),
lastVal + 'K dynamique'!D47 * ((SQRT('Résultats des tournois'!D$2 + 1)/'Résultats des tournois'!D47) - (1 / (1 + 10^((D$103 - lastVal)/400)))))
)
))"),"")</f>
        <v/>
      </c>
      <c r="F47" s="32" t="str">
        <f>IFERROR(__xludf.DUMMYFUNCTION("IF('Résultats des tournois'!E$2=0,"""",LET(
lastVal, INDEX(FILTER($B47:E47, ISNUMBER($B47:E47)), COUNTA(FILTER($B47:E47, ISNUMBER($B47:E47)))),
IFERROR(
IF('Résultats des tournois'!E47="""", INDEX(FILTER($C47:E47, ISNUMBER($C47:E47)), COUNTA(FILTER($C47:E"&amp;"47, ISNUMBER($C47:E47)))),
lastVal + 'K dynamique'!E47 * ((SQRT('Résultats des tournois'!E$2 + 1)/'Résultats des tournois'!E47) - (1 / (1 + 10^((E$103 - lastVal)/400)))))
)
))"),"")</f>
        <v/>
      </c>
      <c r="G47" s="32" t="str">
        <f>IFERROR(__xludf.DUMMYFUNCTION("IF('Résultats des tournois'!F$2=0,"""",LET(
lastVal, INDEX(FILTER($B47:F47, ISNUMBER($B47:F47)), COUNTA(FILTER($B47:F47, ISNUMBER($B47:F47)))),
IFERROR(
IF('Résultats des tournois'!F47="""", INDEX(FILTER($C47:F47, ISNUMBER($C47:F47)), COUNTA(FILTER($C47:F"&amp;"47, ISNUMBER($C47:F47)))),
lastVal + 'K dynamique'!F47 * ((SQRT('Résultats des tournois'!F$2 + 1)/'Résultats des tournois'!F47) - (1 / (1 + 10^((F$103 - lastVal)/400)))))
)
))"),"")</f>
        <v/>
      </c>
      <c r="H47" s="32" t="str">
        <f>IFERROR(__xludf.DUMMYFUNCTION("IF('Résultats des tournois'!G$2=0,"""",LET(
lastVal, INDEX(FILTER($B47:G47, ISNUMBER($B47:G47)), COUNTA(FILTER($B47:G47, ISNUMBER($B47:G47)))),
IFERROR(
IF('Résultats des tournois'!G47="""", INDEX(FILTER($C47:G47, ISNUMBER($C47:G47)), COUNTA(FILTER($C47:G"&amp;"47, ISNUMBER($C47:G47)))),
lastVal + 'K dynamique'!G47 * ((SQRT('Résultats des tournois'!G$2 + 1)/'Résultats des tournois'!G47) - (1 / (1 + 10^((G$103 - lastVal)/400)))))
)
))"),"")</f>
        <v/>
      </c>
      <c r="I47" s="32" t="str">
        <f>IFERROR(__xludf.DUMMYFUNCTION("IF('Résultats des tournois'!H$2=0,"""",LET(
lastVal, INDEX(FILTER($B47:H47, ISNUMBER($B47:H47)), COUNTA(FILTER($B47:H47, ISNUMBER($B47:H47)))),
IFERROR(
IF('Résultats des tournois'!H47="""", INDEX(FILTER($C47:H47, ISNUMBER($C47:H47)), COUNTA(FILTER($C47:H"&amp;"47, ISNUMBER($C47:H47)))),
lastVal + 'K dynamique'!H47 * ((SQRT('Résultats des tournois'!H$2 + 1)/'Résultats des tournois'!H47) - (1 / (1 + 10^((H$103 - lastVal)/400)))))
)
))"),"")</f>
        <v/>
      </c>
      <c r="J47" s="32" t="str">
        <f>IFERROR(__xludf.DUMMYFUNCTION("IF('Résultats des tournois'!I$2=0,"""",LET(
lastVal, INDEX(FILTER($B47:I47, ISNUMBER($B47:I47)), COUNTA(FILTER($B47:I47, ISNUMBER($B47:I47)))),
IFERROR(
IF('Résultats des tournois'!I47="""", INDEX(FILTER($C47:I47, ISNUMBER($C47:I47)), COUNTA(FILTER($C47:I"&amp;"47, ISNUMBER($C47:I47)))),
lastVal + 'K dynamique'!I47 * ((SQRT('Résultats des tournois'!I$2 + 1)/'Résultats des tournois'!I47) - (1 / (1 + 10^((I$103 - lastVal)/400)))))
)
))"),"")</f>
        <v/>
      </c>
      <c r="K47" s="32" t="str">
        <f>IFERROR(__xludf.DUMMYFUNCTION("IF('Résultats des tournois'!J$2=0,"""",LET(
lastVal, INDEX(FILTER($B47:J47, ISNUMBER($B47:J47)), COUNTA(FILTER($B47:J47, ISNUMBER($B47:J47)))),
IFERROR(
IF('Résultats des tournois'!J47="""", INDEX(FILTER($C47:J47, ISNUMBER($C47:J47)), COUNTA(FILTER($C47:J"&amp;"47, ISNUMBER($C47:J47)))),
lastVal + 'K dynamique'!J47 * ((SQRT('Résultats des tournois'!J$2 + 1)/'Résultats des tournois'!J47) - (1 / (1 + 10^((J$103 - lastVal)/400)))))
)
))"),"")</f>
        <v/>
      </c>
      <c r="L47" s="32" t="str">
        <f>IFERROR(__xludf.DUMMYFUNCTION("IF('Résultats des tournois'!K$2=0,"""",LET(
lastVal, INDEX(FILTER($B47:K47, ISNUMBER($B47:K47)), COUNTA(FILTER($B47:K47, ISNUMBER($B47:K47)))),
IFERROR(
IF('Résultats des tournois'!K47="""", INDEX(FILTER($C47:K47, ISNUMBER($C47:K47)), COUNTA(FILTER($C47:K"&amp;"47, ISNUMBER($C47:K47)))),
lastVal + 'K dynamique'!K47 * ((SQRT('Résultats des tournois'!K$2 + 1)/'Résultats des tournois'!K47) - (1 / (1 + 10^((K$103 - lastVal)/400)))))
)
))"),"")</f>
        <v/>
      </c>
      <c r="M47" s="32" t="str">
        <f>IFERROR(__xludf.DUMMYFUNCTION("IF('Résultats des tournois'!L$2=0,"""",LET(
lastVal, INDEX(FILTER($B47:L47, ISNUMBER($B47:L47)), COUNTA(FILTER($B47:L47, ISNUMBER($B47:L47)))),
IFERROR(
IF('Résultats des tournois'!L47="""", INDEX(FILTER($C47:L47, ISNUMBER($C47:L47)), COUNTA(FILTER($C47:L"&amp;"47, ISNUMBER($C47:L47)))),
lastVal + 'K dynamique'!L47 * ((SQRT('Résultats des tournois'!L$2 + 1)/'Résultats des tournois'!L47) - (1 / (1 + 10^((L$103 - lastVal)/400)))))
)
))"),"")</f>
        <v/>
      </c>
      <c r="N47" s="32" t="str">
        <f>IFERROR(__xludf.DUMMYFUNCTION("IF('Résultats des tournois'!M$2=0,"""",LET(
lastVal, INDEX(FILTER($B47:M47, ISNUMBER($B47:M47)), COUNTA(FILTER($B47:M47, ISNUMBER($B47:M47)))),
IFERROR(
IF('Résultats des tournois'!M47="""", INDEX(FILTER($C47:M47, ISNUMBER($C47:M47)), COUNTA(FILTER($C47:M"&amp;"47, ISNUMBER($C47:M47)))),
lastVal + 'K dynamique'!M47 * ((SQRT('Résultats des tournois'!M$2 + 1)/'Résultats des tournois'!M47) - (1 / (1 + 10^((M$103 - lastVal)/400)))))
)
))"),"")</f>
        <v/>
      </c>
      <c r="O47" s="32" t="str">
        <f>IFERROR(__xludf.DUMMYFUNCTION("IF('Résultats des tournois'!N$2=0,"""",LET(
lastVal, INDEX(FILTER($B47:N47, ISNUMBER($B47:N47)), COUNTA(FILTER($B47:N47, ISNUMBER($B47:N47)))),
IFERROR(
IF('Résultats des tournois'!N47="""", INDEX(FILTER($C47:N47, ISNUMBER($C47:N47)), COUNTA(FILTER($C47:N"&amp;"47, ISNUMBER($C47:N47)))),
lastVal + 'K dynamique'!N47 * ((SQRT('Résultats des tournois'!N$2 + 1)/'Résultats des tournois'!N47) - (1 / (1 + 10^((N$103 - lastVal)/400)))))
)
))"),"")</f>
        <v/>
      </c>
      <c r="P47" s="32" t="str">
        <f>IFERROR(__xludf.DUMMYFUNCTION("IF('Résultats des tournois'!O$2=0,"""",LET(
lastVal, INDEX(FILTER($B47:O47, ISNUMBER($B47:O47)), COUNTA(FILTER($B47:O47, ISNUMBER($B47:O47)))),
IFERROR(
IF('Résultats des tournois'!O47="""", INDEX(FILTER($C47:O47, ISNUMBER($C47:O47)), COUNTA(FILTER($C47:O"&amp;"47, ISNUMBER($C47:O47)))),
lastVal + 'K dynamique'!O47 * ((SQRT('Résultats des tournois'!O$2 + 1)/'Résultats des tournois'!O47) - (1 / (1 + 10^((O$103 - lastVal)/400)))))
)
))"),"")</f>
        <v/>
      </c>
      <c r="Q47" s="32" t="str">
        <f>IFERROR(__xludf.DUMMYFUNCTION("IF('Résultats des tournois'!P$2=0,"""",LET(
lastVal, INDEX(FILTER($B47:P47, ISNUMBER($B47:P47)), COUNTA(FILTER($B47:P47, ISNUMBER($B47:P47)))),
IFERROR(
IF('Résultats des tournois'!P47="""", INDEX(FILTER($C47:P47, ISNUMBER($C47:P47)), COUNTA(FILTER($C47:P"&amp;"47, ISNUMBER($C47:P47)))),
lastVal + 'K dynamique'!P47 * ((SQRT('Résultats des tournois'!P$2 + 1)/'Résultats des tournois'!P47) - (1 / (1 + 10^((P$103 - lastVal)/400)))))
)
))"),"")</f>
        <v/>
      </c>
      <c r="R47" s="32" t="str">
        <f>IFERROR(__xludf.DUMMYFUNCTION("IF('Résultats des tournois'!Q$2=0,"""",LET(
lastVal, INDEX(FILTER($B47:Q47, ISNUMBER($B47:Q47)), COUNTA(FILTER($B47:Q47, ISNUMBER($B47:Q47)))),
IFERROR(
IF('Résultats des tournois'!Q47="""", INDEX(FILTER($C47:Q47, ISNUMBER($C47:Q47)), COUNTA(FILTER($C47:Q"&amp;"47, ISNUMBER($C47:Q47)))),
lastVal + 'K dynamique'!Q47 * ((SQRT('Résultats des tournois'!Q$2 + 1)/'Résultats des tournois'!Q47) - (1 / (1 + 10^((Q$103 - lastVal)/400)))))
)
))"),"")</f>
        <v/>
      </c>
      <c r="S47" s="32" t="str">
        <f>IFERROR(__xludf.DUMMYFUNCTION("IF('Résultats des tournois'!R$2=0,"""",LET(
lastVal, INDEX(FILTER($B47:R47, ISNUMBER($B47:R47)), COUNTA(FILTER($B47:R47, ISNUMBER($B47:R47)))),
IFERROR(
IF('Résultats des tournois'!R47="""", INDEX(FILTER($C47:R47, ISNUMBER($C47:R47)), COUNTA(FILTER($C47:R"&amp;"47, ISNUMBER($C47:R47)))),
lastVal + 'K dynamique'!R47 * ((SQRT('Résultats des tournois'!R$2 + 1)/'Résultats des tournois'!R47) - (1 / (1 + 10^((R$103 - lastVal)/400)))))
)
))"),"")</f>
        <v/>
      </c>
      <c r="T47" s="32" t="str">
        <f>IFERROR(__xludf.DUMMYFUNCTION("IF('Résultats des tournois'!S$2=0,"""",LET(
lastVal, INDEX(FILTER($B47:S47, ISNUMBER($B47:S47)), COUNTA(FILTER($B47:S47, ISNUMBER($B47:S47)))),
IFERROR(
IF('Résultats des tournois'!S47="""", INDEX(FILTER($C47:S47, ISNUMBER($C47:S47)), COUNTA(FILTER($C47:S"&amp;"47, ISNUMBER($C47:S47)))),
lastVal + 'K dynamique'!S47 * ((SQRT('Résultats des tournois'!S$2 + 1)/'Résultats des tournois'!S47) - (1 / (1 + 10^((S$103 - lastVal)/400)))))
)
))"),"")</f>
        <v/>
      </c>
      <c r="U47" s="32" t="str">
        <f>IFERROR(__xludf.DUMMYFUNCTION("IF('Résultats des tournois'!T$2=0,"""",LET(
lastVal, INDEX(FILTER($B47:T47, ISNUMBER($B47:T47)), COUNTA(FILTER($B47:T47, ISNUMBER($B47:T47)))),
IFERROR(
IF('Résultats des tournois'!T47="""", INDEX(FILTER($C47:T47, ISNUMBER($C47:T47)), COUNTA(FILTER($C47:T"&amp;"47, ISNUMBER($C47:T47)))),
lastVal + 'K dynamique'!T47 * ((SQRT('Résultats des tournois'!T$2 + 1)/'Résultats des tournois'!T47) - (1 / (1 + 10^((T$103 - lastVal)/400)))))
)
))"),"")</f>
        <v/>
      </c>
      <c r="V47" s="32" t="str">
        <f>IFERROR(__xludf.DUMMYFUNCTION("IF('Résultats des tournois'!U$2=0,"""",LET(
lastVal, INDEX(FILTER($B47:U47, ISNUMBER($B47:U47)), COUNTA(FILTER($B47:U47, ISNUMBER($B47:U47)))),
IFERROR(
IF('Résultats des tournois'!U47="""", INDEX(FILTER($C47:U47, ISNUMBER($C47:U47)), COUNTA(FILTER($C47:U"&amp;"47, ISNUMBER($C47:U47)))),
lastVal + 'K dynamique'!U47 * ((SQRT('Résultats des tournois'!U$2 + 1)/'Résultats des tournois'!U47) - (1 / (1 + 10^((U$103 - lastVal)/400)))))
)
))"),"")</f>
        <v/>
      </c>
      <c r="W47" s="32" t="str">
        <f>IFERROR(__xludf.DUMMYFUNCTION("IF('Résultats des tournois'!V$2=0,"""",LET(
lastVal, INDEX(FILTER($B47:V47, ISNUMBER($B47:V47)), COUNTA(FILTER($B47:V47, ISNUMBER($B47:V47)))),
IFERROR(
IF('Résultats des tournois'!V47="""", INDEX(FILTER($C47:V47, ISNUMBER($C47:V47)), COUNTA(FILTER($C47:V"&amp;"47, ISNUMBER($C47:V47)))),
lastVal + 'K dynamique'!V47 * ((SQRT('Résultats des tournois'!V$2 + 1)/'Résultats des tournois'!V47) - (1 / (1 + 10^((V$103 - lastVal)/400)))))
)
))"),"")</f>
        <v/>
      </c>
      <c r="X47" s="32" t="str">
        <f>IFERROR(__xludf.DUMMYFUNCTION("IF('Résultats des tournois'!W$2=0,"""",LET(
lastVal, INDEX(FILTER($B47:W47, ISNUMBER($B47:W47)), COUNTA(FILTER($B47:W47, ISNUMBER($B47:W47)))),
IFERROR(
IF('Résultats des tournois'!W47="""", INDEX(FILTER($C47:W47, ISNUMBER($C47:W47)), COUNTA(FILTER($C47:W"&amp;"47, ISNUMBER($C47:W47)))),
lastVal + 'K dynamique'!W47 * ((SQRT('Résultats des tournois'!W$2 + 1)/'Résultats des tournois'!W47) - (1 / (1 + 10^((W$103 - lastVal)/400)))))
)
))"),"")</f>
        <v/>
      </c>
      <c r="Y47" s="32" t="str">
        <f>IFERROR(__xludf.DUMMYFUNCTION("IF('Résultats des tournois'!X$2=0,"""",LET(
lastVal, INDEX(FILTER($B47:X47, ISNUMBER($B47:X47)), COUNTA(FILTER($B47:X47, ISNUMBER($B47:X47)))),
IFERROR(
IF('Résultats des tournois'!X47="""", INDEX(FILTER($C47:X47, ISNUMBER($C47:X47)), COUNTA(FILTER($C47:X"&amp;"47, ISNUMBER($C47:X47)))),
lastVal + 'K dynamique'!X47 * ((SQRT('Résultats des tournois'!X$2 + 1)/'Résultats des tournois'!X47) - (1 / (1 + 10^((X$103 - lastVal)/400)))))
)
))"),"")</f>
        <v/>
      </c>
      <c r="Z47" s="32" t="str">
        <f>IFERROR(__xludf.DUMMYFUNCTION("IF('Résultats des tournois'!Y$2=0,"""",LET(
lastVal, INDEX(FILTER($B47:Y47, ISNUMBER($B47:Y47)), COUNTA(FILTER($B47:Y47, ISNUMBER($B47:Y47)))),
IFERROR(
IF('Résultats des tournois'!Y47="""", INDEX(FILTER($C47:Y47, ISNUMBER($C47:Y47)), COUNTA(FILTER($C47:Y"&amp;"47, ISNUMBER($C47:Y47)))),
lastVal + 'K dynamique'!Y47 * ((SQRT('Résultats des tournois'!Y$2 + 1)/'Résultats des tournois'!Y47) - (1 / (1 + 10^((Y$103 - lastVal)/400)))))
)
))"),"")</f>
        <v/>
      </c>
      <c r="AA47" s="32" t="str">
        <f>IFERROR(__xludf.DUMMYFUNCTION("IF('Résultats des tournois'!Z$2=0,"""",LET(
lastVal, INDEX(FILTER($B47:Z47, ISNUMBER($B47:Z47)), COUNTA(FILTER($B47:Z47, ISNUMBER($B47:Z47)))),
IFERROR(
IF('Résultats des tournois'!Z47="""", INDEX(FILTER($C47:Z47, ISNUMBER($C47:Z47)), COUNTA(FILTER($C47:Z"&amp;"47, ISNUMBER($C47:Z47)))),
lastVal + 'K dynamique'!Z47 * ((SQRT('Résultats des tournois'!Z$2 + 1)/'Résultats des tournois'!Z47) - (1 / (1 + 10^((Z$103 - lastVal)/400)))))
)
))"),"")</f>
        <v/>
      </c>
      <c r="AB47" s="32" t="str">
        <f>IFERROR(__xludf.DUMMYFUNCTION("IF('Résultats des tournois'!AA$2=0,"""",LET(
lastVal, INDEX(FILTER($B47:AA47, ISNUMBER($B47:AA47)), COUNTA(FILTER($B47:AA47, ISNUMBER($B47:AA47)))),
IFERROR(
IF('Résultats des tournois'!AA47="""", INDEX(FILTER($C47:AA47, ISNUMBER($C47:AA47)), COUNTA(FILTE"&amp;"R($C47:AA47, ISNUMBER($C47:AA47)))),
lastVal + 'K dynamique'!AA47 * ((SQRT('Résultats des tournois'!AA$2 + 1)/'Résultats des tournois'!AA47) - (1 / (1 + 10^((AA$103 - lastVal)/400)))))
)
))"),"")</f>
        <v/>
      </c>
      <c r="AC47" s="32" t="str">
        <f>IFERROR(__xludf.DUMMYFUNCTION("IF('Résultats des tournois'!AB$2=0,"""",LET(
lastVal, INDEX(FILTER($B47:AB47, ISNUMBER($B47:AB47)), COUNTA(FILTER($B47:AB47, ISNUMBER($B47:AB47)))),
IFERROR(
IF('Résultats des tournois'!AB47="""", INDEX(FILTER($C47:AB47, ISNUMBER($C47:AB47)), COUNTA(FILTE"&amp;"R($C47:AB47, ISNUMBER($C47:AB47)))),
lastVal + 'K dynamique'!AB47 * ((SQRT('Résultats des tournois'!AB$2 + 1)/'Résultats des tournois'!AB47) - (1 / (1 + 10^((AB$103 - lastVal)/400)))))
)
))"),"")</f>
        <v/>
      </c>
      <c r="AD47" s="32" t="str">
        <f>IFERROR(__xludf.DUMMYFUNCTION("IF('Résultats des tournois'!AC$2=0,"""",LET(
lastVal, INDEX(FILTER($B47:AC47, ISNUMBER($B47:AC47)), COUNTA(FILTER($B47:AC47, ISNUMBER($B47:AC47)))),
IFERROR(
IF('Résultats des tournois'!AC47="""", INDEX(FILTER($C47:AC47, ISNUMBER($C47:AC47)), COUNTA(FILTE"&amp;"R($C47:AC47, ISNUMBER($C47:AC47)))),
lastVal + 'K dynamique'!AC47 * ((SQRT('Résultats des tournois'!AC$2 + 1)/'Résultats des tournois'!AC47) - (1 / (1 + 10^((AC$103 - lastVal)/400)))))
)
))"),"")</f>
        <v/>
      </c>
      <c r="AE47" s="32" t="str">
        <f>IFERROR(__xludf.DUMMYFUNCTION("IF('Résultats des tournois'!AD$2=0,"""",LET(
lastVal, INDEX(FILTER($B47:AD47, ISNUMBER($B47:AD47)), COUNTA(FILTER($B47:AD47, ISNUMBER($B47:AD47)))),
IFERROR(
IF('Résultats des tournois'!AD47="""", INDEX(FILTER($C47:AD47, ISNUMBER($C47:AD47)), COUNTA(FILTE"&amp;"R($C47:AD47, ISNUMBER($C47:AD47)))),
lastVal + 'K dynamique'!AD47 * ((SQRT('Résultats des tournois'!AD$2 + 1)/'Résultats des tournois'!AD47) - (1 / (1 + 10^((AD$103 - lastVal)/400)))))
)
))"),"")</f>
        <v/>
      </c>
      <c r="AF47" s="32" t="str">
        <f>IFERROR(__xludf.DUMMYFUNCTION("IF('Résultats des tournois'!AE$2=0,"""",LET(
lastVal, INDEX(FILTER($B47:AE47, ISNUMBER($B47:AE47)), COUNTA(FILTER($B47:AE47, ISNUMBER($B47:AE47)))),
IFERROR(
IF('Résultats des tournois'!AE47="""", INDEX(FILTER($C47:AE47, ISNUMBER($C47:AE47)), COUNTA(FILTE"&amp;"R($C47:AE47, ISNUMBER($C47:AE47)))),
lastVal + 'K dynamique'!AE47 * ((SQRT('Résultats des tournois'!AE$2 + 1)/'Résultats des tournois'!AE47) - (1 / (1 + 10^((AE$103 - lastVal)/400)))))
)
))"),"")</f>
        <v/>
      </c>
      <c r="AG47" s="32" t="str">
        <f>IFERROR(__xludf.DUMMYFUNCTION("IF('Résultats des tournois'!AF$2=0,"""",LET(
lastVal, INDEX(FILTER($B47:AF47, ISNUMBER($B47:AF47)), COUNTA(FILTER($B47:AF47, ISNUMBER($B47:AF47)))),
IFERROR(
IF('Résultats des tournois'!AF47="""", INDEX(FILTER($C47:AF47, ISNUMBER($C47:AF47)), COUNTA(FILTE"&amp;"R($C47:AF47, ISNUMBER($C47:AF47)))),
lastVal + 'K dynamique'!AF47 * ((SQRT('Résultats des tournois'!AF$2 + 1)/'Résultats des tournois'!AF47) - (1 / (1 + 10^((AF$103 - lastVal)/400)))))
)
))"),"")</f>
        <v/>
      </c>
      <c r="AH47" s="32" t="str">
        <f>IFERROR(__xludf.DUMMYFUNCTION("IF('Résultats des tournois'!AG$2=0,"""",LET(
lastVal, INDEX(FILTER($B47:AG47, ISNUMBER($B47:AG47)), COUNTA(FILTER($B47:AG47, ISNUMBER($B47:AG47)))),
IFERROR(
IF('Résultats des tournois'!AG47="""", INDEX(FILTER($C47:AG47, ISNUMBER($C47:AG47)), COUNTA(FILTE"&amp;"R($C47:AG47, ISNUMBER($C47:AG47)))),
lastVal + 'K dynamique'!AG47 * ((SQRT('Résultats des tournois'!AG$2 + 1)/'Résultats des tournois'!AG47) - (1 / (1 + 10^((AG$103 - lastVal)/400)))))
)
))"),"")</f>
        <v/>
      </c>
      <c r="AI47" s="32" t="str">
        <f>IFERROR(__xludf.DUMMYFUNCTION("IF('Résultats des tournois'!AH$2=0,"""",LET(
lastVal, INDEX(FILTER($B47:AH47, ISNUMBER($B47:AH47)), COUNTA(FILTER($B47:AH47, ISNUMBER($B47:AH47)))),
IFERROR(
IF('Résultats des tournois'!AH47="""", INDEX(FILTER($C47:AH47, ISNUMBER($C47:AH47)), COUNTA(FILTE"&amp;"R($C47:AH47, ISNUMBER($C47:AH47)))),
lastVal + 'K dynamique'!AH47 * ((SQRT('Résultats des tournois'!AH$2 + 1)/'Résultats des tournois'!AH47) - (1 / (1 + 10^((AH$103 - lastVal)/400)))))
)
))"),"")</f>
        <v/>
      </c>
      <c r="AJ47" s="32" t="str">
        <f>IFERROR(__xludf.DUMMYFUNCTION("IF('Résultats des tournois'!AI$2=0,"""",LET(
lastVal, INDEX(FILTER($B47:AI47, ISNUMBER($B47:AI47)), COUNTA(FILTER($B47:AI47, ISNUMBER($B47:AI47)))),
IFERROR(
IF('Résultats des tournois'!AI47="""", INDEX(FILTER($C47:AI47, ISNUMBER($C47:AI47)), COUNTA(FILTE"&amp;"R($C47:AI47, ISNUMBER($C47:AI47)))),
lastVal + 'K dynamique'!AI47 * ((SQRT('Résultats des tournois'!AI$2 + 1)/'Résultats des tournois'!AI47) - (1 / (1 + 10^((AI$103 - lastVal)/400)))))
)
))"),"")</f>
        <v/>
      </c>
      <c r="AK47" s="32" t="str">
        <f>IFERROR(__xludf.DUMMYFUNCTION("IF('Résultats des tournois'!AJ$2=0,"""",LET(
lastVal, INDEX(FILTER($B47:AJ47, ISNUMBER($B47:AJ47)), COUNTA(FILTER($B47:AJ47, ISNUMBER($B47:AJ47)))),
IFERROR(
IF('Résultats des tournois'!AJ47="""", INDEX(FILTER($C47:AJ47, ISNUMBER($C47:AJ47)), COUNTA(FILTE"&amp;"R($C47:AJ47, ISNUMBER($C47:AJ47)))),
lastVal + 'K dynamique'!AJ47 * ((SQRT('Résultats des tournois'!AJ$2 + 1)/'Résultats des tournois'!AJ47) - (1 / (1 + 10^((AJ$103 - lastVal)/400)))))
)
))"),"")</f>
        <v/>
      </c>
      <c r="AL47" s="32" t="str">
        <f>IFERROR(__xludf.DUMMYFUNCTION("IF('Résultats des tournois'!AK$2=0,"""",LET(
lastVal, INDEX(FILTER($B47:AK47, ISNUMBER($B47:AK47)), COUNTA(FILTER($B47:AK47, ISNUMBER($B47:AK47)))),
IFERROR(
IF('Résultats des tournois'!AK47="""", INDEX(FILTER($C47:AK47, ISNUMBER($C47:AK47)), COUNTA(FILTE"&amp;"R($C47:AK47, ISNUMBER($C47:AK47)))),
lastVal + 'K dynamique'!AK47 * ((SQRT('Résultats des tournois'!AK$2 + 1)/'Résultats des tournois'!AK47) - (1 / (1 + 10^((AK$103 - lastVal)/400)))))
)
))"),"")</f>
        <v/>
      </c>
      <c r="AM47" s="32" t="str">
        <f>IFERROR(__xludf.DUMMYFUNCTION("IF('Résultats des tournois'!AL$2=0,"""",LET(
lastVal, INDEX(FILTER($B47:AL47, ISNUMBER($B47:AL47)), COUNTA(FILTER($B47:AL47, ISNUMBER($B47:AL47)))),
IFERROR(
IF('Résultats des tournois'!AL47="""", INDEX(FILTER($C47:AL47, ISNUMBER($C47:AL47)), COUNTA(FILTE"&amp;"R($C47:AL47, ISNUMBER($C47:AL47)))),
lastVal + 'K dynamique'!AL47 * ((SQRT('Résultats des tournois'!AL$2 + 1)/'Résultats des tournois'!AL47) - (1 / (1 + 10^((AL$103 - lastVal)/400)))))
)
))"),"")</f>
        <v/>
      </c>
      <c r="AN47" s="32" t="str">
        <f>IFERROR(__xludf.DUMMYFUNCTION("IF('Résultats des tournois'!AM$2=0,"""",LET(
lastVal, INDEX(FILTER($B47:AM47, ISNUMBER($B47:AM47)), COUNTA(FILTER($B47:AM47, ISNUMBER($B47:AM47)))),
IFERROR(
IF('Résultats des tournois'!AM47="""", INDEX(FILTER($C47:AM47, ISNUMBER($C47:AM47)), COUNTA(FILTE"&amp;"R($C47:AM47, ISNUMBER($C47:AM47)))),
lastVal + 'K dynamique'!AM47 * ((SQRT('Résultats des tournois'!AM$2 + 1)/'Résultats des tournois'!AM47) - (1 / (1 + 10^((AM$103 - lastVal)/400)))))
)
))"),"")</f>
        <v/>
      </c>
      <c r="AO47" s="32" t="str">
        <f>IFERROR(__xludf.DUMMYFUNCTION("IF('Résultats des tournois'!AN$2=0,"""",LET(
lastVal, INDEX(FILTER($B47:AN47, ISNUMBER($B47:AN47)), COUNTA(FILTER($B47:AN47, ISNUMBER($B47:AN47)))),
IFERROR(
IF('Résultats des tournois'!AN47="""", INDEX(FILTER($C47:AN47, ISNUMBER($C47:AN47)), COUNTA(FILTE"&amp;"R($C47:AN47, ISNUMBER($C47:AN47)))),
lastVal + 'K dynamique'!AN47 * ((SQRT('Résultats des tournois'!AN$2 + 1)/'Résultats des tournois'!AN47) - (1 / (1 + 10^((AN$103 - lastVal)/400)))))
)
))"),"")</f>
        <v/>
      </c>
      <c r="AP47" s="32" t="str">
        <f>IFERROR(__xludf.DUMMYFUNCTION("IF('Résultats des tournois'!AO$2=0,"""",LET(
lastVal, INDEX(FILTER($B47:AO47, ISNUMBER($B47:AO47)), COUNTA(FILTER($B47:AO47, ISNUMBER($B47:AO47)))),
IFERROR(
IF('Résultats des tournois'!AO47="""", INDEX(FILTER($C47:AO47, ISNUMBER($C47:AO47)), COUNTA(FILTE"&amp;"R($C47:AO47, ISNUMBER($C47:AO47)))),
lastVal + 'K dynamique'!AO47 * ((SQRT('Résultats des tournois'!AO$2 + 1)/'Résultats des tournois'!AO47) - (1 / (1 + 10^((AO$103 - lastVal)/400)))))
)
))"),"")</f>
        <v/>
      </c>
      <c r="AQ47" s="32" t="str">
        <f>IFERROR(__xludf.DUMMYFUNCTION("IF('Résultats des tournois'!AP$2=0,"""",LET(
lastVal, INDEX(FILTER($B47:AP47, ISNUMBER($B47:AP47)), COUNTA(FILTER($B47:AP47, ISNUMBER($B47:AP47)))),
IFERROR(
IF('Résultats des tournois'!AP47="""", INDEX(FILTER($C47:AP47, ISNUMBER($C47:AP47)), COUNTA(FILTE"&amp;"R($C47:AP47, ISNUMBER($C47:AP47)))),
lastVal + 'K dynamique'!AP47 * ((SQRT('Résultats des tournois'!AP$2 + 1)/'Résultats des tournois'!AP47) - (1 / (1 + 10^((AP$103 - lastVal)/400)))))
)
))"),"")</f>
        <v/>
      </c>
      <c r="AR47" s="32" t="str">
        <f>IFERROR(__xludf.DUMMYFUNCTION("IF('Résultats des tournois'!AQ$2=0,"""",LET(
lastVal, INDEX(FILTER($B47:AQ47, ISNUMBER($B47:AQ47)), COUNTA(FILTER($B47:AQ47, ISNUMBER($B47:AQ47)))),
IFERROR(
IF('Résultats des tournois'!AQ47="""", INDEX(FILTER($C47:AQ47, ISNUMBER($C47:AQ47)), COUNTA(FILTE"&amp;"R($C47:AQ47, ISNUMBER($C47:AQ47)))),
lastVal + 'K dynamique'!AQ47 * ((SQRT('Résultats des tournois'!AQ$2 + 1)/'Résultats des tournois'!AQ47) - (1 / (1 + 10^((AQ$103 - lastVal)/400)))))
)
))"),"")</f>
        <v/>
      </c>
      <c r="AS47" s="32" t="str">
        <f>IFERROR(__xludf.DUMMYFUNCTION("IF('Résultats des tournois'!AR$2=0,"""",LET(
lastVal, INDEX(FILTER($B47:AR47, ISNUMBER($B47:AR47)), COUNTA(FILTER($B47:AR47, ISNUMBER($B47:AR47)))),
IFERROR(
IF('Résultats des tournois'!AR47="""", INDEX(FILTER($C47:AR47, ISNUMBER($C47:AR47)), COUNTA(FILTE"&amp;"R($C47:AR47, ISNUMBER($C47:AR47)))),
lastVal + 'K dynamique'!AR47 * ((SQRT('Résultats des tournois'!AR$2 + 1)/'Résultats des tournois'!AR47) - (1 / (1 + 10^((AR$103 - lastVal)/400)))))
)
))"),"")</f>
        <v/>
      </c>
      <c r="AT47" s="32" t="str">
        <f>IFERROR(__xludf.DUMMYFUNCTION("IF('Résultats des tournois'!AS$2=0,"""",LET(
lastVal, INDEX(FILTER($B47:AS47, ISNUMBER($B47:AS47)), COUNTA(FILTER($B47:AS47, ISNUMBER($B47:AS47)))),
IFERROR(
IF('Résultats des tournois'!AS47="""", INDEX(FILTER($C47:AS47, ISNUMBER($C47:AS47)), COUNTA(FILTE"&amp;"R($C47:AS47, ISNUMBER($C47:AS47)))),
lastVal + 'K dynamique'!AS47 * ((SQRT('Résultats des tournois'!AS$2 + 1)/'Résultats des tournois'!AS47) - (1 / (1 + 10^((AS$103 - lastVal)/400)))))
)
))"),"")</f>
        <v/>
      </c>
      <c r="AU47" s="32" t="str">
        <f>IFERROR(__xludf.DUMMYFUNCTION("IF('Résultats des tournois'!AT$2=0,"""",LET(
lastVal, INDEX(FILTER($B47:AT47, ISNUMBER($B47:AT47)), COUNTA(FILTER($B47:AT47, ISNUMBER($B47:AT47)))),
IFERROR(
IF('Résultats des tournois'!AT47="""", INDEX(FILTER($C47:AT47, ISNUMBER($C47:AT47)), COUNTA(FILTE"&amp;"R($C47:AT47, ISNUMBER($C47:AT47)))),
lastVal + 'K dynamique'!AT47 * ((SQRT('Résultats des tournois'!AT$2 + 1)/'Résultats des tournois'!AT47) - (1 / (1 + 10^((AT$103 - lastVal)/400)))))
)
))"),"")</f>
        <v/>
      </c>
      <c r="AV47" s="32" t="str">
        <f>IFERROR(__xludf.DUMMYFUNCTION("IF('Résultats des tournois'!AU$2=0,"""",LET(
lastVal, INDEX(FILTER($B47:AU47, ISNUMBER($B47:AU47)), COUNTA(FILTER($B47:AU47, ISNUMBER($B47:AU47)))),
IFERROR(
IF('Résultats des tournois'!AU47="""", INDEX(FILTER($C47:AU47, ISNUMBER($C47:AU47)), COUNTA(FILTE"&amp;"R($C47:AU47, ISNUMBER($C47:AU47)))),
lastVal + 'K dynamique'!AU47 * ((SQRT('Résultats des tournois'!AU$2 + 1)/'Résultats des tournois'!AU47) - (1 / (1 + 10^((AU$103 - lastVal)/400)))))
)
))"),"")</f>
        <v/>
      </c>
      <c r="AW47" s="32" t="str">
        <f>IFERROR(__xludf.DUMMYFUNCTION("IF('Résultats des tournois'!AV$2=0,"""",LET(
lastVal, INDEX(FILTER($B47:AV47, ISNUMBER($B47:AV47)), COUNTA(FILTER($B47:AV47, ISNUMBER($B47:AV47)))),
IFERROR(
IF('Résultats des tournois'!AV47="""", INDEX(FILTER($C47:AV47, ISNUMBER($C47:AV47)), COUNTA(FILTE"&amp;"R($C47:AV47, ISNUMBER($C47:AV47)))),
lastVal + 'K dynamique'!AV47 * ((SQRT('Résultats des tournois'!AV$2 + 1)/'Résultats des tournois'!AV47) - (1 / (1 + 10^((AV$103 - lastVal)/400)))))
)
))"),"")</f>
        <v/>
      </c>
      <c r="AX47" s="32" t="str">
        <f>IFERROR(__xludf.DUMMYFUNCTION("IF('Résultats des tournois'!AW$2=0,"""",LET(
lastVal, INDEX(FILTER($B47:AW47, ISNUMBER($B47:AW47)), COUNTA(FILTER($B47:AW47, ISNUMBER($B47:AW47)))),
IFERROR(
IF('Résultats des tournois'!AW47="""", INDEX(FILTER($C47:AW47, ISNUMBER($C47:AW47)), COUNTA(FILTE"&amp;"R($C47:AW47, ISNUMBER($C47:AW47)))),
lastVal + 'K dynamique'!AW47 * ((SQRT('Résultats des tournois'!AW$2 + 1)/'Résultats des tournois'!AW47) - (1 / (1 + 10^((AW$103 - lastVal)/400)))))
)
))"),"")</f>
        <v/>
      </c>
      <c r="AY47" s="32" t="str">
        <f>IFERROR(__xludf.DUMMYFUNCTION("IF('Résultats des tournois'!AX$2=0,"""",LET(
lastVal, INDEX(FILTER($B47:AX47, ISNUMBER($B47:AX47)), COUNTA(FILTER($B47:AX47, ISNUMBER($B47:AX47)))),
IFERROR(
IF('Résultats des tournois'!AX47="""", INDEX(FILTER($C47:AX47, ISNUMBER($C47:AX47)), COUNTA(FILTE"&amp;"R($C47:AX47, ISNUMBER($C47:AX47)))),
lastVal + 'K dynamique'!AX47 * ((SQRT('Résultats des tournois'!AX$2 + 1)/'Résultats des tournois'!AX47) - (1 / (1 + 10^((AX$103 - lastVal)/400)))))
)
))"),"")</f>
        <v/>
      </c>
      <c r="AZ47" s="4" t="str">
        <f t="array" ref="AZ47">IF(MAX(($C47:AY47&lt;&gt;"")*COLUMN($C47:AY47))=0,"",INDEX($C47:AY47,1,MAX(($C47:AY47&lt;&gt;"")*COLUMN($C47:AY47))-COLUMN($C47)+1))</f>
        <v/>
      </c>
      <c r="BA47" s="33" t="str">
        <f t="shared" si="1"/>
        <v/>
      </c>
    </row>
    <row r="48" ht="14.25" customHeight="1">
      <c r="A48" s="32" t="str">
        <f>IF('Résultats des tournois'!A48="","",'Résultats des tournois'!A48)</f>
        <v/>
      </c>
      <c r="B48" s="32">
        <v>1500.0</v>
      </c>
      <c r="C48" s="32" t="str">
        <f>IF('Résultats des tournois'!B48="","",B48+'K dynamique'!B48*((SQRT('Résultats des tournois'!B$2+1)/'Résultats des tournois'!B48)-(1/(1+10^((B48-B48)/400)))))</f>
        <v/>
      </c>
      <c r="D48" s="32" t="str">
        <f>IFERROR(__xludf.DUMMYFUNCTION("IF('Résultats des tournois'!C$2=0,"""",LET(
lastVal, INDEX(FILTER($B48:C48, ISNUMBER($B48:C48)), COUNTA(FILTER($B48:C48, ISNUMBER($B48:C48)))),
IFERROR(
IF('Résultats des tournois'!C48="""", INDEX(FILTER($C48:C48, ISNUMBER($C48:C48)), COUNTA(FILTER($C48:C"&amp;"48, ISNUMBER($C48:C48)))),
lastVal + 'K dynamique'!C48 * ((SQRT('Résultats des tournois'!C$2 + 1)/'Résultats des tournois'!C48) - (1 / (1 + 10^((C$103 - lastVal)/400)))))
)
))"),"")</f>
        <v/>
      </c>
      <c r="E48" s="32" t="str">
        <f>IFERROR(__xludf.DUMMYFUNCTION("IF('Résultats des tournois'!D$2=0,"""",LET(
lastVal, INDEX(FILTER($B48:D48, ISNUMBER($B48:D48)), COUNTA(FILTER($B48:D48, ISNUMBER($B48:D48)))),
IFERROR(
IF('Résultats des tournois'!D48="""", INDEX(FILTER($C48:D48, ISNUMBER($C48:D48)), COUNTA(FILTER($C48:D"&amp;"48, ISNUMBER($C48:D48)))),
lastVal + 'K dynamique'!D48 * ((SQRT('Résultats des tournois'!D$2 + 1)/'Résultats des tournois'!D48) - (1 / (1 + 10^((D$103 - lastVal)/400)))))
)
))"),"")</f>
        <v/>
      </c>
      <c r="F48" s="32" t="str">
        <f>IFERROR(__xludf.DUMMYFUNCTION("IF('Résultats des tournois'!E$2=0,"""",LET(
lastVal, INDEX(FILTER($B48:E48, ISNUMBER($B48:E48)), COUNTA(FILTER($B48:E48, ISNUMBER($B48:E48)))),
IFERROR(
IF('Résultats des tournois'!E48="""", INDEX(FILTER($C48:E48, ISNUMBER($C48:E48)), COUNTA(FILTER($C48:E"&amp;"48, ISNUMBER($C48:E48)))),
lastVal + 'K dynamique'!E48 * ((SQRT('Résultats des tournois'!E$2 + 1)/'Résultats des tournois'!E48) - (1 / (1 + 10^((E$103 - lastVal)/400)))))
)
))"),"")</f>
        <v/>
      </c>
      <c r="G48" s="32" t="str">
        <f>IFERROR(__xludf.DUMMYFUNCTION("IF('Résultats des tournois'!F$2=0,"""",LET(
lastVal, INDEX(FILTER($B48:F48, ISNUMBER($B48:F48)), COUNTA(FILTER($B48:F48, ISNUMBER($B48:F48)))),
IFERROR(
IF('Résultats des tournois'!F48="""", INDEX(FILTER($C48:F48, ISNUMBER($C48:F48)), COUNTA(FILTER($C48:F"&amp;"48, ISNUMBER($C48:F48)))),
lastVal + 'K dynamique'!F48 * ((SQRT('Résultats des tournois'!F$2 + 1)/'Résultats des tournois'!F48) - (1 / (1 + 10^((F$103 - lastVal)/400)))))
)
))"),"")</f>
        <v/>
      </c>
      <c r="H48" s="32" t="str">
        <f>IFERROR(__xludf.DUMMYFUNCTION("IF('Résultats des tournois'!G$2=0,"""",LET(
lastVal, INDEX(FILTER($B48:G48, ISNUMBER($B48:G48)), COUNTA(FILTER($B48:G48, ISNUMBER($B48:G48)))),
IFERROR(
IF('Résultats des tournois'!G48="""", INDEX(FILTER($C48:G48, ISNUMBER($C48:G48)), COUNTA(FILTER($C48:G"&amp;"48, ISNUMBER($C48:G48)))),
lastVal + 'K dynamique'!G48 * ((SQRT('Résultats des tournois'!G$2 + 1)/'Résultats des tournois'!G48) - (1 / (1 + 10^((G$103 - lastVal)/400)))))
)
))"),"")</f>
        <v/>
      </c>
      <c r="I48" s="32" t="str">
        <f>IFERROR(__xludf.DUMMYFUNCTION("IF('Résultats des tournois'!H$2=0,"""",LET(
lastVal, INDEX(FILTER($B48:H48, ISNUMBER($B48:H48)), COUNTA(FILTER($B48:H48, ISNUMBER($B48:H48)))),
IFERROR(
IF('Résultats des tournois'!H48="""", INDEX(FILTER($C48:H48, ISNUMBER($C48:H48)), COUNTA(FILTER($C48:H"&amp;"48, ISNUMBER($C48:H48)))),
lastVal + 'K dynamique'!H48 * ((SQRT('Résultats des tournois'!H$2 + 1)/'Résultats des tournois'!H48) - (1 / (1 + 10^((H$103 - lastVal)/400)))))
)
))"),"")</f>
        <v/>
      </c>
      <c r="J48" s="32" t="str">
        <f>IFERROR(__xludf.DUMMYFUNCTION("IF('Résultats des tournois'!I$2=0,"""",LET(
lastVal, INDEX(FILTER($B48:I48, ISNUMBER($B48:I48)), COUNTA(FILTER($B48:I48, ISNUMBER($B48:I48)))),
IFERROR(
IF('Résultats des tournois'!I48="""", INDEX(FILTER($C48:I48, ISNUMBER($C48:I48)), COUNTA(FILTER($C48:I"&amp;"48, ISNUMBER($C48:I48)))),
lastVal + 'K dynamique'!I48 * ((SQRT('Résultats des tournois'!I$2 + 1)/'Résultats des tournois'!I48) - (1 / (1 + 10^((I$103 - lastVal)/400)))))
)
))"),"")</f>
        <v/>
      </c>
      <c r="K48" s="32" t="str">
        <f>IFERROR(__xludf.DUMMYFUNCTION("IF('Résultats des tournois'!J$2=0,"""",LET(
lastVal, INDEX(FILTER($B48:J48, ISNUMBER($B48:J48)), COUNTA(FILTER($B48:J48, ISNUMBER($B48:J48)))),
IFERROR(
IF('Résultats des tournois'!J48="""", INDEX(FILTER($C48:J48, ISNUMBER($C48:J48)), COUNTA(FILTER($C48:J"&amp;"48, ISNUMBER($C48:J48)))),
lastVal + 'K dynamique'!J48 * ((SQRT('Résultats des tournois'!J$2 + 1)/'Résultats des tournois'!J48) - (1 / (1 + 10^((J$103 - lastVal)/400)))))
)
))"),"")</f>
        <v/>
      </c>
      <c r="L48" s="32" t="str">
        <f>IFERROR(__xludf.DUMMYFUNCTION("IF('Résultats des tournois'!K$2=0,"""",LET(
lastVal, INDEX(FILTER($B48:K48, ISNUMBER($B48:K48)), COUNTA(FILTER($B48:K48, ISNUMBER($B48:K48)))),
IFERROR(
IF('Résultats des tournois'!K48="""", INDEX(FILTER($C48:K48, ISNUMBER($C48:K48)), COUNTA(FILTER($C48:K"&amp;"48, ISNUMBER($C48:K48)))),
lastVal + 'K dynamique'!K48 * ((SQRT('Résultats des tournois'!K$2 + 1)/'Résultats des tournois'!K48) - (1 / (1 + 10^((K$103 - lastVal)/400)))))
)
))"),"")</f>
        <v/>
      </c>
      <c r="M48" s="32" t="str">
        <f>IFERROR(__xludf.DUMMYFUNCTION("IF('Résultats des tournois'!L$2=0,"""",LET(
lastVal, INDEX(FILTER($B48:L48, ISNUMBER($B48:L48)), COUNTA(FILTER($B48:L48, ISNUMBER($B48:L48)))),
IFERROR(
IF('Résultats des tournois'!L48="""", INDEX(FILTER($C48:L48, ISNUMBER($C48:L48)), COUNTA(FILTER($C48:L"&amp;"48, ISNUMBER($C48:L48)))),
lastVal + 'K dynamique'!L48 * ((SQRT('Résultats des tournois'!L$2 + 1)/'Résultats des tournois'!L48) - (1 / (1 + 10^((L$103 - lastVal)/400)))))
)
))"),"")</f>
        <v/>
      </c>
      <c r="N48" s="32" t="str">
        <f>IFERROR(__xludf.DUMMYFUNCTION("IF('Résultats des tournois'!M$2=0,"""",LET(
lastVal, INDEX(FILTER($B48:M48, ISNUMBER($B48:M48)), COUNTA(FILTER($B48:M48, ISNUMBER($B48:M48)))),
IFERROR(
IF('Résultats des tournois'!M48="""", INDEX(FILTER($C48:M48, ISNUMBER($C48:M48)), COUNTA(FILTER($C48:M"&amp;"48, ISNUMBER($C48:M48)))),
lastVal + 'K dynamique'!M48 * ((SQRT('Résultats des tournois'!M$2 + 1)/'Résultats des tournois'!M48) - (1 / (1 + 10^((M$103 - lastVal)/400)))))
)
))"),"")</f>
        <v/>
      </c>
      <c r="O48" s="32" t="str">
        <f>IFERROR(__xludf.DUMMYFUNCTION("IF('Résultats des tournois'!N$2=0,"""",LET(
lastVal, INDEX(FILTER($B48:N48, ISNUMBER($B48:N48)), COUNTA(FILTER($B48:N48, ISNUMBER($B48:N48)))),
IFERROR(
IF('Résultats des tournois'!N48="""", INDEX(FILTER($C48:N48, ISNUMBER($C48:N48)), COUNTA(FILTER($C48:N"&amp;"48, ISNUMBER($C48:N48)))),
lastVal + 'K dynamique'!N48 * ((SQRT('Résultats des tournois'!N$2 + 1)/'Résultats des tournois'!N48) - (1 / (1 + 10^((N$103 - lastVal)/400)))))
)
))"),"")</f>
        <v/>
      </c>
      <c r="P48" s="32" t="str">
        <f>IFERROR(__xludf.DUMMYFUNCTION("IF('Résultats des tournois'!O$2=0,"""",LET(
lastVal, INDEX(FILTER($B48:O48, ISNUMBER($B48:O48)), COUNTA(FILTER($B48:O48, ISNUMBER($B48:O48)))),
IFERROR(
IF('Résultats des tournois'!O48="""", INDEX(FILTER($C48:O48, ISNUMBER($C48:O48)), COUNTA(FILTER($C48:O"&amp;"48, ISNUMBER($C48:O48)))),
lastVal + 'K dynamique'!O48 * ((SQRT('Résultats des tournois'!O$2 + 1)/'Résultats des tournois'!O48) - (1 / (1 + 10^((O$103 - lastVal)/400)))))
)
))"),"")</f>
        <v/>
      </c>
      <c r="Q48" s="32" t="str">
        <f>IFERROR(__xludf.DUMMYFUNCTION("IF('Résultats des tournois'!P$2=0,"""",LET(
lastVal, INDEX(FILTER($B48:P48, ISNUMBER($B48:P48)), COUNTA(FILTER($B48:P48, ISNUMBER($B48:P48)))),
IFERROR(
IF('Résultats des tournois'!P48="""", INDEX(FILTER($C48:P48, ISNUMBER($C48:P48)), COUNTA(FILTER($C48:P"&amp;"48, ISNUMBER($C48:P48)))),
lastVal + 'K dynamique'!P48 * ((SQRT('Résultats des tournois'!P$2 + 1)/'Résultats des tournois'!P48) - (1 / (1 + 10^((P$103 - lastVal)/400)))))
)
))"),"")</f>
        <v/>
      </c>
      <c r="R48" s="32" t="str">
        <f>IFERROR(__xludf.DUMMYFUNCTION("IF('Résultats des tournois'!Q$2=0,"""",LET(
lastVal, INDEX(FILTER($B48:Q48, ISNUMBER($B48:Q48)), COUNTA(FILTER($B48:Q48, ISNUMBER($B48:Q48)))),
IFERROR(
IF('Résultats des tournois'!Q48="""", INDEX(FILTER($C48:Q48, ISNUMBER($C48:Q48)), COUNTA(FILTER($C48:Q"&amp;"48, ISNUMBER($C48:Q48)))),
lastVal + 'K dynamique'!Q48 * ((SQRT('Résultats des tournois'!Q$2 + 1)/'Résultats des tournois'!Q48) - (1 / (1 + 10^((Q$103 - lastVal)/400)))))
)
))"),"")</f>
        <v/>
      </c>
      <c r="S48" s="32" t="str">
        <f>IFERROR(__xludf.DUMMYFUNCTION("IF('Résultats des tournois'!R$2=0,"""",LET(
lastVal, INDEX(FILTER($B48:R48, ISNUMBER($B48:R48)), COUNTA(FILTER($B48:R48, ISNUMBER($B48:R48)))),
IFERROR(
IF('Résultats des tournois'!R48="""", INDEX(FILTER($C48:R48, ISNUMBER($C48:R48)), COUNTA(FILTER($C48:R"&amp;"48, ISNUMBER($C48:R48)))),
lastVal + 'K dynamique'!R48 * ((SQRT('Résultats des tournois'!R$2 + 1)/'Résultats des tournois'!R48) - (1 / (1 + 10^((R$103 - lastVal)/400)))))
)
))"),"")</f>
        <v/>
      </c>
      <c r="T48" s="32" t="str">
        <f>IFERROR(__xludf.DUMMYFUNCTION("IF('Résultats des tournois'!S$2=0,"""",LET(
lastVal, INDEX(FILTER($B48:S48, ISNUMBER($B48:S48)), COUNTA(FILTER($B48:S48, ISNUMBER($B48:S48)))),
IFERROR(
IF('Résultats des tournois'!S48="""", INDEX(FILTER($C48:S48, ISNUMBER($C48:S48)), COUNTA(FILTER($C48:S"&amp;"48, ISNUMBER($C48:S48)))),
lastVal + 'K dynamique'!S48 * ((SQRT('Résultats des tournois'!S$2 + 1)/'Résultats des tournois'!S48) - (1 / (1 + 10^((S$103 - lastVal)/400)))))
)
))"),"")</f>
        <v/>
      </c>
      <c r="U48" s="32" t="str">
        <f>IFERROR(__xludf.DUMMYFUNCTION("IF('Résultats des tournois'!T$2=0,"""",LET(
lastVal, INDEX(FILTER($B48:T48, ISNUMBER($B48:T48)), COUNTA(FILTER($B48:T48, ISNUMBER($B48:T48)))),
IFERROR(
IF('Résultats des tournois'!T48="""", INDEX(FILTER($C48:T48, ISNUMBER($C48:T48)), COUNTA(FILTER($C48:T"&amp;"48, ISNUMBER($C48:T48)))),
lastVal + 'K dynamique'!T48 * ((SQRT('Résultats des tournois'!T$2 + 1)/'Résultats des tournois'!T48) - (1 / (1 + 10^((T$103 - lastVal)/400)))))
)
))"),"")</f>
        <v/>
      </c>
      <c r="V48" s="32" t="str">
        <f>IFERROR(__xludf.DUMMYFUNCTION("IF('Résultats des tournois'!U$2=0,"""",LET(
lastVal, INDEX(FILTER($B48:U48, ISNUMBER($B48:U48)), COUNTA(FILTER($B48:U48, ISNUMBER($B48:U48)))),
IFERROR(
IF('Résultats des tournois'!U48="""", INDEX(FILTER($C48:U48, ISNUMBER($C48:U48)), COUNTA(FILTER($C48:U"&amp;"48, ISNUMBER($C48:U48)))),
lastVal + 'K dynamique'!U48 * ((SQRT('Résultats des tournois'!U$2 + 1)/'Résultats des tournois'!U48) - (1 / (1 + 10^((U$103 - lastVal)/400)))))
)
))"),"")</f>
        <v/>
      </c>
      <c r="W48" s="32" t="str">
        <f>IFERROR(__xludf.DUMMYFUNCTION("IF('Résultats des tournois'!V$2=0,"""",LET(
lastVal, INDEX(FILTER($B48:V48, ISNUMBER($B48:V48)), COUNTA(FILTER($B48:V48, ISNUMBER($B48:V48)))),
IFERROR(
IF('Résultats des tournois'!V48="""", INDEX(FILTER($C48:V48, ISNUMBER($C48:V48)), COUNTA(FILTER($C48:V"&amp;"48, ISNUMBER($C48:V48)))),
lastVal + 'K dynamique'!V48 * ((SQRT('Résultats des tournois'!V$2 + 1)/'Résultats des tournois'!V48) - (1 / (1 + 10^((V$103 - lastVal)/400)))))
)
))"),"")</f>
        <v/>
      </c>
      <c r="X48" s="32" t="str">
        <f>IFERROR(__xludf.DUMMYFUNCTION("IF('Résultats des tournois'!W$2=0,"""",LET(
lastVal, INDEX(FILTER($B48:W48, ISNUMBER($B48:W48)), COUNTA(FILTER($B48:W48, ISNUMBER($B48:W48)))),
IFERROR(
IF('Résultats des tournois'!W48="""", INDEX(FILTER($C48:W48, ISNUMBER($C48:W48)), COUNTA(FILTER($C48:W"&amp;"48, ISNUMBER($C48:W48)))),
lastVal + 'K dynamique'!W48 * ((SQRT('Résultats des tournois'!W$2 + 1)/'Résultats des tournois'!W48) - (1 / (1 + 10^((W$103 - lastVal)/400)))))
)
))"),"")</f>
        <v/>
      </c>
      <c r="Y48" s="32" t="str">
        <f>IFERROR(__xludf.DUMMYFUNCTION("IF('Résultats des tournois'!X$2=0,"""",LET(
lastVal, INDEX(FILTER($B48:X48, ISNUMBER($B48:X48)), COUNTA(FILTER($B48:X48, ISNUMBER($B48:X48)))),
IFERROR(
IF('Résultats des tournois'!X48="""", INDEX(FILTER($C48:X48, ISNUMBER($C48:X48)), COUNTA(FILTER($C48:X"&amp;"48, ISNUMBER($C48:X48)))),
lastVal + 'K dynamique'!X48 * ((SQRT('Résultats des tournois'!X$2 + 1)/'Résultats des tournois'!X48) - (1 / (1 + 10^((X$103 - lastVal)/400)))))
)
))"),"")</f>
        <v/>
      </c>
      <c r="Z48" s="32" t="str">
        <f>IFERROR(__xludf.DUMMYFUNCTION("IF('Résultats des tournois'!Y$2=0,"""",LET(
lastVal, INDEX(FILTER($B48:Y48, ISNUMBER($B48:Y48)), COUNTA(FILTER($B48:Y48, ISNUMBER($B48:Y48)))),
IFERROR(
IF('Résultats des tournois'!Y48="""", INDEX(FILTER($C48:Y48, ISNUMBER($C48:Y48)), COUNTA(FILTER($C48:Y"&amp;"48, ISNUMBER($C48:Y48)))),
lastVal + 'K dynamique'!Y48 * ((SQRT('Résultats des tournois'!Y$2 + 1)/'Résultats des tournois'!Y48) - (1 / (1 + 10^((Y$103 - lastVal)/400)))))
)
))"),"")</f>
        <v/>
      </c>
      <c r="AA48" s="32" t="str">
        <f>IFERROR(__xludf.DUMMYFUNCTION("IF('Résultats des tournois'!Z$2=0,"""",LET(
lastVal, INDEX(FILTER($B48:Z48, ISNUMBER($B48:Z48)), COUNTA(FILTER($B48:Z48, ISNUMBER($B48:Z48)))),
IFERROR(
IF('Résultats des tournois'!Z48="""", INDEX(FILTER($C48:Z48, ISNUMBER($C48:Z48)), COUNTA(FILTER($C48:Z"&amp;"48, ISNUMBER($C48:Z48)))),
lastVal + 'K dynamique'!Z48 * ((SQRT('Résultats des tournois'!Z$2 + 1)/'Résultats des tournois'!Z48) - (1 / (1 + 10^((Z$103 - lastVal)/400)))))
)
))"),"")</f>
        <v/>
      </c>
      <c r="AB48" s="32" t="str">
        <f>IFERROR(__xludf.DUMMYFUNCTION("IF('Résultats des tournois'!AA$2=0,"""",LET(
lastVal, INDEX(FILTER($B48:AA48, ISNUMBER($B48:AA48)), COUNTA(FILTER($B48:AA48, ISNUMBER($B48:AA48)))),
IFERROR(
IF('Résultats des tournois'!AA48="""", INDEX(FILTER($C48:AA48, ISNUMBER($C48:AA48)), COUNTA(FILTE"&amp;"R($C48:AA48, ISNUMBER($C48:AA48)))),
lastVal + 'K dynamique'!AA48 * ((SQRT('Résultats des tournois'!AA$2 + 1)/'Résultats des tournois'!AA48) - (1 / (1 + 10^((AA$103 - lastVal)/400)))))
)
))"),"")</f>
        <v/>
      </c>
      <c r="AC48" s="32" t="str">
        <f>IFERROR(__xludf.DUMMYFUNCTION("IF('Résultats des tournois'!AB$2=0,"""",LET(
lastVal, INDEX(FILTER($B48:AB48, ISNUMBER($B48:AB48)), COUNTA(FILTER($B48:AB48, ISNUMBER($B48:AB48)))),
IFERROR(
IF('Résultats des tournois'!AB48="""", INDEX(FILTER($C48:AB48, ISNUMBER($C48:AB48)), COUNTA(FILTE"&amp;"R($C48:AB48, ISNUMBER($C48:AB48)))),
lastVal + 'K dynamique'!AB48 * ((SQRT('Résultats des tournois'!AB$2 + 1)/'Résultats des tournois'!AB48) - (1 / (1 + 10^((AB$103 - lastVal)/400)))))
)
))"),"")</f>
        <v/>
      </c>
      <c r="AD48" s="32" t="str">
        <f>IFERROR(__xludf.DUMMYFUNCTION("IF('Résultats des tournois'!AC$2=0,"""",LET(
lastVal, INDEX(FILTER($B48:AC48, ISNUMBER($B48:AC48)), COUNTA(FILTER($B48:AC48, ISNUMBER($B48:AC48)))),
IFERROR(
IF('Résultats des tournois'!AC48="""", INDEX(FILTER($C48:AC48, ISNUMBER($C48:AC48)), COUNTA(FILTE"&amp;"R($C48:AC48, ISNUMBER($C48:AC48)))),
lastVal + 'K dynamique'!AC48 * ((SQRT('Résultats des tournois'!AC$2 + 1)/'Résultats des tournois'!AC48) - (1 / (1 + 10^((AC$103 - lastVal)/400)))))
)
))"),"")</f>
        <v/>
      </c>
      <c r="AE48" s="32" t="str">
        <f>IFERROR(__xludf.DUMMYFUNCTION("IF('Résultats des tournois'!AD$2=0,"""",LET(
lastVal, INDEX(FILTER($B48:AD48, ISNUMBER($B48:AD48)), COUNTA(FILTER($B48:AD48, ISNUMBER($B48:AD48)))),
IFERROR(
IF('Résultats des tournois'!AD48="""", INDEX(FILTER($C48:AD48, ISNUMBER($C48:AD48)), COUNTA(FILTE"&amp;"R($C48:AD48, ISNUMBER($C48:AD48)))),
lastVal + 'K dynamique'!AD48 * ((SQRT('Résultats des tournois'!AD$2 + 1)/'Résultats des tournois'!AD48) - (1 / (1 + 10^((AD$103 - lastVal)/400)))))
)
))"),"")</f>
        <v/>
      </c>
      <c r="AF48" s="32" t="str">
        <f>IFERROR(__xludf.DUMMYFUNCTION("IF('Résultats des tournois'!AE$2=0,"""",LET(
lastVal, INDEX(FILTER($B48:AE48, ISNUMBER($B48:AE48)), COUNTA(FILTER($B48:AE48, ISNUMBER($B48:AE48)))),
IFERROR(
IF('Résultats des tournois'!AE48="""", INDEX(FILTER($C48:AE48, ISNUMBER($C48:AE48)), COUNTA(FILTE"&amp;"R($C48:AE48, ISNUMBER($C48:AE48)))),
lastVal + 'K dynamique'!AE48 * ((SQRT('Résultats des tournois'!AE$2 + 1)/'Résultats des tournois'!AE48) - (1 / (1 + 10^((AE$103 - lastVal)/400)))))
)
))"),"")</f>
        <v/>
      </c>
      <c r="AG48" s="32" t="str">
        <f>IFERROR(__xludf.DUMMYFUNCTION("IF('Résultats des tournois'!AF$2=0,"""",LET(
lastVal, INDEX(FILTER($B48:AF48, ISNUMBER($B48:AF48)), COUNTA(FILTER($B48:AF48, ISNUMBER($B48:AF48)))),
IFERROR(
IF('Résultats des tournois'!AF48="""", INDEX(FILTER($C48:AF48, ISNUMBER($C48:AF48)), COUNTA(FILTE"&amp;"R($C48:AF48, ISNUMBER($C48:AF48)))),
lastVal + 'K dynamique'!AF48 * ((SQRT('Résultats des tournois'!AF$2 + 1)/'Résultats des tournois'!AF48) - (1 / (1 + 10^((AF$103 - lastVal)/400)))))
)
))"),"")</f>
        <v/>
      </c>
      <c r="AH48" s="32" t="str">
        <f>IFERROR(__xludf.DUMMYFUNCTION("IF('Résultats des tournois'!AG$2=0,"""",LET(
lastVal, INDEX(FILTER($B48:AG48, ISNUMBER($B48:AG48)), COUNTA(FILTER($B48:AG48, ISNUMBER($B48:AG48)))),
IFERROR(
IF('Résultats des tournois'!AG48="""", INDEX(FILTER($C48:AG48, ISNUMBER($C48:AG48)), COUNTA(FILTE"&amp;"R($C48:AG48, ISNUMBER($C48:AG48)))),
lastVal + 'K dynamique'!AG48 * ((SQRT('Résultats des tournois'!AG$2 + 1)/'Résultats des tournois'!AG48) - (1 / (1 + 10^((AG$103 - lastVal)/400)))))
)
))"),"")</f>
        <v/>
      </c>
      <c r="AI48" s="32" t="str">
        <f>IFERROR(__xludf.DUMMYFUNCTION("IF('Résultats des tournois'!AH$2=0,"""",LET(
lastVal, INDEX(FILTER($B48:AH48, ISNUMBER($B48:AH48)), COUNTA(FILTER($B48:AH48, ISNUMBER($B48:AH48)))),
IFERROR(
IF('Résultats des tournois'!AH48="""", INDEX(FILTER($C48:AH48, ISNUMBER($C48:AH48)), COUNTA(FILTE"&amp;"R($C48:AH48, ISNUMBER($C48:AH48)))),
lastVal + 'K dynamique'!AH48 * ((SQRT('Résultats des tournois'!AH$2 + 1)/'Résultats des tournois'!AH48) - (1 / (1 + 10^((AH$103 - lastVal)/400)))))
)
))"),"")</f>
        <v/>
      </c>
      <c r="AJ48" s="32" t="str">
        <f>IFERROR(__xludf.DUMMYFUNCTION("IF('Résultats des tournois'!AI$2=0,"""",LET(
lastVal, INDEX(FILTER($B48:AI48, ISNUMBER($B48:AI48)), COUNTA(FILTER($B48:AI48, ISNUMBER($B48:AI48)))),
IFERROR(
IF('Résultats des tournois'!AI48="""", INDEX(FILTER($C48:AI48, ISNUMBER($C48:AI48)), COUNTA(FILTE"&amp;"R($C48:AI48, ISNUMBER($C48:AI48)))),
lastVal + 'K dynamique'!AI48 * ((SQRT('Résultats des tournois'!AI$2 + 1)/'Résultats des tournois'!AI48) - (1 / (1 + 10^((AI$103 - lastVal)/400)))))
)
))"),"")</f>
        <v/>
      </c>
      <c r="AK48" s="32" t="str">
        <f>IFERROR(__xludf.DUMMYFUNCTION("IF('Résultats des tournois'!AJ$2=0,"""",LET(
lastVal, INDEX(FILTER($B48:AJ48, ISNUMBER($B48:AJ48)), COUNTA(FILTER($B48:AJ48, ISNUMBER($B48:AJ48)))),
IFERROR(
IF('Résultats des tournois'!AJ48="""", INDEX(FILTER($C48:AJ48, ISNUMBER($C48:AJ48)), COUNTA(FILTE"&amp;"R($C48:AJ48, ISNUMBER($C48:AJ48)))),
lastVal + 'K dynamique'!AJ48 * ((SQRT('Résultats des tournois'!AJ$2 + 1)/'Résultats des tournois'!AJ48) - (1 / (1 + 10^((AJ$103 - lastVal)/400)))))
)
))"),"")</f>
        <v/>
      </c>
      <c r="AL48" s="32" t="str">
        <f>IFERROR(__xludf.DUMMYFUNCTION("IF('Résultats des tournois'!AK$2=0,"""",LET(
lastVal, INDEX(FILTER($B48:AK48, ISNUMBER($B48:AK48)), COUNTA(FILTER($B48:AK48, ISNUMBER($B48:AK48)))),
IFERROR(
IF('Résultats des tournois'!AK48="""", INDEX(FILTER($C48:AK48, ISNUMBER($C48:AK48)), COUNTA(FILTE"&amp;"R($C48:AK48, ISNUMBER($C48:AK48)))),
lastVal + 'K dynamique'!AK48 * ((SQRT('Résultats des tournois'!AK$2 + 1)/'Résultats des tournois'!AK48) - (1 / (1 + 10^((AK$103 - lastVal)/400)))))
)
))"),"")</f>
        <v/>
      </c>
      <c r="AM48" s="32" t="str">
        <f>IFERROR(__xludf.DUMMYFUNCTION("IF('Résultats des tournois'!AL$2=0,"""",LET(
lastVal, INDEX(FILTER($B48:AL48, ISNUMBER($B48:AL48)), COUNTA(FILTER($B48:AL48, ISNUMBER($B48:AL48)))),
IFERROR(
IF('Résultats des tournois'!AL48="""", INDEX(FILTER($C48:AL48, ISNUMBER($C48:AL48)), COUNTA(FILTE"&amp;"R($C48:AL48, ISNUMBER($C48:AL48)))),
lastVal + 'K dynamique'!AL48 * ((SQRT('Résultats des tournois'!AL$2 + 1)/'Résultats des tournois'!AL48) - (1 / (1 + 10^((AL$103 - lastVal)/400)))))
)
))"),"")</f>
        <v/>
      </c>
      <c r="AN48" s="32" t="str">
        <f>IFERROR(__xludf.DUMMYFUNCTION("IF('Résultats des tournois'!AM$2=0,"""",LET(
lastVal, INDEX(FILTER($B48:AM48, ISNUMBER($B48:AM48)), COUNTA(FILTER($B48:AM48, ISNUMBER($B48:AM48)))),
IFERROR(
IF('Résultats des tournois'!AM48="""", INDEX(FILTER($C48:AM48, ISNUMBER($C48:AM48)), COUNTA(FILTE"&amp;"R($C48:AM48, ISNUMBER($C48:AM48)))),
lastVal + 'K dynamique'!AM48 * ((SQRT('Résultats des tournois'!AM$2 + 1)/'Résultats des tournois'!AM48) - (1 / (1 + 10^((AM$103 - lastVal)/400)))))
)
))"),"")</f>
        <v/>
      </c>
      <c r="AO48" s="32" t="str">
        <f>IFERROR(__xludf.DUMMYFUNCTION("IF('Résultats des tournois'!AN$2=0,"""",LET(
lastVal, INDEX(FILTER($B48:AN48, ISNUMBER($B48:AN48)), COUNTA(FILTER($B48:AN48, ISNUMBER($B48:AN48)))),
IFERROR(
IF('Résultats des tournois'!AN48="""", INDEX(FILTER($C48:AN48, ISNUMBER($C48:AN48)), COUNTA(FILTE"&amp;"R($C48:AN48, ISNUMBER($C48:AN48)))),
lastVal + 'K dynamique'!AN48 * ((SQRT('Résultats des tournois'!AN$2 + 1)/'Résultats des tournois'!AN48) - (1 / (1 + 10^((AN$103 - lastVal)/400)))))
)
))"),"")</f>
        <v/>
      </c>
      <c r="AP48" s="32" t="str">
        <f>IFERROR(__xludf.DUMMYFUNCTION("IF('Résultats des tournois'!AO$2=0,"""",LET(
lastVal, INDEX(FILTER($B48:AO48, ISNUMBER($B48:AO48)), COUNTA(FILTER($B48:AO48, ISNUMBER($B48:AO48)))),
IFERROR(
IF('Résultats des tournois'!AO48="""", INDEX(FILTER($C48:AO48, ISNUMBER($C48:AO48)), COUNTA(FILTE"&amp;"R($C48:AO48, ISNUMBER($C48:AO48)))),
lastVal + 'K dynamique'!AO48 * ((SQRT('Résultats des tournois'!AO$2 + 1)/'Résultats des tournois'!AO48) - (1 / (1 + 10^((AO$103 - lastVal)/400)))))
)
))"),"")</f>
        <v/>
      </c>
      <c r="AQ48" s="32" t="str">
        <f>IFERROR(__xludf.DUMMYFUNCTION("IF('Résultats des tournois'!AP$2=0,"""",LET(
lastVal, INDEX(FILTER($B48:AP48, ISNUMBER($B48:AP48)), COUNTA(FILTER($B48:AP48, ISNUMBER($B48:AP48)))),
IFERROR(
IF('Résultats des tournois'!AP48="""", INDEX(FILTER($C48:AP48, ISNUMBER($C48:AP48)), COUNTA(FILTE"&amp;"R($C48:AP48, ISNUMBER($C48:AP48)))),
lastVal + 'K dynamique'!AP48 * ((SQRT('Résultats des tournois'!AP$2 + 1)/'Résultats des tournois'!AP48) - (1 / (1 + 10^((AP$103 - lastVal)/400)))))
)
))"),"")</f>
        <v/>
      </c>
      <c r="AR48" s="32" t="str">
        <f>IFERROR(__xludf.DUMMYFUNCTION("IF('Résultats des tournois'!AQ$2=0,"""",LET(
lastVal, INDEX(FILTER($B48:AQ48, ISNUMBER($B48:AQ48)), COUNTA(FILTER($B48:AQ48, ISNUMBER($B48:AQ48)))),
IFERROR(
IF('Résultats des tournois'!AQ48="""", INDEX(FILTER($C48:AQ48, ISNUMBER($C48:AQ48)), COUNTA(FILTE"&amp;"R($C48:AQ48, ISNUMBER($C48:AQ48)))),
lastVal + 'K dynamique'!AQ48 * ((SQRT('Résultats des tournois'!AQ$2 + 1)/'Résultats des tournois'!AQ48) - (1 / (1 + 10^((AQ$103 - lastVal)/400)))))
)
))"),"")</f>
        <v/>
      </c>
      <c r="AS48" s="32" t="str">
        <f>IFERROR(__xludf.DUMMYFUNCTION("IF('Résultats des tournois'!AR$2=0,"""",LET(
lastVal, INDEX(FILTER($B48:AR48, ISNUMBER($B48:AR48)), COUNTA(FILTER($B48:AR48, ISNUMBER($B48:AR48)))),
IFERROR(
IF('Résultats des tournois'!AR48="""", INDEX(FILTER($C48:AR48, ISNUMBER($C48:AR48)), COUNTA(FILTE"&amp;"R($C48:AR48, ISNUMBER($C48:AR48)))),
lastVal + 'K dynamique'!AR48 * ((SQRT('Résultats des tournois'!AR$2 + 1)/'Résultats des tournois'!AR48) - (1 / (1 + 10^((AR$103 - lastVal)/400)))))
)
))"),"")</f>
        <v/>
      </c>
      <c r="AT48" s="32" t="str">
        <f>IFERROR(__xludf.DUMMYFUNCTION("IF('Résultats des tournois'!AS$2=0,"""",LET(
lastVal, INDEX(FILTER($B48:AS48, ISNUMBER($B48:AS48)), COUNTA(FILTER($B48:AS48, ISNUMBER($B48:AS48)))),
IFERROR(
IF('Résultats des tournois'!AS48="""", INDEX(FILTER($C48:AS48, ISNUMBER($C48:AS48)), COUNTA(FILTE"&amp;"R($C48:AS48, ISNUMBER($C48:AS48)))),
lastVal + 'K dynamique'!AS48 * ((SQRT('Résultats des tournois'!AS$2 + 1)/'Résultats des tournois'!AS48) - (1 / (1 + 10^((AS$103 - lastVal)/400)))))
)
))"),"")</f>
        <v/>
      </c>
      <c r="AU48" s="32" t="str">
        <f>IFERROR(__xludf.DUMMYFUNCTION("IF('Résultats des tournois'!AT$2=0,"""",LET(
lastVal, INDEX(FILTER($B48:AT48, ISNUMBER($B48:AT48)), COUNTA(FILTER($B48:AT48, ISNUMBER($B48:AT48)))),
IFERROR(
IF('Résultats des tournois'!AT48="""", INDEX(FILTER($C48:AT48, ISNUMBER($C48:AT48)), COUNTA(FILTE"&amp;"R($C48:AT48, ISNUMBER($C48:AT48)))),
lastVal + 'K dynamique'!AT48 * ((SQRT('Résultats des tournois'!AT$2 + 1)/'Résultats des tournois'!AT48) - (1 / (1 + 10^((AT$103 - lastVal)/400)))))
)
))"),"")</f>
        <v/>
      </c>
      <c r="AV48" s="32" t="str">
        <f>IFERROR(__xludf.DUMMYFUNCTION("IF('Résultats des tournois'!AU$2=0,"""",LET(
lastVal, INDEX(FILTER($B48:AU48, ISNUMBER($B48:AU48)), COUNTA(FILTER($B48:AU48, ISNUMBER($B48:AU48)))),
IFERROR(
IF('Résultats des tournois'!AU48="""", INDEX(FILTER($C48:AU48, ISNUMBER($C48:AU48)), COUNTA(FILTE"&amp;"R($C48:AU48, ISNUMBER($C48:AU48)))),
lastVal + 'K dynamique'!AU48 * ((SQRT('Résultats des tournois'!AU$2 + 1)/'Résultats des tournois'!AU48) - (1 / (1 + 10^((AU$103 - lastVal)/400)))))
)
))"),"")</f>
        <v/>
      </c>
      <c r="AW48" s="32" t="str">
        <f>IFERROR(__xludf.DUMMYFUNCTION("IF('Résultats des tournois'!AV$2=0,"""",LET(
lastVal, INDEX(FILTER($B48:AV48, ISNUMBER($B48:AV48)), COUNTA(FILTER($B48:AV48, ISNUMBER($B48:AV48)))),
IFERROR(
IF('Résultats des tournois'!AV48="""", INDEX(FILTER($C48:AV48, ISNUMBER($C48:AV48)), COUNTA(FILTE"&amp;"R($C48:AV48, ISNUMBER($C48:AV48)))),
lastVal + 'K dynamique'!AV48 * ((SQRT('Résultats des tournois'!AV$2 + 1)/'Résultats des tournois'!AV48) - (1 / (1 + 10^((AV$103 - lastVal)/400)))))
)
))"),"")</f>
        <v/>
      </c>
      <c r="AX48" s="32" t="str">
        <f>IFERROR(__xludf.DUMMYFUNCTION("IF('Résultats des tournois'!AW$2=0,"""",LET(
lastVal, INDEX(FILTER($B48:AW48, ISNUMBER($B48:AW48)), COUNTA(FILTER($B48:AW48, ISNUMBER($B48:AW48)))),
IFERROR(
IF('Résultats des tournois'!AW48="""", INDEX(FILTER($C48:AW48, ISNUMBER($C48:AW48)), COUNTA(FILTE"&amp;"R($C48:AW48, ISNUMBER($C48:AW48)))),
lastVal + 'K dynamique'!AW48 * ((SQRT('Résultats des tournois'!AW$2 + 1)/'Résultats des tournois'!AW48) - (1 / (1 + 10^((AW$103 - lastVal)/400)))))
)
))"),"")</f>
        <v/>
      </c>
      <c r="AY48" s="32" t="str">
        <f>IFERROR(__xludf.DUMMYFUNCTION("IF('Résultats des tournois'!AX$2=0,"""",LET(
lastVal, INDEX(FILTER($B48:AX48, ISNUMBER($B48:AX48)), COUNTA(FILTER($B48:AX48, ISNUMBER($B48:AX48)))),
IFERROR(
IF('Résultats des tournois'!AX48="""", INDEX(FILTER($C48:AX48, ISNUMBER($C48:AX48)), COUNTA(FILTE"&amp;"R($C48:AX48, ISNUMBER($C48:AX48)))),
lastVal + 'K dynamique'!AX48 * ((SQRT('Résultats des tournois'!AX$2 + 1)/'Résultats des tournois'!AX48) - (1 / (1 + 10^((AX$103 - lastVal)/400)))))
)
))"),"")</f>
        <v/>
      </c>
      <c r="AZ48" s="4" t="str">
        <f t="array" ref="AZ48">IF(MAX(($C48:AY48&lt;&gt;"")*COLUMN($C48:AY48))=0,"",INDEX($C48:AY48,1,MAX(($C48:AY48&lt;&gt;"")*COLUMN($C48:AY48))-COLUMN($C48)+1))</f>
        <v/>
      </c>
      <c r="BA48" s="33" t="str">
        <f t="shared" si="1"/>
        <v/>
      </c>
    </row>
    <row r="49" ht="14.25" customHeight="1">
      <c r="A49" s="32" t="str">
        <f>IF('Résultats des tournois'!A49="","",'Résultats des tournois'!A49)</f>
        <v/>
      </c>
      <c r="B49" s="32">
        <v>1500.0</v>
      </c>
      <c r="C49" s="32" t="str">
        <f>IF('Résultats des tournois'!B49="","",B49+'K dynamique'!B49*((SQRT('Résultats des tournois'!B$2+1)/'Résultats des tournois'!B49)-(1/(1+10^((B49-B49)/400)))))</f>
        <v/>
      </c>
      <c r="D49" s="32" t="str">
        <f>IFERROR(__xludf.DUMMYFUNCTION("IF('Résultats des tournois'!C$2=0,"""",LET(
lastVal, INDEX(FILTER($B49:C49, ISNUMBER($B49:C49)), COUNTA(FILTER($B49:C49, ISNUMBER($B49:C49)))),
IFERROR(
IF('Résultats des tournois'!C49="""", INDEX(FILTER($C49:C49, ISNUMBER($C49:C49)), COUNTA(FILTER($C49:C"&amp;"49, ISNUMBER($C49:C49)))),
lastVal + 'K dynamique'!C49 * ((SQRT('Résultats des tournois'!C$2 + 1)/'Résultats des tournois'!C49) - (1 / (1 + 10^((C$103 - lastVal)/400)))))
)
))"),"")</f>
        <v/>
      </c>
      <c r="E49" s="32" t="str">
        <f>IFERROR(__xludf.DUMMYFUNCTION("IF('Résultats des tournois'!D$2=0,"""",LET(
lastVal, INDEX(FILTER($B49:D49, ISNUMBER($B49:D49)), COUNTA(FILTER($B49:D49, ISNUMBER($B49:D49)))),
IFERROR(
IF('Résultats des tournois'!D49="""", INDEX(FILTER($C49:D49, ISNUMBER($C49:D49)), COUNTA(FILTER($C49:D"&amp;"49, ISNUMBER($C49:D49)))),
lastVal + 'K dynamique'!D49 * ((SQRT('Résultats des tournois'!D$2 + 1)/'Résultats des tournois'!D49) - (1 / (1 + 10^((D$103 - lastVal)/400)))))
)
))"),"")</f>
        <v/>
      </c>
      <c r="F49" s="32" t="str">
        <f>IFERROR(__xludf.DUMMYFUNCTION("IF('Résultats des tournois'!E$2=0,"""",LET(
lastVal, INDEX(FILTER($B49:E49, ISNUMBER($B49:E49)), COUNTA(FILTER($B49:E49, ISNUMBER($B49:E49)))),
IFERROR(
IF('Résultats des tournois'!E49="""", INDEX(FILTER($C49:E49, ISNUMBER($C49:E49)), COUNTA(FILTER($C49:E"&amp;"49, ISNUMBER($C49:E49)))),
lastVal + 'K dynamique'!E49 * ((SQRT('Résultats des tournois'!E$2 + 1)/'Résultats des tournois'!E49) - (1 / (1 + 10^((E$103 - lastVal)/400)))))
)
))"),"")</f>
        <v/>
      </c>
      <c r="G49" s="32" t="str">
        <f>IFERROR(__xludf.DUMMYFUNCTION("IF('Résultats des tournois'!F$2=0,"""",LET(
lastVal, INDEX(FILTER($B49:F49, ISNUMBER($B49:F49)), COUNTA(FILTER($B49:F49, ISNUMBER($B49:F49)))),
IFERROR(
IF('Résultats des tournois'!F49="""", INDEX(FILTER($C49:F49, ISNUMBER($C49:F49)), COUNTA(FILTER($C49:F"&amp;"49, ISNUMBER($C49:F49)))),
lastVal + 'K dynamique'!F49 * ((SQRT('Résultats des tournois'!F$2 + 1)/'Résultats des tournois'!F49) - (1 / (1 + 10^((F$103 - lastVal)/400)))))
)
))"),"")</f>
        <v/>
      </c>
      <c r="H49" s="32" t="str">
        <f>IFERROR(__xludf.DUMMYFUNCTION("IF('Résultats des tournois'!G$2=0,"""",LET(
lastVal, INDEX(FILTER($B49:G49, ISNUMBER($B49:G49)), COUNTA(FILTER($B49:G49, ISNUMBER($B49:G49)))),
IFERROR(
IF('Résultats des tournois'!G49="""", INDEX(FILTER($C49:G49, ISNUMBER($C49:G49)), COUNTA(FILTER($C49:G"&amp;"49, ISNUMBER($C49:G49)))),
lastVal + 'K dynamique'!G49 * ((SQRT('Résultats des tournois'!G$2 + 1)/'Résultats des tournois'!G49) - (1 / (1 + 10^((G$103 - lastVal)/400)))))
)
))"),"")</f>
        <v/>
      </c>
      <c r="I49" s="32" t="str">
        <f>IFERROR(__xludf.DUMMYFUNCTION("IF('Résultats des tournois'!H$2=0,"""",LET(
lastVal, INDEX(FILTER($B49:H49, ISNUMBER($B49:H49)), COUNTA(FILTER($B49:H49, ISNUMBER($B49:H49)))),
IFERROR(
IF('Résultats des tournois'!H49="""", INDEX(FILTER($C49:H49, ISNUMBER($C49:H49)), COUNTA(FILTER($C49:H"&amp;"49, ISNUMBER($C49:H49)))),
lastVal + 'K dynamique'!H49 * ((SQRT('Résultats des tournois'!H$2 + 1)/'Résultats des tournois'!H49) - (1 / (1 + 10^((H$103 - lastVal)/400)))))
)
))"),"")</f>
        <v/>
      </c>
      <c r="J49" s="32" t="str">
        <f>IFERROR(__xludf.DUMMYFUNCTION("IF('Résultats des tournois'!I$2=0,"""",LET(
lastVal, INDEX(FILTER($B49:I49, ISNUMBER($B49:I49)), COUNTA(FILTER($B49:I49, ISNUMBER($B49:I49)))),
IFERROR(
IF('Résultats des tournois'!I49="""", INDEX(FILTER($C49:I49, ISNUMBER($C49:I49)), COUNTA(FILTER($C49:I"&amp;"49, ISNUMBER($C49:I49)))),
lastVal + 'K dynamique'!I49 * ((SQRT('Résultats des tournois'!I$2 + 1)/'Résultats des tournois'!I49) - (1 / (1 + 10^((I$103 - lastVal)/400)))))
)
))"),"")</f>
        <v/>
      </c>
      <c r="K49" s="32" t="str">
        <f>IFERROR(__xludf.DUMMYFUNCTION("IF('Résultats des tournois'!J$2=0,"""",LET(
lastVal, INDEX(FILTER($B49:J49, ISNUMBER($B49:J49)), COUNTA(FILTER($B49:J49, ISNUMBER($B49:J49)))),
IFERROR(
IF('Résultats des tournois'!J49="""", INDEX(FILTER($C49:J49, ISNUMBER($C49:J49)), COUNTA(FILTER($C49:J"&amp;"49, ISNUMBER($C49:J49)))),
lastVal + 'K dynamique'!J49 * ((SQRT('Résultats des tournois'!J$2 + 1)/'Résultats des tournois'!J49) - (1 / (1 + 10^((J$103 - lastVal)/400)))))
)
))"),"")</f>
        <v/>
      </c>
      <c r="L49" s="32" t="str">
        <f>IFERROR(__xludf.DUMMYFUNCTION("IF('Résultats des tournois'!K$2=0,"""",LET(
lastVal, INDEX(FILTER($B49:K49, ISNUMBER($B49:K49)), COUNTA(FILTER($B49:K49, ISNUMBER($B49:K49)))),
IFERROR(
IF('Résultats des tournois'!K49="""", INDEX(FILTER($C49:K49, ISNUMBER($C49:K49)), COUNTA(FILTER($C49:K"&amp;"49, ISNUMBER($C49:K49)))),
lastVal + 'K dynamique'!K49 * ((SQRT('Résultats des tournois'!K$2 + 1)/'Résultats des tournois'!K49) - (1 / (1 + 10^((K$103 - lastVal)/400)))))
)
))"),"")</f>
        <v/>
      </c>
      <c r="M49" s="32" t="str">
        <f>IFERROR(__xludf.DUMMYFUNCTION("IF('Résultats des tournois'!L$2=0,"""",LET(
lastVal, INDEX(FILTER($B49:L49, ISNUMBER($B49:L49)), COUNTA(FILTER($B49:L49, ISNUMBER($B49:L49)))),
IFERROR(
IF('Résultats des tournois'!L49="""", INDEX(FILTER($C49:L49, ISNUMBER($C49:L49)), COUNTA(FILTER($C49:L"&amp;"49, ISNUMBER($C49:L49)))),
lastVal + 'K dynamique'!L49 * ((SQRT('Résultats des tournois'!L$2 + 1)/'Résultats des tournois'!L49) - (1 / (1 + 10^((L$103 - lastVal)/400)))))
)
))"),"")</f>
        <v/>
      </c>
      <c r="N49" s="32" t="str">
        <f>IFERROR(__xludf.DUMMYFUNCTION("IF('Résultats des tournois'!M$2=0,"""",LET(
lastVal, INDEX(FILTER($B49:M49, ISNUMBER($B49:M49)), COUNTA(FILTER($B49:M49, ISNUMBER($B49:M49)))),
IFERROR(
IF('Résultats des tournois'!M49="""", INDEX(FILTER($C49:M49, ISNUMBER($C49:M49)), COUNTA(FILTER($C49:M"&amp;"49, ISNUMBER($C49:M49)))),
lastVal + 'K dynamique'!M49 * ((SQRT('Résultats des tournois'!M$2 + 1)/'Résultats des tournois'!M49) - (1 / (1 + 10^((M$103 - lastVal)/400)))))
)
))"),"")</f>
        <v/>
      </c>
      <c r="O49" s="32" t="str">
        <f>IFERROR(__xludf.DUMMYFUNCTION("IF('Résultats des tournois'!N$2=0,"""",LET(
lastVal, INDEX(FILTER($B49:N49, ISNUMBER($B49:N49)), COUNTA(FILTER($B49:N49, ISNUMBER($B49:N49)))),
IFERROR(
IF('Résultats des tournois'!N49="""", INDEX(FILTER($C49:N49, ISNUMBER($C49:N49)), COUNTA(FILTER($C49:N"&amp;"49, ISNUMBER($C49:N49)))),
lastVal + 'K dynamique'!N49 * ((SQRT('Résultats des tournois'!N$2 + 1)/'Résultats des tournois'!N49) - (1 / (1 + 10^((N$103 - lastVal)/400)))))
)
))"),"")</f>
        <v/>
      </c>
      <c r="P49" s="32" t="str">
        <f>IFERROR(__xludf.DUMMYFUNCTION("IF('Résultats des tournois'!O$2=0,"""",LET(
lastVal, INDEX(FILTER($B49:O49, ISNUMBER($B49:O49)), COUNTA(FILTER($B49:O49, ISNUMBER($B49:O49)))),
IFERROR(
IF('Résultats des tournois'!O49="""", INDEX(FILTER($C49:O49, ISNUMBER($C49:O49)), COUNTA(FILTER($C49:O"&amp;"49, ISNUMBER($C49:O49)))),
lastVal + 'K dynamique'!O49 * ((SQRT('Résultats des tournois'!O$2 + 1)/'Résultats des tournois'!O49) - (1 / (1 + 10^((O$103 - lastVal)/400)))))
)
))"),"")</f>
        <v/>
      </c>
      <c r="Q49" s="32" t="str">
        <f>IFERROR(__xludf.DUMMYFUNCTION("IF('Résultats des tournois'!P$2=0,"""",LET(
lastVal, INDEX(FILTER($B49:P49, ISNUMBER($B49:P49)), COUNTA(FILTER($B49:P49, ISNUMBER($B49:P49)))),
IFERROR(
IF('Résultats des tournois'!P49="""", INDEX(FILTER($C49:P49, ISNUMBER($C49:P49)), COUNTA(FILTER($C49:P"&amp;"49, ISNUMBER($C49:P49)))),
lastVal + 'K dynamique'!P49 * ((SQRT('Résultats des tournois'!P$2 + 1)/'Résultats des tournois'!P49) - (1 / (1 + 10^((P$103 - lastVal)/400)))))
)
))"),"")</f>
        <v/>
      </c>
      <c r="R49" s="32" t="str">
        <f>IFERROR(__xludf.DUMMYFUNCTION("IF('Résultats des tournois'!Q$2=0,"""",LET(
lastVal, INDEX(FILTER($B49:Q49, ISNUMBER($B49:Q49)), COUNTA(FILTER($B49:Q49, ISNUMBER($B49:Q49)))),
IFERROR(
IF('Résultats des tournois'!Q49="""", INDEX(FILTER($C49:Q49, ISNUMBER($C49:Q49)), COUNTA(FILTER($C49:Q"&amp;"49, ISNUMBER($C49:Q49)))),
lastVal + 'K dynamique'!Q49 * ((SQRT('Résultats des tournois'!Q$2 + 1)/'Résultats des tournois'!Q49) - (1 / (1 + 10^((Q$103 - lastVal)/400)))))
)
))"),"")</f>
        <v/>
      </c>
      <c r="S49" s="32" t="str">
        <f>IFERROR(__xludf.DUMMYFUNCTION("IF('Résultats des tournois'!R$2=0,"""",LET(
lastVal, INDEX(FILTER($B49:R49, ISNUMBER($B49:R49)), COUNTA(FILTER($B49:R49, ISNUMBER($B49:R49)))),
IFERROR(
IF('Résultats des tournois'!R49="""", INDEX(FILTER($C49:R49, ISNUMBER($C49:R49)), COUNTA(FILTER($C49:R"&amp;"49, ISNUMBER($C49:R49)))),
lastVal + 'K dynamique'!R49 * ((SQRT('Résultats des tournois'!R$2 + 1)/'Résultats des tournois'!R49) - (1 / (1 + 10^((R$103 - lastVal)/400)))))
)
))"),"")</f>
        <v/>
      </c>
      <c r="T49" s="32" t="str">
        <f>IFERROR(__xludf.DUMMYFUNCTION("IF('Résultats des tournois'!S$2=0,"""",LET(
lastVal, INDEX(FILTER($B49:S49, ISNUMBER($B49:S49)), COUNTA(FILTER($B49:S49, ISNUMBER($B49:S49)))),
IFERROR(
IF('Résultats des tournois'!S49="""", INDEX(FILTER($C49:S49, ISNUMBER($C49:S49)), COUNTA(FILTER($C49:S"&amp;"49, ISNUMBER($C49:S49)))),
lastVal + 'K dynamique'!S49 * ((SQRT('Résultats des tournois'!S$2 + 1)/'Résultats des tournois'!S49) - (1 / (1 + 10^((S$103 - lastVal)/400)))))
)
))"),"")</f>
        <v/>
      </c>
      <c r="U49" s="32" t="str">
        <f>IFERROR(__xludf.DUMMYFUNCTION("IF('Résultats des tournois'!T$2=0,"""",LET(
lastVal, INDEX(FILTER($B49:T49, ISNUMBER($B49:T49)), COUNTA(FILTER($B49:T49, ISNUMBER($B49:T49)))),
IFERROR(
IF('Résultats des tournois'!T49="""", INDEX(FILTER($C49:T49, ISNUMBER($C49:T49)), COUNTA(FILTER($C49:T"&amp;"49, ISNUMBER($C49:T49)))),
lastVal + 'K dynamique'!T49 * ((SQRT('Résultats des tournois'!T$2 + 1)/'Résultats des tournois'!T49) - (1 / (1 + 10^((T$103 - lastVal)/400)))))
)
))"),"")</f>
        <v/>
      </c>
      <c r="V49" s="32" t="str">
        <f>IFERROR(__xludf.DUMMYFUNCTION("IF('Résultats des tournois'!U$2=0,"""",LET(
lastVal, INDEX(FILTER($B49:U49, ISNUMBER($B49:U49)), COUNTA(FILTER($B49:U49, ISNUMBER($B49:U49)))),
IFERROR(
IF('Résultats des tournois'!U49="""", INDEX(FILTER($C49:U49, ISNUMBER($C49:U49)), COUNTA(FILTER($C49:U"&amp;"49, ISNUMBER($C49:U49)))),
lastVal + 'K dynamique'!U49 * ((SQRT('Résultats des tournois'!U$2 + 1)/'Résultats des tournois'!U49) - (1 / (1 + 10^((U$103 - lastVal)/400)))))
)
))"),"")</f>
        <v/>
      </c>
      <c r="W49" s="32" t="str">
        <f>IFERROR(__xludf.DUMMYFUNCTION("IF('Résultats des tournois'!V$2=0,"""",LET(
lastVal, INDEX(FILTER($B49:V49, ISNUMBER($B49:V49)), COUNTA(FILTER($B49:V49, ISNUMBER($B49:V49)))),
IFERROR(
IF('Résultats des tournois'!V49="""", INDEX(FILTER($C49:V49, ISNUMBER($C49:V49)), COUNTA(FILTER($C49:V"&amp;"49, ISNUMBER($C49:V49)))),
lastVal + 'K dynamique'!V49 * ((SQRT('Résultats des tournois'!V$2 + 1)/'Résultats des tournois'!V49) - (1 / (1 + 10^((V$103 - lastVal)/400)))))
)
))"),"")</f>
        <v/>
      </c>
      <c r="X49" s="32" t="str">
        <f>IFERROR(__xludf.DUMMYFUNCTION("IF('Résultats des tournois'!W$2=0,"""",LET(
lastVal, INDEX(FILTER($B49:W49, ISNUMBER($B49:W49)), COUNTA(FILTER($B49:W49, ISNUMBER($B49:W49)))),
IFERROR(
IF('Résultats des tournois'!W49="""", INDEX(FILTER($C49:W49, ISNUMBER($C49:W49)), COUNTA(FILTER($C49:W"&amp;"49, ISNUMBER($C49:W49)))),
lastVal + 'K dynamique'!W49 * ((SQRT('Résultats des tournois'!W$2 + 1)/'Résultats des tournois'!W49) - (1 / (1 + 10^((W$103 - lastVal)/400)))))
)
))"),"")</f>
        <v/>
      </c>
      <c r="Y49" s="32" t="str">
        <f>IFERROR(__xludf.DUMMYFUNCTION("IF('Résultats des tournois'!X$2=0,"""",LET(
lastVal, INDEX(FILTER($B49:X49, ISNUMBER($B49:X49)), COUNTA(FILTER($B49:X49, ISNUMBER($B49:X49)))),
IFERROR(
IF('Résultats des tournois'!X49="""", INDEX(FILTER($C49:X49, ISNUMBER($C49:X49)), COUNTA(FILTER($C49:X"&amp;"49, ISNUMBER($C49:X49)))),
lastVal + 'K dynamique'!X49 * ((SQRT('Résultats des tournois'!X$2 + 1)/'Résultats des tournois'!X49) - (1 / (1 + 10^((X$103 - lastVal)/400)))))
)
))"),"")</f>
        <v/>
      </c>
      <c r="Z49" s="32" t="str">
        <f>IFERROR(__xludf.DUMMYFUNCTION("IF('Résultats des tournois'!Y$2=0,"""",LET(
lastVal, INDEX(FILTER($B49:Y49, ISNUMBER($B49:Y49)), COUNTA(FILTER($B49:Y49, ISNUMBER($B49:Y49)))),
IFERROR(
IF('Résultats des tournois'!Y49="""", INDEX(FILTER($C49:Y49, ISNUMBER($C49:Y49)), COUNTA(FILTER($C49:Y"&amp;"49, ISNUMBER($C49:Y49)))),
lastVal + 'K dynamique'!Y49 * ((SQRT('Résultats des tournois'!Y$2 + 1)/'Résultats des tournois'!Y49) - (1 / (1 + 10^((Y$103 - lastVal)/400)))))
)
))"),"")</f>
        <v/>
      </c>
      <c r="AA49" s="32" t="str">
        <f>IFERROR(__xludf.DUMMYFUNCTION("IF('Résultats des tournois'!Z$2=0,"""",LET(
lastVal, INDEX(FILTER($B49:Z49, ISNUMBER($B49:Z49)), COUNTA(FILTER($B49:Z49, ISNUMBER($B49:Z49)))),
IFERROR(
IF('Résultats des tournois'!Z49="""", INDEX(FILTER($C49:Z49, ISNUMBER($C49:Z49)), COUNTA(FILTER($C49:Z"&amp;"49, ISNUMBER($C49:Z49)))),
lastVal + 'K dynamique'!Z49 * ((SQRT('Résultats des tournois'!Z$2 + 1)/'Résultats des tournois'!Z49) - (1 / (1 + 10^((Z$103 - lastVal)/400)))))
)
))"),"")</f>
        <v/>
      </c>
      <c r="AB49" s="32" t="str">
        <f>IFERROR(__xludf.DUMMYFUNCTION("IF('Résultats des tournois'!AA$2=0,"""",LET(
lastVal, INDEX(FILTER($B49:AA49, ISNUMBER($B49:AA49)), COUNTA(FILTER($B49:AA49, ISNUMBER($B49:AA49)))),
IFERROR(
IF('Résultats des tournois'!AA49="""", INDEX(FILTER($C49:AA49, ISNUMBER($C49:AA49)), COUNTA(FILTE"&amp;"R($C49:AA49, ISNUMBER($C49:AA49)))),
lastVal + 'K dynamique'!AA49 * ((SQRT('Résultats des tournois'!AA$2 + 1)/'Résultats des tournois'!AA49) - (1 / (1 + 10^((AA$103 - lastVal)/400)))))
)
))"),"")</f>
        <v/>
      </c>
      <c r="AC49" s="32" t="str">
        <f>IFERROR(__xludf.DUMMYFUNCTION("IF('Résultats des tournois'!AB$2=0,"""",LET(
lastVal, INDEX(FILTER($B49:AB49, ISNUMBER($B49:AB49)), COUNTA(FILTER($B49:AB49, ISNUMBER($B49:AB49)))),
IFERROR(
IF('Résultats des tournois'!AB49="""", INDEX(FILTER($C49:AB49, ISNUMBER($C49:AB49)), COUNTA(FILTE"&amp;"R($C49:AB49, ISNUMBER($C49:AB49)))),
lastVal + 'K dynamique'!AB49 * ((SQRT('Résultats des tournois'!AB$2 + 1)/'Résultats des tournois'!AB49) - (1 / (1 + 10^((AB$103 - lastVal)/400)))))
)
))"),"")</f>
        <v/>
      </c>
      <c r="AD49" s="32" t="str">
        <f>IFERROR(__xludf.DUMMYFUNCTION("IF('Résultats des tournois'!AC$2=0,"""",LET(
lastVal, INDEX(FILTER($B49:AC49, ISNUMBER($B49:AC49)), COUNTA(FILTER($B49:AC49, ISNUMBER($B49:AC49)))),
IFERROR(
IF('Résultats des tournois'!AC49="""", INDEX(FILTER($C49:AC49, ISNUMBER($C49:AC49)), COUNTA(FILTE"&amp;"R($C49:AC49, ISNUMBER($C49:AC49)))),
lastVal + 'K dynamique'!AC49 * ((SQRT('Résultats des tournois'!AC$2 + 1)/'Résultats des tournois'!AC49) - (1 / (1 + 10^((AC$103 - lastVal)/400)))))
)
))"),"")</f>
        <v/>
      </c>
      <c r="AE49" s="32" t="str">
        <f>IFERROR(__xludf.DUMMYFUNCTION("IF('Résultats des tournois'!AD$2=0,"""",LET(
lastVal, INDEX(FILTER($B49:AD49, ISNUMBER($B49:AD49)), COUNTA(FILTER($B49:AD49, ISNUMBER($B49:AD49)))),
IFERROR(
IF('Résultats des tournois'!AD49="""", INDEX(FILTER($C49:AD49, ISNUMBER($C49:AD49)), COUNTA(FILTE"&amp;"R($C49:AD49, ISNUMBER($C49:AD49)))),
lastVal + 'K dynamique'!AD49 * ((SQRT('Résultats des tournois'!AD$2 + 1)/'Résultats des tournois'!AD49) - (1 / (1 + 10^((AD$103 - lastVal)/400)))))
)
))"),"")</f>
        <v/>
      </c>
      <c r="AF49" s="32" t="str">
        <f>IFERROR(__xludf.DUMMYFUNCTION("IF('Résultats des tournois'!AE$2=0,"""",LET(
lastVal, INDEX(FILTER($B49:AE49, ISNUMBER($B49:AE49)), COUNTA(FILTER($B49:AE49, ISNUMBER($B49:AE49)))),
IFERROR(
IF('Résultats des tournois'!AE49="""", INDEX(FILTER($C49:AE49, ISNUMBER($C49:AE49)), COUNTA(FILTE"&amp;"R($C49:AE49, ISNUMBER($C49:AE49)))),
lastVal + 'K dynamique'!AE49 * ((SQRT('Résultats des tournois'!AE$2 + 1)/'Résultats des tournois'!AE49) - (1 / (1 + 10^((AE$103 - lastVal)/400)))))
)
))"),"")</f>
        <v/>
      </c>
      <c r="AG49" s="32" t="str">
        <f>IFERROR(__xludf.DUMMYFUNCTION("IF('Résultats des tournois'!AF$2=0,"""",LET(
lastVal, INDEX(FILTER($B49:AF49, ISNUMBER($B49:AF49)), COUNTA(FILTER($B49:AF49, ISNUMBER($B49:AF49)))),
IFERROR(
IF('Résultats des tournois'!AF49="""", INDEX(FILTER($C49:AF49, ISNUMBER($C49:AF49)), COUNTA(FILTE"&amp;"R($C49:AF49, ISNUMBER($C49:AF49)))),
lastVal + 'K dynamique'!AF49 * ((SQRT('Résultats des tournois'!AF$2 + 1)/'Résultats des tournois'!AF49) - (1 / (1 + 10^((AF$103 - lastVal)/400)))))
)
))"),"")</f>
        <v/>
      </c>
      <c r="AH49" s="32" t="str">
        <f>IFERROR(__xludf.DUMMYFUNCTION("IF('Résultats des tournois'!AG$2=0,"""",LET(
lastVal, INDEX(FILTER($B49:AG49, ISNUMBER($B49:AG49)), COUNTA(FILTER($B49:AG49, ISNUMBER($B49:AG49)))),
IFERROR(
IF('Résultats des tournois'!AG49="""", INDEX(FILTER($C49:AG49, ISNUMBER($C49:AG49)), COUNTA(FILTE"&amp;"R($C49:AG49, ISNUMBER($C49:AG49)))),
lastVal + 'K dynamique'!AG49 * ((SQRT('Résultats des tournois'!AG$2 + 1)/'Résultats des tournois'!AG49) - (1 / (1 + 10^((AG$103 - lastVal)/400)))))
)
))"),"")</f>
        <v/>
      </c>
      <c r="AI49" s="32" t="str">
        <f>IFERROR(__xludf.DUMMYFUNCTION("IF('Résultats des tournois'!AH$2=0,"""",LET(
lastVal, INDEX(FILTER($B49:AH49, ISNUMBER($B49:AH49)), COUNTA(FILTER($B49:AH49, ISNUMBER($B49:AH49)))),
IFERROR(
IF('Résultats des tournois'!AH49="""", INDEX(FILTER($C49:AH49, ISNUMBER($C49:AH49)), COUNTA(FILTE"&amp;"R($C49:AH49, ISNUMBER($C49:AH49)))),
lastVal + 'K dynamique'!AH49 * ((SQRT('Résultats des tournois'!AH$2 + 1)/'Résultats des tournois'!AH49) - (1 / (1 + 10^((AH$103 - lastVal)/400)))))
)
))"),"")</f>
        <v/>
      </c>
      <c r="AJ49" s="32" t="str">
        <f>IFERROR(__xludf.DUMMYFUNCTION("IF('Résultats des tournois'!AI$2=0,"""",LET(
lastVal, INDEX(FILTER($B49:AI49, ISNUMBER($B49:AI49)), COUNTA(FILTER($B49:AI49, ISNUMBER($B49:AI49)))),
IFERROR(
IF('Résultats des tournois'!AI49="""", INDEX(FILTER($C49:AI49, ISNUMBER($C49:AI49)), COUNTA(FILTE"&amp;"R($C49:AI49, ISNUMBER($C49:AI49)))),
lastVal + 'K dynamique'!AI49 * ((SQRT('Résultats des tournois'!AI$2 + 1)/'Résultats des tournois'!AI49) - (1 / (1 + 10^((AI$103 - lastVal)/400)))))
)
))"),"")</f>
        <v/>
      </c>
      <c r="AK49" s="32" t="str">
        <f>IFERROR(__xludf.DUMMYFUNCTION("IF('Résultats des tournois'!AJ$2=0,"""",LET(
lastVal, INDEX(FILTER($B49:AJ49, ISNUMBER($B49:AJ49)), COUNTA(FILTER($B49:AJ49, ISNUMBER($B49:AJ49)))),
IFERROR(
IF('Résultats des tournois'!AJ49="""", INDEX(FILTER($C49:AJ49, ISNUMBER($C49:AJ49)), COUNTA(FILTE"&amp;"R($C49:AJ49, ISNUMBER($C49:AJ49)))),
lastVal + 'K dynamique'!AJ49 * ((SQRT('Résultats des tournois'!AJ$2 + 1)/'Résultats des tournois'!AJ49) - (1 / (1 + 10^((AJ$103 - lastVal)/400)))))
)
))"),"")</f>
        <v/>
      </c>
      <c r="AL49" s="32" t="str">
        <f>IFERROR(__xludf.DUMMYFUNCTION("IF('Résultats des tournois'!AK$2=0,"""",LET(
lastVal, INDEX(FILTER($B49:AK49, ISNUMBER($B49:AK49)), COUNTA(FILTER($B49:AK49, ISNUMBER($B49:AK49)))),
IFERROR(
IF('Résultats des tournois'!AK49="""", INDEX(FILTER($C49:AK49, ISNUMBER($C49:AK49)), COUNTA(FILTE"&amp;"R($C49:AK49, ISNUMBER($C49:AK49)))),
lastVal + 'K dynamique'!AK49 * ((SQRT('Résultats des tournois'!AK$2 + 1)/'Résultats des tournois'!AK49) - (1 / (1 + 10^((AK$103 - lastVal)/400)))))
)
))"),"")</f>
        <v/>
      </c>
      <c r="AM49" s="32" t="str">
        <f>IFERROR(__xludf.DUMMYFUNCTION("IF('Résultats des tournois'!AL$2=0,"""",LET(
lastVal, INDEX(FILTER($B49:AL49, ISNUMBER($B49:AL49)), COUNTA(FILTER($B49:AL49, ISNUMBER($B49:AL49)))),
IFERROR(
IF('Résultats des tournois'!AL49="""", INDEX(FILTER($C49:AL49, ISNUMBER($C49:AL49)), COUNTA(FILTE"&amp;"R($C49:AL49, ISNUMBER($C49:AL49)))),
lastVal + 'K dynamique'!AL49 * ((SQRT('Résultats des tournois'!AL$2 + 1)/'Résultats des tournois'!AL49) - (1 / (1 + 10^((AL$103 - lastVal)/400)))))
)
))"),"")</f>
        <v/>
      </c>
      <c r="AN49" s="32" t="str">
        <f>IFERROR(__xludf.DUMMYFUNCTION("IF('Résultats des tournois'!AM$2=0,"""",LET(
lastVal, INDEX(FILTER($B49:AM49, ISNUMBER($B49:AM49)), COUNTA(FILTER($B49:AM49, ISNUMBER($B49:AM49)))),
IFERROR(
IF('Résultats des tournois'!AM49="""", INDEX(FILTER($C49:AM49, ISNUMBER($C49:AM49)), COUNTA(FILTE"&amp;"R($C49:AM49, ISNUMBER($C49:AM49)))),
lastVal + 'K dynamique'!AM49 * ((SQRT('Résultats des tournois'!AM$2 + 1)/'Résultats des tournois'!AM49) - (1 / (1 + 10^((AM$103 - lastVal)/400)))))
)
))"),"")</f>
        <v/>
      </c>
      <c r="AO49" s="32" t="str">
        <f>IFERROR(__xludf.DUMMYFUNCTION("IF('Résultats des tournois'!AN$2=0,"""",LET(
lastVal, INDEX(FILTER($B49:AN49, ISNUMBER($B49:AN49)), COUNTA(FILTER($B49:AN49, ISNUMBER($B49:AN49)))),
IFERROR(
IF('Résultats des tournois'!AN49="""", INDEX(FILTER($C49:AN49, ISNUMBER($C49:AN49)), COUNTA(FILTE"&amp;"R($C49:AN49, ISNUMBER($C49:AN49)))),
lastVal + 'K dynamique'!AN49 * ((SQRT('Résultats des tournois'!AN$2 + 1)/'Résultats des tournois'!AN49) - (1 / (1 + 10^((AN$103 - lastVal)/400)))))
)
))"),"")</f>
        <v/>
      </c>
      <c r="AP49" s="32" t="str">
        <f>IFERROR(__xludf.DUMMYFUNCTION("IF('Résultats des tournois'!AO$2=0,"""",LET(
lastVal, INDEX(FILTER($B49:AO49, ISNUMBER($B49:AO49)), COUNTA(FILTER($B49:AO49, ISNUMBER($B49:AO49)))),
IFERROR(
IF('Résultats des tournois'!AO49="""", INDEX(FILTER($C49:AO49, ISNUMBER($C49:AO49)), COUNTA(FILTE"&amp;"R($C49:AO49, ISNUMBER($C49:AO49)))),
lastVal + 'K dynamique'!AO49 * ((SQRT('Résultats des tournois'!AO$2 + 1)/'Résultats des tournois'!AO49) - (1 / (1 + 10^((AO$103 - lastVal)/400)))))
)
))"),"")</f>
        <v/>
      </c>
      <c r="AQ49" s="32" t="str">
        <f>IFERROR(__xludf.DUMMYFUNCTION("IF('Résultats des tournois'!AP$2=0,"""",LET(
lastVal, INDEX(FILTER($B49:AP49, ISNUMBER($B49:AP49)), COUNTA(FILTER($B49:AP49, ISNUMBER($B49:AP49)))),
IFERROR(
IF('Résultats des tournois'!AP49="""", INDEX(FILTER($C49:AP49, ISNUMBER($C49:AP49)), COUNTA(FILTE"&amp;"R($C49:AP49, ISNUMBER($C49:AP49)))),
lastVal + 'K dynamique'!AP49 * ((SQRT('Résultats des tournois'!AP$2 + 1)/'Résultats des tournois'!AP49) - (1 / (1 + 10^((AP$103 - lastVal)/400)))))
)
))"),"")</f>
        <v/>
      </c>
      <c r="AR49" s="32" t="str">
        <f>IFERROR(__xludf.DUMMYFUNCTION("IF('Résultats des tournois'!AQ$2=0,"""",LET(
lastVal, INDEX(FILTER($B49:AQ49, ISNUMBER($B49:AQ49)), COUNTA(FILTER($B49:AQ49, ISNUMBER($B49:AQ49)))),
IFERROR(
IF('Résultats des tournois'!AQ49="""", INDEX(FILTER($C49:AQ49, ISNUMBER($C49:AQ49)), COUNTA(FILTE"&amp;"R($C49:AQ49, ISNUMBER($C49:AQ49)))),
lastVal + 'K dynamique'!AQ49 * ((SQRT('Résultats des tournois'!AQ$2 + 1)/'Résultats des tournois'!AQ49) - (1 / (1 + 10^((AQ$103 - lastVal)/400)))))
)
))"),"")</f>
        <v/>
      </c>
      <c r="AS49" s="32" t="str">
        <f>IFERROR(__xludf.DUMMYFUNCTION("IF('Résultats des tournois'!AR$2=0,"""",LET(
lastVal, INDEX(FILTER($B49:AR49, ISNUMBER($B49:AR49)), COUNTA(FILTER($B49:AR49, ISNUMBER($B49:AR49)))),
IFERROR(
IF('Résultats des tournois'!AR49="""", INDEX(FILTER($C49:AR49, ISNUMBER($C49:AR49)), COUNTA(FILTE"&amp;"R($C49:AR49, ISNUMBER($C49:AR49)))),
lastVal + 'K dynamique'!AR49 * ((SQRT('Résultats des tournois'!AR$2 + 1)/'Résultats des tournois'!AR49) - (1 / (1 + 10^((AR$103 - lastVal)/400)))))
)
))"),"")</f>
        <v/>
      </c>
      <c r="AT49" s="32" t="str">
        <f>IFERROR(__xludf.DUMMYFUNCTION("IF('Résultats des tournois'!AS$2=0,"""",LET(
lastVal, INDEX(FILTER($B49:AS49, ISNUMBER($B49:AS49)), COUNTA(FILTER($B49:AS49, ISNUMBER($B49:AS49)))),
IFERROR(
IF('Résultats des tournois'!AS49="""", INDEX(FILTER($C49:AS49, ISNUMBER($C49:AS49)), COUNTA(FILTE"&amp;"R($C49:AS49, ISNUMBER($C49:AS49)))),
lastVal + 'K dynamique'!AS49 * ((SQRT('Résultats des tournois'!AS$2 + 1)/'Résultats des tournois'!AS49) - (1 / (1 + 10^((AS$103 - lastVal)/400)))))
)
))"),"")</f>
        <v/>
      </c>
      <c r="AU49" s="32" t="str">
        <f>IFERROR(__xludf.DUMMYFUNCTION("IF('Résultats des tournois'!AT$2=0,"""",LET(
lastVal, INDEX(FILTER($B49:AT49, ISNUMBER($B49:AT49)), COUNTA(FILTER($B49:AT49, ISNUMBER($B49:AT49)))),
IFERROR(
IF('Résultats des tournois'!AT49="""", INDEX(FILTER($C49:AT49, ISNUMBER($C49:AT49)), COUNTA(FILTE"&amp;"R($C49:AT49, ISNUMBER($C49:AT49)))),
lastVal + 'K dynamique'!AT49 * ((SQRT('Résultats des tournois'!AT$2 + 1)/'Résultats des tournois'!AT49) - (1 / (1 + 10^((AT$103 - lastVal)/400)))))
)
))"),"")</f>
        <v/>
      </c>
      <c r="AV49" s="32" t="str">
        <f>IFERROR(__xludf.DUMMYFUNCTION("IF('Résultats des tournois'!AU$2=0,"""",LET(
lastVal, INDEX(FILTER($B49:AU49, ISNUMBER($B49:AU49)), COUNTA(FILTER($B49:AU49, ISNUMBER($B49:AU49)))),
IFERROR(
IF('Résultats des tournois'!AU49="""", INDEX(FILTER($C49:AU49, ISNUMBER($C49:AU49)), COUNTA(FILTE"&amp;"R($C49:AU49, ISNUMBER($C49:AU49)))),
lastVal + 'K dynamique'!AU49 * ((SQRT('Résultats des tournois'!AU$2 + 1)/'Résultats des tournois'!AU49) - (1 / (1 + 10^((AU$103 - lastVal)/400)))))
)
))"),"")</f>
        <v/>
      </c>
      <c r="AW49" s="32" t="str">
        <f>IFERROR(__xludf.DUMMYFUNCTION("IF('Résultats des tournois'!AV$2=0,"""",LET(
lastVal, INDEX(FILTER($B49:AV49, ISNUMBER($B49:AV49)), COUNTA(FILTER($B49:AV49, ISNUMBER($B49:AV49)))),
IFERROR(
IF('Résultats des tournois'!AV49="""", INDEX(FILTER($C49:AV49, ISNUMBER($C49:AV49)), COUNTA(FILTE"&amp;"R($C49:AV49, ISNUMBER($C49:AV49)))),
lastVal + 'K dynamique'!AV49 * ((SQRT('Résultats des tournois'!AV$2 + 1)/'Résultats des tournois'!AV49) - (1 / (1 + 10^((AV$103 - lastVal)/400)))))
)
))"),"")</f>
        <v/>
      </c>
      <c r="AX49" s="32" t="str">
        <f>IFERROR(__xludf.DUMMYFUNCTION("IF('Résultats des tournois'!AW$2=0,"""",LET(
lastVal, INDEX(FILTER($B49:AW49, ISNUMBER($B49:AW49)), COUNTA(FILTER($B49:AW49, ISNUMBER($B49:AW49)))),
IFERROR(
IF('Résultats des tournois'!AW49="""", INDEX(FILTER($C49:AW49, ISNUMBER($C49:AW49)), COUNTA(FILTE"&amp;"R($C49:AW49, ISNUMBER($C49:AW49)))),
lastVal + 'K dynamique'!AW49 * ((SQRT('Résultats des tournois'!AW$2 + 1)/'Résultats des tournois'!AW49) - (1 / (1 + 10^((AW$103 - lastVal)/400)))))
)
))"),"")</f>
        <v/>
      </c>
      <c r="AY49" s="32" t="str">
        <f>IFERROR(__xludf.DUMMYFUNCTION("IF('Résultats des tournois'!AX$2=0,"""",LET(
lastVal, INDEX(FILTER($B49:AX49, ISNUMBER($B49:AX49)), COUNTA(FILTER($B49:AX49, ISNUMBER($B49:AX49)))),
IFERROR(
IF('Résultats des tournois'!AX49="""", INDEX(FILTER($C49:AX49, ISNUMBER($C49:AX49)), COUNTA(FILTE"&amp;"R($C49:AX49, ISNUMBER($C49:AX49)))),
lastVal + 'K dynamique'!AX49 * ((SQRT('Résultats des tournois'!AX$2 + 1)/'Résultats des tournois'!AX49) - (1 / (1 + 10^((AX$103 - lastVal)/400)))))
)
))"),"")</f>
        <v/>
      </c>
      <c r="AZ49" s="4" t="str">
        <f t="array" ref="AZ49">IF(MAX(($C49:AY49&lt;&gt;"")*COLUMN($C49:AY49))=0,"",INDEX($C49:AY49,1,MAX(($C49:AY49&lt;&gt;"")*COLUMN($C49:AY49))-COLUMN($C49)+1))</f>
        <v/>
      </c>
      <c r="BA49" s="33" t="str">
        <f t="shared" si="1"/>
        <v/>
      </c>
    </row>
    <row r="50" ht="14.25" customHeight="1">
      <c r="A50" s="32" t="str">
        <f>IF('Résultats des tournois'!A50="","",'Résultats des tournois'!A50)</f>
        <v/>
      </c>
      <c r="B50" s="32">
        <v>1500.0</v>
      </c>
      <c r="C50" s="32" t="str">
        <f>IF('Résultats des tournois'!B50="","",B50+'K dynamique'!B50*((SQRT('Résultats des tournois'!B$2+1)/'Résultats des tournois'!B50)-(1/(1+10^((B50-B50)/400)))))</f>
        <v/>
      </c>
      <c r="D50" s="32" t="str">
        <f>IFERROR(__xludf.DUMMYFUNCTION("IF('Résultats des tournois'!C$2=0,"""",LET(
lastVal, INDEX(FILTER($B50:C50, ISNUMBER($B50:C50)), COUNTA(FILTER($B50:C50, ISNUMBER($B50:C50)))),
IFERROR(
IF('Résultats des tournois'!C50="""", INDEX(FILTER($C50:C50, ISNUMBER($C50:C50)), COUNTA(FILTER($C50:C"&amp;"50, ISNUMBER($C50:C50)))),
lastVal + 'K dynamique'!C50 * ((SQRT('Résultats des tournois'!C$2 + 1)/'Résultats des tournois'!C50) - (1 / (1 + 10^((C$103 - lastVal)/400)))))
)
))"),"")</f>
        <v/>
      </c>
      <c r="E50" s="32" t="str">
        <f>IFERROR(__xludf.DUMMYFUNCTION("IF('Résultats des tournois'!D$2=0,"""",LET(
lastVal, INDEX(FILTER($B50:D50, ISNUMBER($B50:D50)), COUNTA(FILTER($B50:D50, ISNUMBER($B50:D50)))),
IFERROR(
IF('Résultats des tournois'!D50="""", INDEX(FILTER($C50:D50, ISNUMBER($C50:D50)), COUNTA(FILTER($C50:D"&amp;"50, ISNUMBER($C50:D50)))),
lastVal + 'K dynamique'!D50 * ((SQRT('Résultats des tournois'!D$2 + 1)/'Résultats des tournois'!D50) - (1 / (1 + 10^((D$103 - lastVal)/400)))))
)
))"),"")</f>
        <v/>
      </c>
      <c r="F50" s="32" t="str">
        <f>IFERROR(__xludf.DUMMYFUNCTION("IF('Résultats des tournois'!E$2=0,"""",LET(
lastVal, INDEX(FILTER($B50:E50, ISNUMBER($B50:E50)), COUNTA(FILTER($B50:E50, ISNUMBER($B50:E50)))),
IFERROR(
IF('Résultats des tournois'!E50="""", INDEX(FILTER($C50:E50, ISNUMBER($C50:E50)), COUNTA(FILTER($C50:E"&amp;"50, ISNUMBER($C50:E50)))),
lastVal + 'K dynamique'!E50 * ((SQRT('Résultats des tournois'!E$2 + 1)/'Résultats des tournois'!E50) - (1 / (1 + 10^((E$103 - lastVal)/400)))))
)
))"),"")</f>
        <v/>
      </c>
      <c r="G50" s="32" t="str">
        <f>IFERROR(__xludf.DUMMYFUNCTION("IF('Résultats des tournois'!F$2=0,"""",LET(
lastVal, INDEX(FILTER($B50:F50, ISNUMBER($B50:F50)), COUNTA(FILTER($B50:F50, ISNUMBER($B50:F50)))),
IFERROR(
IF('Résultats des tournois'!F50="""", INDEX(FILTER($C50:F50, ISNUMBER($C50:F50)), COUNTA(FILTER($C50:F"&amp;"50, ISNUMBER($C50:F50)))),
lastVal + 'K dynamique'!F50 * ((SQRT('Résultats des tournois'!F$2 + 1)/'Résultats des tournois'!F50) - (1 / (1 + 10^((F$103 - lastVal)/400)))))
)
))"),"")</f>
        <v/>
      </c>
      <c r="H50" s="32" t="str">
        <f>IFERROR(__xludf.DUMMYFUNCTION("IF('Résultats des tournois'!G$2=0,"""",LET(
lastVal, INDEX(FILTER($B50:G50, ISNUMBER($B50:G50)), COUNTA(FILTER($B50:G50, ISNUMBER($B50:G50)))),
IFERROR(
IF('Résultats des tournois'!G50="""", INDEX(FILTER($C50:G50, ISNUMBER($C50:G50)), COUNTA(FILTER($C50:G"&amp;"50, ISNUMBER($C50:G50)))),
lastVal + 'K dynamique'!G50 * ((SQRT('Résultats des tournois'!G$2 + 1)/'Résultats des tournois'!G50) - (1 / (1 + 10^((G$103 - lastVal)/400)))))
)
))"),"")</f>
        <v/>
      </c>
      <c r="I50" s="32" t="str">
        <f>IFERROR(__xludf.DUMMYFUNCTION("IF('Résultats des tournois'!H$2=0,"""",LET(
lastVal, INDEX(FILTER($B50:H50, ISNUMBER($B50:H50)), COUNTA(FILTER($B50:H50, ISNUMBER($B50:H50)))),
IFERROR(
IF('Résultats des tournois'!H50="""", INDEX(FILTER($C50:H50, ISNUMBER($C50:H50)), COUNTA(FILTER($C50:H"&amp;"50, ISNUMBER($C50:H50)))),
lastVal + 'K dynamique'!H50 * ((SQRT('Résultats des tournois'!H$2 + 1)/'Résultats des tournois'!H50) - (1 / (1 + 10^((H$103 - lastVal)/400)))))
)
))"),"")</f>
        <v/>
      </c>
      <c r="J50" s="32" t="str">
        <f>IFERROR(__xludf.DUMMYFUNCTION("IF('Résultats des tournois'!I$2=0,"""",LET(
lastVal, INDEX(FILTER($B50:I50, ISNUMBER($B50:I50)), COUNTA(FILTER($B50:I50, ISNUMBER($B50:I50)))),
IFERROR(
IF('Résultats des tournois'!I50="""", INDEX(FILTER($C50:I50, ISNUMBER($C50:I50)), COUNTA(FILTER($C50:I"&amp;"50, ISNUMBER($C50:I50)))),
lastVal + 'K dynamique'!I50 * ((SQRT('Résultats des tournois'!I$2 + 1)/'Résultats des tournois'!I50) - (1 / (1 + 10^((I$103 - lastVal)/400)))))
)
))"),"")</f>
        <v/>
      </c>
      <c r="K50" s="32" t="str">
        <f>IFERROR(__xludf.DUMMYFUNCTION("IF('Résultats des tournois'!J$2=0,"""",LET(
lastVal, INDEX(FILTER($B50:J50, ISNUMBER($B50:J50)), COUNTA(FILTER($B50:J50, ISNUMBER($B50:J50)))),
IFERROR(
IF('Résultats des tournois'!J50="""", INDEX(FILTER($C50:J50, ISNUMBER($C50:J50)), COUNTA(FILTER($C50:J"&amp;"50, ISNUMBER($C50:J50)))),
lastVal + 'K dynamique'!J50 * ((SQRT('Résultats des tournois'!J$2 + 1)/'Résultats des tournois'!J50) - (1 / (1 + 10^((J$103 - lastVal)/400)))))
)
))"),"")</f>
        <v/>
      </c>
      <c r="L50" s="32" t="str">
        <f>IFERROR(__xludf.DUMMYFUNCTION("IF('Résultats des tournois'!K$2=0,"""",LET(
lastVal, INDEX(FILTER($B50:K50, ISNUMBER($B50:K50)), COUNTA(FILTER($B50:K50, ISNUMBER($B50:K50)))),
IFERROR(
IF('Résultats des tournois'!K50="""", INDEX(FILTER($C50:K50, ISNUMBER($C50:K50)), COUNTA(FILTER($C50:K"&amp;"50, ISNUMBER($C50:K50)))),
lastVal + 'K dynamique'!K50 * ((SQRT('Résultats des tournois'!K$2 + 1)/'Résultats des tournois'!K50) - (1 / (1 + 10^((K$103 - lastVal)/400)))))
)
))"),"")</f>
        <v/>
      </c>
      <c r="M50" s="32" t="str">
        <f>IFERROR(__xludf.DUMMYFUNCTION("IF('Résultats des tournois'!L$2=0,"""",LET(
lastVal, INDEX(FILTER($B50:L50, ISNUMBER($B50:L50)), COUNTA(FILTER($B50:L50, ISNUMBER($B50:L50)))),
IFERROR(
IF('Résultats des tournois'!L50="""", INDEX(FILTER($C50:L50, ISNUMBER($C50:L50)), COUNTA(FILTER($C50:L"&amp;"50, ISNUMBER($C50:L50)))),
lastVal + 'K dynamique'!L50 * ((SQRT('Résultats des tournois'!L$2 + 1)/'Résultats des tournois'!L50) - (1 / (1 + 10^((L$103 - lastVal)/400)))))
)
))"),"")</f>
        <v/>
      </c>
      <c r="N50" s="32" t="str">
        <f>IFERROR(__xludf.DUMMYFUNCTION("IF('Résultats des tournois'!M$2=0,"""",LET(
lastVal, INDEX(FILTER($B50:M50, ISNUMBER($B50:M50)), COUNTA(FILTER($B50:M50, ISNUMBER($B50:M50)))),
IFERROR(
IF('Résultats des tournois'!M50="""", INDEX(FILTER($C50:M50, ISNUMBER($C50:M50)), COUNTA(FILTER($C50:M"&amp;"50, ISNUMBER($C50:M50)))),
lastVal + 'K dynamique'!M50 * ((SQRT('Résultats des tournois'!M$2 + 1)/'Résultats des tournois'!M50) - (1 / (1 + 10^((M$103 - lastVal)/400)))))
)
))"),"")</f>
        <v/>
      </c>
      <c r="O50" s="32" t="str">
        <f>IFERROR(__xludf.DUMMYFUNCTION("IF('Résultats des tournois'!N$2=0,"""",LET(
lastVal, INDEX(FILTER($B50:N50, ISNUMBER($B50:N50)), COUNTA(FILTER($B50:N50, ISNUMBER($B50:N50)))),
IFERROR(
IF('Résultats des tournois'!N50="""", INDEX(FILTER($C50:N50, ISNUMBER($C50:N50)), COUNTA(FILTER($C50:N"&amp;"50, ISNUMBER($C50:N50)))),
lastVal + 'K dynamique'!N50 * ((SQRT('Résultats des tournois'!N$2 + 1)/'Résultats des tournois'!N50) - (1 / (1 + 10^((N$103 - lastVal)/400)))))
)
))"),"")</f>
        <v/>
      </c>
      <c r="P50" s="32" t="str">
        <f>IFERROR(__xludf.DUMMYFUNCTION("IF('Résultats des tournois'!O$2=0,"""",LET(
lastVal, INDEX(FILTER($B50:O50, ISNUMBER($B50:O50)), COUNTA(FILTER($B50:O50, ISNUMBER($B50:O50)))),
IFERROR(
IF('Résultats des tournois'!O50="""", INDEX(FILTER($C50:O50, ISNUMBER($C50:O50)), COUNTA(FILTER($C50:O"&amp;"50, ISNUMBER($C50:O50)))),
lastVal + 'K dynamique'!O50 * ((SQRT('Résultats des tournois'!O$2 + 1)/'Résultats des tournois'!O50) - (1 / (1 + 10^((O$103 - lastVal)/400)))))
)
))"),"")</f>
        <v/>
      </c>
      <c r="Q50" s="32" t="str">
        <f>IFERROR(__xludf.DUMMYFUNCTION("IF('Résultats des tournois'!P$2=0,"""",LET(
lastVal, INDEX(FILTER($B50:P50, ISNUMBER($B50:P50)), COUNTA(FILTER($B50:P50, ISNUMBER($B50:P50)))),
IFERROR(
IF('Résultats des tournois'!P50="""", INDEX(FILTER($C50:P50, ISNUMBER($C50:P50)), COUNTA(FILTER($C50:P"&amp;"50, ISNUMBER($C50:P50)))),
lastVal + 'K dynamique'!P50 * ((SQRT('Résultats des tournois'!P$2 + 1)/'Résultats des tournois'!P50) - (1 / (1 + 10^((P$103 - lastVal)/400)))))
)
))"),"")</f>
        <v/>
      </c>
      <c r="R50" s="32" t="str">
        <f>IFERROR(__xludf.DUMMYFUNCTION("IF('Résultats des tournois'!Q$2=0,"""",LET(
lastVal, INDEX(FILTER($B50:Q50, ISNUMBER($B50:Q50)), COUNTA(FILTER($B50:Q50, ISNUMBER($B50:Q50)))),
IFERROR(
IF('Résultats des tournois'!Q50="""", INDEX(FILTER($C50:Q50, ISNUMBER($C50:Q50)), COUNTA(FILTER($C50:Q"&amp;"50, ISNUMBER($C50:Q50)))),
lastVal + 'K dynamique'!Q50 * ((SQRT('Résultats des tournois'!Q$2 + 1)/'Résultats des tournois'!Q50) - (1 / (1 + 10^((Q$103 - lastVal)/400)))))
)
))"),"")</f>
        <v/>
      </c>
      <c r="S50" s="32" t="str">
        <f>IFERROR(__xludf.DUMMYFUNCTION("IF('Résultats des tournois'!R$2=0,"""",LET(
lastVal, INDEX(FILTER($B50:R50, ISNUMBER($B50:R50)), COUNTA(FILTER($B50:R50, ISNUMBER($B50:R50)))),
IFERROR(
IF('Résultats des tournois'!R50="""", INDEX(FILTER($C50:R50, ISNUMBER($C50:R50)), COUNTA(FILTER($C50:R"&amp;"50, ISNUMBER($C50:R50)))),
lastVal + 'K dynamique'!R50 * ((SQRT('Résultats des tournois'!R$2 + 1)/'Résultats des tournois'!R50) - (1 / (1 + 10^((R$103 - lastVal)/400)))))
)
))"),"")</f>
        <v/>
      </c>
      <c r="T50" s="32" t="str">
        <f>IFERROR(__xludf.DUMMYFUNCTION("IF('Résultats des tournois'!S$2=0,"""",LET(
lastVal, INDEX(FILTER($B50:S50, ISNUMBER($B50:S50)), COUNTA(FILTER($B50:S50, ISNUMBER($B50:S50)))),
IFERROR(
IF('Résultats des tournois'!S50="""", INDEX(FILTER($C50:S50, ISNUMBER($C50:S50)), COUNTA(FILTER($C50:S"&amp;"50, ISNUMBER($C50:S50)))),
lastVal + 'K dynamique'!S50 * ((SQRT('Résultats des tournois'!S$2 + 1)/'Résultats des tournois'!S50) - (1 / (1 + 10^((S$103 - lastVal)/400)))))
)
))"),"")</f>
        <v/>
      </c>
      <c r="U50" s="32" t="str">
        <f>IFERROR(__xludf.DUMMYFUNCTION("IF('Résultats des tournois'!T$2=0,"""",LET(
lastVal, INDEX(FILTER($B50:T50, ISNUMBER($B50:T50)), COUNTA(FILTER($B50:T50, ISNUMBER($B50:T50)))),
IFERROR(
IF('Résultats des tournois'!T50="""", INDEX(FILTER($C50:T50, ISNUMBER($C50:T50)), COUNTA(FILTER($C50:T"&amp;"50, ISNUMBER($C50:T50)))),
lastVal + 'K dynamique'!T50 * ((SQRT('Résultats des tournois'!T$2 + 1)/'Résultats des tournois'!T50) - (1 / (1 + 10^((T$103 - lastVal)/400)))))
)
))"),"")</f>
        <v/>
      </c>
      <c r="V50" s="32" t="str">
        <f>IFERROR(__xludf.DUMMYFUNCTION("IF('Résultats des tournois'!U$2=0,"""",LET(
lastVal, INDEX(FILTER($B50:U50, ISNUMBER($B50:U50)), COUNTA(FILTER($B50:U50, ISNUMBER($B50:U50)))),
IFERROR(
IF('Résultats des tournois'!U50="""", INDEX(FILTER($C50:U50, ISNUMBER($C50:U50)), COUNTA(FILTER($C50:U"&amp;"50, ISNUMBER($C50:U50)))),
lastVal + 'K dynamique'!U50 * ((SQRT('Résultats des tournois'!U$2 + 1)/'Résultats des tournois'!U50) - (1 / (1 + 10^((U$103 - lastVal)/400)))))
)
))"),"")</f>
        <v/>
      </c>
      <c r="W50" s="32" t="str">
        <f>IFERROR(__xludf.DUMMYFUNCTION("IF('Résultats des tournois'!V$2=0,"""",LET(
lastVal, INDEX(FILTER($B50:V50, ISNUMBER($B50:V50)), COUNTA(FILTER($B50:V50, ISNUMBER($B50:V50)))),
IFERROR(
IF('Résultats des tournois'!V50="""", INDEX(FILTER($C50:V50, ISNUMBER($C50:V50)), COUNTA(FILTER($C50:V"&amp;"50, ISNUMBER($C50:V50)))),
lastVal + 'K dynamique'!V50 * ((SQRT('Résultats des tournois'!V$2 + 1)/'Résultats des tournois'!V50) - (1 / (1 + 10^((V$103 - lastVal)/400)))))
)
))"),"")</f>
        <v/>
      </c>
      <c r="X50" s="32" t="str">
        <f>IFERROR(__xludf.DUMMYFUNCTION("IF('Résultats des tournois'!W$2=0,"""",LET(
lastVal, INDEX(FILTER($B50:W50, ISNUMBER($B50:W50)), COUNTA(FILTER($B50:W50, ISNUMBER($B50:W50)))),
IFERROR(
IF('Résultats des tournois'!W50="""", INDEX(FILTER($C50:W50, ISNUMBER($C50:W50)), COUNTA(FILTER($C50:W"&amp;"50, ISNUMBER($C50:W50)))),
lastVal + 'K dynamique'!W50 * ((SQRT('Résultats des tournois'!W$2 + 1)/'Résultats des tournois'!W50) - (1 / (1 + 10^((W$103 - lastVal)/400)))))
)
))"),"")</f>
        <v/>
      </c>
      <c r="Y50" s="32" t="str">
        <f>IFERROR(__xludf.DUMMYFUNCTION("IF('Résultats des tournois'!X$2=0,"""",LET(
lastVal, INDEX(FILTER($B50:X50, ISNUMBER($B50:X50)), COUNTA(FILTER($B50:X50, ISNUMBER($B50:X50)))),
IFERROR(
IF('Résultats des tournois'!X50="""", INDEX(FILTER($C50:X50, ISNUMBER($C50:X50)), COUNTA(FILTER($C50:X"&amp;"50, ISNUMBER($C50:X50)))),
lastVal + 'K dynamique'!X50 * ((SQRT('Résultats des tournois'!X$2 + 1)/'Résultats des tournois'!X50) - (1 / (1 + 10^((X$103 - lastVal)/400)))))
)
))"),"")</f>
        <v/>
      </c>
      <c r="Z50" s="32" t="str">
        <f>IFERROR(__xludf.DUMMYFUNCTION("IF('Résultats des tournois'!Y$2=0,"""",LET(
lastVal, INDEX(FILTER($B50:Y50, ISNUMBER($B50:Y50)), COUNTA(FILTER($B50:Y50, ISNUMBER($B50:Y50)))),
IFERROR(
IF('Résultats des tournois'!Y50="""", INDEX(FILTER($C50:Y50, ISNUMBER($C50:Y50)), COUNTA(FILTER($C50:Y"&amp;"50, ISNUMBER($C50:Y50)))),
lastVal + 'K dynamique'!Y50 * ((SQRT('Résultats des tournois'!Y$2 + 1)/'Résultats des tournois'!Y50) - (1 / (1 + 10^((Y$103 - lastVal)/400)))))
)
))"),"")</f>
        <v/>
      </c>
      <c r="AA50" s="32" t="str">
        <f>IFERROR(__xludf.DUMMYFUNCTION("IF('Résultats des tournois'!Z$2=0,"""",LET(
lastVal, INDEX(FILTER($B50:Z50, ISNUMBER($B50:Z50)), COUNTA(FILTER($B50:Z50, ISNUMBER($B50:Z50)))),
IFERROR(
IF('Résultats des tournois'!Z50="""", INDEX(FILTER($C50:Z50, ISNUMBER($C50:Z50)), COUNTA(FILTER($C50:Z"&amp;"50, ISNUMBER($C50:Z50)))),
lastVal + 'K dynamique'!Z50 * ((SQRT('Résultats des tournois'!Z$2 + 1)/'Résultats des tournois'!Z50) - (1 / (1 + 10^((Z$103 - lastVal)/400)))))
)
))"),"")</f>
        <v/>
      </c>
      <c r="AB50" s="32" t="str">
        <f>IFERROR(__xludf.DUMMYFUNCTION("IF('Résultats des tournois'!AA$2=0,"""",LET(
lastVal, INDEX(FILTER($B50:AA50, ISNUMBER($B50:AA50)), COUNTA(FILTER($B50:AA50, ISNUMBER($B50:AA50)))),
IFERROR(
IF('Résultats des tournois'!AA50="""", INDEX(FILTER($C50:AA50, ISNUMBER($C50:AA50)), COUNTA(FILTE"&amp;"R($C50:AA50, ISNUMBER($C50:AA50)))),
lastVal + 'K dynamique'!AA50 * ((SQRT('Résultats des tournois'!AA$2 + 1)/'Résultats des tournois'!AA50) - (1 / (1 + 10^((AA$103 - lastVal)/400)))))
)
))"),"")</f>
        <v/>
      </c>
      <c r="AC50" s="32" t="str">
        <f>IFERROR(__xludf.DUMMYFUNCTION("IF('Résultats des tournois'!AB$2=0,"""",LET(
lastVal, INDEX(FILTER($B50:AB50, ISNUMBER($B50:AB50)), COUNTA(FILTER($B50:AB50, ISNUMBER($B50:AB50)))),
IFERROR(
IF('Résultats des tournois'!AB50="""", INDEX(FILTER($C50:AB50, ISNUMBER($C50:AB50)), COUNTA(FILTE"&amp;"R($C50:AB50, ISNUMBER($C50:AB50)))),
lastVal + 'K dynamique'!AB50 * ((SQRT('Résultats des tournois'!AB$2 + 1)/'Résultats des tournois'!AB50) - (1 / (1 + 10^((AB$103 - lastVal)/400)))))
)
))"),"")</f>
        <v/>
      </c>
      <c r="AD50" s="32" t="str">
        <f>IFERROR(__xludf.DUMMYFUNCTION("IF('Résultats des tournois'!AC$2=0,"""",LET(
lastVal, INDEX(FILTER($B50:AC50, ISNUMBER($B50:AC50)), COUNTA(FILTER($B50:AC50, ISNUMBER($B50:AC50)))),
IFERROR(
IF('Résultats des tournois'!AC50="""", INDEX(FILTER($C50:AC50, ISNUMBER($C50:AC50)), COUNTA(FILTE"&amp;"R($C50:AC50, ISNUMBER($C50:AC50)))),
lastVal + 'K dynamique'!AC50 * ((SQRT('Résultats des tournois'!AC$2 + 1)/'Résultats des tournois'!AC50) - (1 / (1 + 10^((AC$103 - lastVal)/400)))))
)
))"),"")</f>
        <v/>
      </c>
      <c r="AE50" s="32" t="str">
        <f>IFERROR(__xludf.DUMMYFUNCTION("IF('Résultats des tournois'!AD$2=0,"""",LET(
lastVal, INDEX(FILTER($B50:AD50, ISNUMBER($B50:AD50)), COUNTA(FILTER($B50:AD50, ISNUMBER($B50:AD50)))),
IFERROR(
IF('Résultats des tournois'!AD50="""", INDEX(FILTER($C50:AD50, ISNUMBER($C50:AD50)), COUNTA(FILTE"&amp;"R($C50:AD50, ISNUMBER($C50:AD50)))),
lastVal + 'K dynamique'!AD50 * ((SQRT('Résultats des tournois'!AD$2 + 1)/'Résultats des tournois'!AD50) - (1 / (1 + 10^((AD$103 - lastVal)/400)))))
)
))"),"")</f>
        <v/>
      </c>
      <c r="AF50" s="32" t="str">
        <f>IFERROR(__xludf.DUMMYFUNCTION("IF('Résultats des tournois'!AE$2=0,"""",LET(
lastVal, INDEX(FILTER($B50:AE50, ISNUMBER($B50:AE50)), COUNTA(FILTER($B50:AE50, ISNUMBER($B50:AE50)))),
IFERROR(
IF('Résultats des tournois'!AE50="""", INDEX(FILTER($C50:AE50, ISNUMBER($C50:AE50)), COUNTA(FILTE"&amp;"R($C50:AE50, ISNUMBER($C50:AE50)))),
lastVal + 'K dynamique'!AE50 * ((SQRT('Résultats des tournois'!AE$2 + 1)/'Résultats des tournois'!AE50) - (1 / (1 + 10^((AE$103 - lastVal)/400)))))
)
))"),"")</f>
        <v/>
      </c>
      <c r="AG50" s="32" t="str">
        <f>IFERROR(__xludf.DUMMYFUNCTION("IF('Résultats des tournois'!AF$2=0,"""",LET(
lastVal, INDEX(FILTER($B50:AF50, ISNUMBER($B50:AF50)), COUNTA(FILTER($B50:AF50, ISNUMBER($B50:AF50)))),
IFERROR(
IF('Résultats des tournois'!AF50="""", INDEX(FILTER($C50:AF50, ISNUMBER($C50:AF50)), COUNTA(FILTE"&amp;"R($C50:AF50, ISNUMBER($C50:AF50)))),
lastVal + 'K dynamique'!AF50 * ((SQRT('Résultats des tournois'!AF$2 + 1)/'Résultats des tournois'!AF50) - (1 / (1 + 10^((AF$103 - lastVal)/400)))))
)
))"),"")</f>
        <v/>
      </c>
      <c r="AH50" s="32" t="str">
        <f>IFERROR(__xludf.DUMMYFUNCTION("IF('Résultats des tournois'!AG$2=0,"""",LET(
lastVal, INDEX(FILTER($B50:AG50, ISNUMBER($B50:AG50)), COUNTA(FILTER($B50:AG50, ISNUMBER($B50:AG50)))),
IFERROR(
IF('Résultats des tournois'!AG50="""", INDEX(FILTER($C50:AG50, ISNUMBER($C50:AG50)), COUNTA(FILTE"&amp;"R($C50:AG50, ISNUMBER($C50:AG50)))),
lastVal + 'K dynamique'!AG50 * ((SQRT('Résultats des tournois'!AG$2 + 1)/'Résultats des tournois'!AG50) - (1 / (1 + 10^((AG$103 - lastVal)/400)))))
)
))"),"")</f>
        <v/>
      </c>
      <c r="AI50" s="32" t="str">
        <f>IFERROR(__xludf.DUMMYFUNCTION("IF('Résultats des tournois'!AH$2=0,"""",LET(
lastVal, INDEX(FILTER($B50:AH50, ISNUMBER($B50:AH50)), COUNTA(FILTER($B50:AH50, ISNUMBER($B50:AH50)))),
IFERROR(
IF('Résultats des tournois'!AH50="""", INDEX(FILTER($C50:AH50, ISNUMBER($C50:AH50)), COUNTA(FILTE"&amp;"R($C50:AH50, ISNUMBER($C50:AH50)))),
lastVal + 'K dynamique'!AH50 * ((SQRT('Résultats des tournois'!AH$2 + 1)/'Résultats des tournois'!AH50) - (1 / (1 + 10^((AH$103 - lastVal)/400)))))
)
))"),"")</f>
        <v/>
      </c>
      <c r="AJ50" s="32" t="str">
        <f>IFERROR(__xludf.DUMMYFUNCTION("IF('Résultats des tournois'!AI$2=0,"""",LET(
lastVal, INDEX(FILTER($B50:AI50, ISNUMBER($B50:AI50)), COUNTA(FILTER($B50:AI50, ISNUMBER($B50:AI50)))),
IFERROR(
IF('Résultats des tournois'!AI50="""", INDEX(FILTER($C50:AI50, ISNUMBER($C50:AI50)), COUNTA(FILTE"&amp;"R($C50:AI50, ISNUMBER($C50:AI50)))),
lastVal + 'K dynamique'!AI50 * ((SQRT('Résultats des tournois'!AI$2 + 1)/'Résultats des tournois'!AI50) - (1 / (1 + 10^((AI$103 - lastVal)/400)))))
)
))"),"")</f>
        <v/>
      </c>
      <c r="AK50" s="32" t="str">
        <f>IFERROR(__xludf.DUMMYFUNCTION("IF('Résultats des tournois'!AJ$2=0,"""",LET(
lastVal, INDEX(FILTER($B50:AJ50, ISNUMBER($B50:AJ50)), COUNTA(FILTER($B50:AJ50, ISNUMBER($B50:AJ50)))),
IFERROR(
IF('Résultats des tournois'!AJ50="""", INDEX(FILTER($C50:AJ50, ISNUMBER($C50:AJ50)), COUNTA(FILTE"&amp;"R($C50:AJ50, ISNUMBER($C50:AJ50)))),
lastVal + 'K dynamique'!AJ50 * ((SQRT('Résultats des tournois'!AJ$2 + 1)/'Résultats des tournois'!AJ50) - (1 / (1 + 10^((AJ$103 - lastVal)/400)))))
)
))"),"")</f>
        <v/>
      </c>
      <c r="AL50" s="32" t="str">
        <f>IFERROR(__xludf.DUMMYFUNCTION("IF('Résultats des tournois'!AK$2=0,"""",LET(
lastVal, INDEX(FILTER($B50:AK50, ISNUMBER($B50:AK50)), COUNTA(FILTER($B50:AK50, ISNUMBER($B50:AK50)))),
IFERROR(
IF('Résultats des tournois'!AK50="""", INDEX(FILTER($C50:AK50, ISNUMBER($C50:AK50)), COUNTA(FILTE"&amp;"R($C50:AK50, ISNUMBER($C50:AK50)))),
lastVal + 'K dynamique'!AK50 * ((SQRT('Résultats des tournois'!AK$2 + 1)/'Résultats des tournois'!AK50) - (1 / (1 + 10^((AK$103 - lastVal)/400)))))
)
))"),"")</f>
        <v/>
      </c>
      <c r="AM50" s="32" t="str">
        <f>IFERROR(__xludf.DUMMYFUNCTION("IF('Résultats des tournois'!AL$2=0,"""",LET(
lastVal, INDEX(FILTER($B50:AL50, ISNUMBER($B50:AL50)), COUNTA(FILTER($B50:AL50, ISNUMBER($B50:AL50)))),
IFERROR(
IF('Résultats des tournois'!AL50="""", INDEX(FILTER($C50:AL50, ISNUMBER($C50:AL50)), COUNTA(FILTE"&amp;"R($C50:AL50, ISNUMBER($C50:AL50)))),
lastVal + 'K dynamique'!AL50 * ((SQRT('Résultats des tournois'!AL$2 + 1)/'Résultats des tournois'!AL50) - (1 / (1 + 10^((AL$103 - lastVal)/400)))))
)
))"),"")</f>
        <v/>
      </c>
      <c r="AN50" s="32" t="str">
        <f>IFERROR(__xludf.DUMMYFUNCTION("IF('Résultats des tournois'!AM$2=0,"""",LET(
lastVal, INDEX(FILTER($B50:AM50, ISNUMBER($B50:AM50)), COUNTA(FILTER($B50:AM50, ISNUMBER($B50:AM50)))),
IFERROR(
IF('Résultats des tournois'!AM50="""", INDEX(FILTER($C50:AM50, ISNUMBER($C50:AM50)), COUNTA(FILTE"&amp;"R($C50:AM50, ISNUMBER($C50:AM50)))),
lastVal + 'K dynamique'!AM50 * ((SQRT('Résultats des tournois'!AM$2 + 1)/'Résultats des tournois'!AM50) - (1 / (1 + 10^((AM$103 - lastVal)/400)))))
)
))"),"")</f>
        <v/>
      </c>
      <c r="AO50" s="32" t="str">
        <f>IFERROR(__xludf.DUMMYFUNCTION("IF('Résultats des tournois'!AN$2=0,"""",LET(
lastVal, INDEX(FILTER($B50:AN50, ISNUMBER($B50:AN50)), COUNTA(FILTER($B50:AN50, ISNUMBER($B50:AN50)))),
IFERROR(
IF('Résultats des tournois'!AN50="""", INDEX(FILTER($C50:AN50, ISNUMBER($C50:AN50)), COUNTA(FILTE"&amp;"R($C50:AN50, ISNUMBER($C50:AN50)))),
lastVal + 'K dynamique'!AN50 * ((SQRT('Résultats des tournois'!AN$2 + 1)/'Résultats des tournois'!AN50) - (1 / (1 + 10^((AN$103 - lastVal)/400)))))
)
))"),"")</f>
        <v/>
      </c>
      <c r="AP50" s="32" t="str">
        <f>IFERROR(__xludf.DUMMYFUNCTION("IF('Résultats des tournois'!AO$2=0,"""",LET(
lastVal, INDEX(FILTER($B50:AO50, ISNUMBER($B50:AO50)), COUNTA(FILTER($B50:AO50, ISNUMBER($B50:AO50)))),
IFERROR(
IF('Résultats des tournois'!AO50="""", INDEX(FILTER($C50:AO50, ISNUMBER($C50:AO50)), COUNTA(FILTE"&amp;"R($C50:AO50, ISNUMBER($C50:AO50)))),
lastVal + 'K dynamique'!AO50 * ((SQRT('Résultats des tournois'!AO$2 + 1)/'Résultats des tournois'!AO50) - (1 / (1 + 10^((AO$103 - lastVal)/400)))))
)
))"),"")</f>
        <v/>
      </c>
      <c r="AQ50" s="32" t="str">
        <f>IFERROR(__xludf.DUMMYFUNCTION("IF('Résultats des tournois'!AP$2=0,"""",LET(
lastVal, INDEX(FILTER($B50:AP50, ISNUMBER($B50:AP50)), COUNTA(FILTER($B50:AP50, ISNUMBER($B50:AP50)))),
IFERROR(
IF('Résultats des tournois'!AP50="""", INDEX(FILTER($C50:AP50, ISNUMBER($C50:AP50)), COUNTA(FILTE"&amp;"R($C50:AP50, ISNUMBER($C50:AP50)))),
lastVal + 'K dynamique'!AP50 * ((SQRT('Résultats des tournois'!AP$2 + 1)/'Résultats des tournois'!AP50) - (1 / (1 + 10^((AP$103 - lastVal)/400)))))
)
))"),"")</f>
        <v/>
      </c>
      <c r="AR50" s="32" t="str">
        <f>IFERROR(__xludf.DUMMYFUNCTION("IF('Résultats des tournois'!AQ$2=0,"""",LET(
lastVal, INDEX(FILTER($B50:AQ50, ISNUMBER($B50:AQ50)), COUNTA(FILTER($B50:AQ50, ISNUMBER($B50:AQ50)))),
IFERROR(
IF('Résultats des tournois'!AQ50="""", INDEX(FILTER($C50:AQ50, ISNUMBER($C50:AQ50)), COUNTA(FILTE"&amp;"R($C50:AQ50, ISNUMBER($C50:AQ50)))),
lastVal + 'K dynamique'!AQ50 * ((SQRT('Résultats des tournois'!AQ$2 + 1)/'Résultats des tournois'!AQ50) - (1 / (1 + 10^((AQ$103 - lastVal)/400)))))
)
))"),"")</f>
        <v/>
      </c>
      <c r="AS50" s="32" t="str">
        <f>IFERROR(__xludf.DUMMYFUNCTION("IF('Résultats des tournois'!AR$2=0,"""",LET(
lastVal, INDEX(FILTER($B50:AR50, ISNUMBER($B50:AR50)), COUNTA(FILTER($B50:AR50, ISNUMBER($B50:AR50)))),
IFERROR(
IF('Résultats des tournois'!AR50="""", INDEX(FILTER($C50:AR50, ISNUMBER($C50:AR50)), COUNTA(FILTE"&amp;"R($C50:AR50, ISNUMBER($C50:AR50)))),
lastVal + 'K dynamique'!AR50 * ((SQRT('Résultats des tournois'!AR$2 + 1)/'Résultats des tournois'!AR50) - (1 / (1 + 10^((AR$103 - lastVal)/400)))))
)
))"),"")</f>
        <v/>
      </c>
      <c r="AT50" s="32" t="str">
        <f>IFERROR(__xludf.DUMMYFUNCTION("IF('Résultats des tournois'!AS$2=0,"""",LET(
lastVal, INDEX(FILTER($B50:AS50, ISNUMBER($B50:AS50)), COUNTA(FILTER($B50:AS50, ISNUMBER($B50:AS50)))),
IFERROR(
IF('Résultats des tournois'!AS50="""", INDEX(FILTER($C50:AS50, ISNUMBER($C50:AS50)), COUNTA(FILTE"&amp;"R($C50:AS50, ISNUMBER($C50:AS50)))),
lastVal + 'K dynamique'!AS50 * ((SQRT('Résultats des tournois'!AS$2 + 1)/'Résultats des tournois'!AS50) - (1 / (1 + 10^((AS$103 - lastVal)/400)))))
)
))"),"")</f>
        <v/>
      </c>
      <c r="AU50" s="32" t="str">
        <f>IFERROR(__xludf.DUMMYFUNCTION("IF('Résultats des tournois'!AT$2=0,"""",LET(
lastVal, INDEX(FILTER($B50:AT50, ISNUMBER($B50:AT50)), COUNTA(FILTER($B50:AT50, ISNUMBER($B50:AT50)))),
IFERROR(
IF('Résultats des tournois'!AT50="""", INDEX(FILTER($C50:AT50, ISNUMBER($C50:AT50)), COUNTA(FILTE"&amp;"R($C50:AT50, ISNUMBER($C50:AT50)))),
lastVal + 'K dynamique'!AT50 * ((SQRT('Résultats des tournois'!AT$2 + 1)/'Résultats des tournois'!AT50) - (1 / (1 + 10^((AT$103 - lastVal)/400)))))
)
))"),"")</f>
        <v/>
      </c>
      <c r="AV50" s="32" t="str">
        <f>IFERROR(__xludf.DUMMYFUNCTION("IF('Résultats des tournois'!AU$2=0,"""",LET(
lastVal, INDEX(FILTER($B50:AU50, ISNUMBER($B50:AU50)), COUNTA(FILTER($B50:AU50, ISNUMBER($B50:AU50)))),
IFERROR(
IF('Résultats des tournois'!AU50="""", INDEX(FILTER($C50:AU50, ISNUMBER($C50:AU50)), COUNTA(FILTE"&amp;"R($C50:AU50, ISNUMBER($C50:AU50)))),
lastVal + 'K dynamique'!AU50 * ((SQRT('Résultats des tournois'!AU$2 + 1)/'Résultats des tournois'!AU50) - (1 / (1 + 10^((AU$103 - lastVal)/400)))))
)
))"),"")</f>
        <v/>
      </c>
      <c r="AW50" s="32" t="str">
        <f>IFERROR(__xludf.DUMMYFUNCTION("IF('Résultats des tournois'!AV$2=0,"""",LET(
lastVal, INDEX(FILTER($B50:AV50, ISNUMBER($B50:AV50)), COUNTA(FILTER($B50:AV50, ISNUMBER($B50:AV50)))),
IFERROR(
IF('Résultats des tournois'!AV50="""", INDEX(FILTER($C50:AV50, ISNUMBER($C50:AV50)), COUNTA(FILTE"&amp;"R($C50:AV50, ISNUMBER($C50:AV50)))),
lastVal + 'K dynamique'!AV50 * ((SQRT('Résultats des tournois'!AV$2 + 1)/'Résultats des tournois'!AV50) - (1 / (1 + 10^((AV$103 - lastVal)/400)))))
)
))"),"")</f>
        <v/>
      </c>
      <c r="AX50" s="32" t="str">
        <f>IFERROR(__xludf.DUMMYFUNCTION("IF('Résultats des tournois'!AW$2=0,"""",LET(
lastVal, INDEX(FILTER($B50:AW50, ISNUMBER($B50:AW50)), COUNTA(FILTER($B50:AW50, ISNUMBER($B50:AW50)))),
IFERROR(
IF('Résultats des tournois'!AW50="""", INDEX(FILTER($C50:AW50, ISNUMBER($C50:AW50)), COUNTA(FILTE"&amp;"R($C50:AW50, ISNUMBER($C50:AW50)))),
lastVal + 'K dynamique'!AW50 * ((SQRT('Résultats des tournois'!AW$2 + 1)/'Résultats des tournois'!AW50) - (1 / (1 + 10^((AW$103 - lastVal)/400)))))
)
))"),"")</f>
        <v/>
      </c>
      <c r="AY50" s="32" t="str">
        <f>IFERROR(__xludf.DUMMYFUNCTION("IF('Résultats des tournois'!AX$2=0,"""",LET(
lastVal, INDEX(FILTER($B50:AX50, ISNUMBER($B50:AX50)), COUNTA(FILTER($B50:AX50, ISNUMBER($B50:AX50)))),
IFERROR(
IF('Résultats des tournois'!AX50="""", INDEX(FILTER($C50:AX50, ISNUMBER($C50:AX50)), COUNTA(FILTE"&amp;"R($C50:AX50, ISNUMBER($C50:AX50)))),
lastVal + 'K dynamique'!AX50 * ((SQRT('Résultats des tournois'!AX$2 + 1)/'Résultats des tournois'!AX50) - (1 / (1 + 10^((AX$103 - lastVal)/400)))))
)
))"),"")</f>
        <v/>
      </c>
      <c r="AZ50" s="4" t="str">
        <f t="array" ref="AZ50">IF(MAX(($C50:AY50&lt;&gt;"")*COLUMN($C50:AY50))=0,"",INDEX($C50:AY50,1,MAX(($C50:AY50&lt;&gt;"")*COLUMN($C50:AY50))-COLUMN($C50)+1))</f>
        <v/>
      </c>
      <c r="BA50" s="33" t="str">
        <f t="shared" si="1"/>
        <v/>
      </c>
    </row>
    <row r="51" ht="14.25" customHeight="1">
      <c r="A51" s="32" t="str">
        <f>IF('Résultats des tournois'!A51="","",'Résultats des tournois'!A51)</f>
        <v/>
      </c>
      <c r="B51" s="32">
        <v>1500.0</v>
      </c>
      <c r="C51" s="32" t="str">
        <f>IF('Résultats des tournois'!B51="","",B51+'K dynamique'!B51*((SQRT('Résultats des tournois'!B$2+1)/'Résultats des tournois'!B51)-(1/(1+10^((B51-B51)/400)))))</f>
        <v/>
      </c>
      <c r="D51" s="32" t="str">
        <f>IFERROR(__xludf.DUMMYFUNCTION("IF('Résultats des tournois'!C$2=0,"""",LET(
lastVal, INDEX(FILTER($B51:C51, ISNUMBER($B51:C51)), COUNTA(FILTER($B51:C51, ISNUMBER($B51:C51)))),
IFERROR(
IF('Résultats des tournois'!C51="""", INDEX(FILTER($C51:C51, ISNUMBER($C51:C51)), COUNTA(FILTER($C51:C"&amp;"51, ISNUMBER($C51:C51)))),
lastVal + 'K dynamique'!C51 * ((SQRT('Résultats des tournois'!C$2 + 1)/'Résultats des tournois'!C51) - (1 / (1 + 10^((C$103 - lastVal)/400)))))
)
))"),"")</f>
        <v/>
      </c>
      <c r="E51" s="32" t="str">
        <f>IFERROR(__xludf.DUMMYFUNCTION("IF('Résultats des tournois'!D$2=0,"""",LET(
lastVal, INDEX(FILTER($B51:D51, ISNUMBER($B51:D51)), COUNTA(FILTER($B51:D51, ISNUMBER($B51:D51)))),
IFERROR(
IF('Résultats des tournois'!D51="""", INDEX(FILTER($C51:D51, ISNUMBER($C51:D51)), COUNTA(FILTER($C51:D"&amp;"51, ISNUMBER($C51:D51)))),
lastVal + 'K dynamique'!D51 * ((SQRT('Résultats des tournois'!D$2 + 1)/'Résultats des tournois'!D51) - (1 / (1 + 10^((D$103 - lastVal)/400)))))
)
))"),"")</f>
        <v/>
      </c>
      <c r="F51" s="32" t="str">
        <f>IFERROR(__xludf.DUMMYFUNCTION("IF('Résultats des tournois'!E$2=0,"""",LET(
lastVal, INDEX(FILTER($B51:E51, ISNUMBER($B51:E51)), COUNTA(FILTER($B51:E51, ISNUMBER($B51:E51)))),
IFERROR(
IF('Résultats des tournois'!E51="""", INDEX(FILTER($C51:E51, ISNUMBER($C51:E51)), COUNTA(FILTER($C51:E"&amp;"51, ISNUMBER($C51:E51)))),
lastVal + 'K dynamique'!E51 * ((SQRT('Résultats des tournois'!E$2 + 1)/'Résultats des tournois'!E51) - (1 / (1 + 10^((E$103 - lastVal)/400)))))
)
))"),"")</f>
        <v/>
      </c>
      <c r="G51" s="32" t="str">
        <f>IFERROR(__xludf.DUMMYFUNCTION("IF('Résultats des tournois'!F$2=0,"""",LET(
lastVal, INDEX(FILTER($B51:F51, ISNUMBER($B51:F51)), COUNTA(FILTER($B51:F51, ISNUMBER($B51:F51)))),
IFERROR(
IF('Résultats des tournois'!F51="""", INDEX(FILTER($C51:F51, ISNUMBER($C51:F51)), COUNTA(FILTER($C51:F"&amp;"51, ISNUMBER($C51:F51)))),
lastVal + 'K dynamique'!F51 * ((SQRT('Résultats des tournois'!F$2 + 1)/'Résultats des tournois'!F51) - (1 / (1 + 10^((F$103 - lastVal)/400)))))
)
))"),"")</f>
        <v/>
      </c>
      <c r="H51" s="32" t="str">
        <f>IFERROR(__xludf.DUMMYFUNCTION("IF('Résultats des tournois'!G$2=0,"""",LET(
lastVal, INDEX(FILTER($B51:G51, ISNUMBER($B51:G51)), COUNTA(FILTER($B51:G51, ISNUMBER($B51:G51)))),
IFERROR(
IF('Résultats des tournois'!G51="""", INDEX(FILTER($C51:G51, ISNUMBER($C51:G51)), COUNTA(FILTER($C51:G"&amp;"51, ISNUMBER($C51:G51)))),
lastVal + 'K dynamique'!G51 * ((SQRT('Résultats des tournois'!G$2 + 1)/'Résultats des tournois'!G51) - (1 / (1 + 10^((G$103 - lastVal)/400)))))
)
))"),"")</f>
        <v/>
      </c>
      <c r="I51" s="32" t="str">
        <f>IFERROR(__xludf.DUMMYFUNCTION("IF('Résultats des tournois'!H$2=0,"""",LET(
lastVal, INDEX(FILTER($B51:H51, ISNUMBER($B51:H51)), COUNTA(FILTER($B51:H51, ISNUMBER($B51:H51)))),
IFERROR(
IF('Résultats des tournois'!H51="""", INDEX(FILTER($C51:H51, ISNUMBER($C51:H51)), COUNTA(FILTER($C51:H"&amp;"51, ISNUMBER($C51:H51)))),
lastVal + 'K dynamique'!H51 * ((SQRT('Résultats des tournois'!H$2 + 1)/'Résultats des tournois'!H51) - (1 / (1 + 10^((H$103 - lastVal)/400)))))
)
))"),"")</f>
        <v/>
      </c>
      <c r="J51" s="32" t="str">
        <f>IFERROR(__xludf.DUMMYFUNCTION("IF('Résultats des tournois'!I$2=0,"""",LET(
lastVal, INDEX(FILTER($B51:I51, ISNUMBER($B51:I51)), COUNTA(FILTER($B51:I51, ISNUMBER($B51:I51)))),
IFERROR(
IF('Résultats des tournois'!I51="""", INDEX(FILTER($C51:I51, ISNUMBER($C51:I51)), COUNTA(FILTER($C51:I"&amp;"51, ISNUMBER($C51:I51)))),
lastVal + 'K dynamique'!I51 * ((SQRT('Résultats des tournois'!I$2 + 1)/'Résultats des tournois'!I51) - (1 / (1 + 10^((I$103 - lastVal)/400)))))
)
))"),"")</f>
        <v/>
      </c>
      <c r="K51" s="32" t="str">
        <f>IFERROR(__xludf.DUMMYFUNCTION("IF('Résultats des tournois'!J$2=0,"""",LET(
lastVal, INDEX(FILTER($B51:J51, ISNUMBER($B51:J51)), COUNTA(FILTER($B51:J51, ISNUMBER($B51:J51)))),
IFERROR(
IF('Résultats des tournois'!J51="""", INDEX(FILTER($C51:J51, ISNUMBER($C51:J51)), COUNTA(FILTER($C51:J"&amp;"51, ISNUMBER($C51:J51)))),
lastVal + 'K dynamique'!J51 * ((SQRT('Résultats des tournois'!J$2 + 1)/'Résultats des tournois'!J51) - (1 / (1 + 10^((J$103 - lastVal)/400)))))
)
))"),"")</f>
        <v/>
      </c>
      <c r="L51" s="32" t="str">
        <f>IFERROR(__xludf.DUMMYFUNCTION("IF('Résultats des tournois'!K$2=0,"""",LET(
lastVal, INDEX(FILTER($B51:K51, ISNUMBER($B51:K51)), COUNTA(FILTER($B51:K51, ISNUMBER($B51:K51)))),
IFERROR(
IF('Résultats des tournois'!K51="""", INDEX(FILTER($C51:K51, ISNUMBER($C51:K51)), COUNTA(FILTER($C51:K"&amp;"51, ISNUMBER($C51:K51)))),
lastVal + 'K dynamique'!K51 * ((SQRT('Résultats des tournois'!K$2 + 1)/'Résultats des tournois'!K51) - (1 / (1 + 10^((K$103 - lastVal)/400)))))
)
))"),"")</f>
        <v/>
      </c>
      <c r="M51" s="32" t="str">
        <f>IFERROR(__xludf.DUMMYFUNCTION("IF('Résultats des tournois'!L$2=0,"""",LET(
lastVal, INDEX(FILTER($B51:L51, ISNUMBER($B51:L51)), COUNTA(FILTER($B51:L51, ISNUMBER($B51:L51)))),
IFERROR(
IF('Résultats des tournois'!L51="""", INDEX(FILTER($C51:L51, ISNUMBER($C51:L51)), COUNTA(FILTER($C51:L"&amp;"51, ISNUMBER($C51:L51)))),
lastVal + 'K dynamique'!L51 * ((SQRT('Résultats des tournois'!L$2 + 1)/'Résultats des tournois'!L51) - (1 / (1 + 10^((L$103 - lastVal)/400)))))
)
))"),"")</f>
        <v/>
      </c>
      <c r="N51" s="32" t="str">
        <f>IFERROR(__xludf.DUMMYFUNCTION("IF('Résultats des tournois'!M$2=0,"""",LET(
lastVal, INDEX(FILTER($B51:M51, ISNUMBER($B51:M51)), COUNTA(FILTER($B51:M51, ISNUMBER($B51:M51)))),
IFERROR(
IF('Résultats des tournois'!M51="""", INDEX(FILTER($C51:M51, ISNUMBER($C51:M51)), COUNTA(FILTER($C51:M"&amp;"51, ISNUMBER($C51:M51)))),
lastVal + 'K dynamique'!M51 * ((SQRT('Résultats des tournois'!M$2 + 1)/'Résultats des tournois'!M51) - (1 / (1 + 10^((M$103 - lastVal)/400)))))
)
))"),"")</f>
        <v/>
      </c>
      <c r="O51" s="32" t="str">
        <f>IFERROR(__xludf.DUMMYFUNCTION("IF('Résultats des tournois'!N$2=0,"""",LET(
lastVal, INDEX(FILTER($B51:N51, ISNUMBER($B51:N51)), COUNTA(FILTER($B51:N51, ISNUMBER($B51:N51)))),
IFERROR(
IF('Résultats des tournois'!N51="""", INDEX(FILTER($C51:N51, ISNUMBER($C51:N51)), COUNTA(FILTER($C51:N"&amp;"51, ISNUMBER($C51:N51)))),
lastVal + 'K dynamique'!N51 * ((SQRT('Résultats des tournois'!N$2 + 1)/'Résultats des tournois'!N51) - (1 / (1 + 10^((N$103 - lastVal)/400)))))
)
))"),"")</f>
        <v/>
      </c>
      <c r="P51" s="32" t="str">
        <f>IFERROR(__xludf.DUMMYFUNCTION("IF('Résultats des tournois'!O$2=0,"""",LET(
lastVal, INDEX(FILTER($B51:O51, ISNUMBER($B51:O51)), COUNTA(FILTER($B51:O51, ISNUMBER($B51:O51)))),
IFERROR(
IF('Résultats des tournois'!O51="""", INDEX(FILTER($C51:O51, ISNUMBER($C51:O51)), COUNTA(FILTER($C51:O"&amp;"51, ISNUMBER($C51:O51)))),
lastVal + 'K dynamique'!O51 * ((SQRT('Résultats des tournois'!O$2 + 1)/'Résultats des tournois'!O51) - (1 / (1 + 10^((O$103 - lastVal)/400)))))
)
))"),"")</f>
        <v/>
      </c>
      <c r="Q51" s="32" t="str">
        <f>IFERROR(__xludf.DUMMYFUNCTION("IF('Résultats des tournois'!P$2=0,"""",LET(
lastVal, INDEX(FILTER($B51:P51, ISNUMBER($B51:P51)), COUNTA(FILTER($B51:P51, ISNUMBER($B51:P51)))),
IFERROR(
IF('Résultats des tournois'!P51="""", INDEX(FILTER($C51:P51, ISNUMBER($C51:P51)), COUNTA(FILTER($C51:P"&amp;"51, ISNUMBER($C51:P51)))),
lastVal + 'K dynamique'!P51 * ((SQRT('Résultats des tournois'!P$2 + 1)/'Résultats des tournois'!P51) - (1 / (1 + 10^((P$103 - lastVal)/400)))))
)
))"),"")</f>
        <v/>
      </c>
      <c r="R51" s="32" t="str">
        <f>IFERROR(__xludf.DUMMYFUNCTION("IF('Résultats des tournois'!Q$2=0,"""",LET(
lastVal, INDEX(FILTER($B51:Q51, ISNUMBER($B51:Q51)), COUNTA(FILTER($B51:Q51, ISNUMBER($B51:Q51)))),
IFERROR(
IF('Résultats des tournois'!Q51="""", INDEX(FILTER($C51:Q51, ISNUMBER($C51:Q51)), COUNTA(FILTER($C51:Q"&amp;"51, ISNUMBER($C51:Q51)))),
lastVal + 'K dynamique'!Q51 * ((SQRT('Résultats des tournois'!Q$2 + 1)/'Résultats des tournois'!Q51) - (1 / (1 + 10^((Q$103 - lastVal)/400)))))
)
))"),"")</f>
        <v/>
      </c>
      <c r="S51" s="32" t="str">
        <f>IFERROR(__xludf.DUMMYFUNCTION("IF('Résultats des tournois'!R$2=0,"""",LET(
lastVal, INDEX(FILTER($B51:R51, ISNUMBER($B51:R51)), COUNTA(FILTER($B51:R51, ISNUMBER($B51:R51)))),
IFERROR(
IF('Résultats des tournois'!R51="""", INDEX(FILTER($C51:R51, ISNUMBER($C51:R51)), COUNTA(FILTER($C51:R"&amp;"51, ISNUMBER($C51:R51)))),
lastVal + 'K dynamique'!R51 * ((SQRT('Résultats des tournois'!R$2 + 1)/'Résultats des tournois'!R51) - (1 / (1 + 10^((R$103 - lastVal)/400)))))
)
))"),"")</f>
        <v/>
      </c>
      <c r="T51" s="32" t="str">
        <f>IFERROR(__xludf.DUMMYFUNCTION("IF('Résultats des tournois'!S$2=0,"""",LET(
lastVal, INDEX(FILTER($B51:S51, ISNUMBER($B51:S51)), COUNTA(FILTER($B51:S51, ISNUMBER($B51:S51)))),
IFERROR(
IF('Résultats des tournois'!S51="""", INDEX(FILTER($C51:S51, ISNUMBER($C51:S51)), COUNTA(FILTER($C51:S"&amp;"51, ISNUMBER($C51:S51)))),
lastVal + 'K dynamique'!S51 * ((SQRT('Résultats des tournois'!S$2 + 1)/'Résultats des tournois'!S51) - (1 / (1 + 10^((S$103 - lastVal)/400)))))
)
))"),"")</f>
        <v/>
      </c>
      <c r="U51" s="32" t="str">
        <f>IFERROR(__xludf.DUMMYFUNCTION("IF('Résultats des tournois'!T$2=0,"""",LET(
lastVal, INDEX(FILTER($B51:T51, ISNUMBER($B51:T51)), COUNTA(FILTER($B51:T51, ISNUMBER($B51:T51)))),
IFERROR(
IF('Résultats des tournois'!T51="""", INDEX(FILTER($C51:T51, ISNUMBER($C51:T51)), COUNTA(FILTER($C51:T"&amp;"51, ISNUMBER($C51:T51)))),
lastVal + 'K dynamique'!T51 * ((SQRT('Résultats des tournois'!T$2 + 1)/'Résultats des tournois'!T51) - (1 / (1 + 10^((T$103 - lastVal)/400)))))
)
))"),"")</f>
        <v/>
      </c>
      <c r="V51" s="32" t="str">
        <f>IFERROR(__xludf.DUMMYFUNCTION("IF('Résultats des tournois'!U$2=0,"""",LET(
lastVal, INDEX(FILTER($B51:U51, ISNUMBER($B51:U51)), COUNTA(FILTER($B51:U51, ISNUMBER($B51:U51)))),
IFERROR(
IF('Résultats des tournois'!U51="""", INDEX(FILTER($C51:U51, ISNUMBER($C51:U51)), COUNTA(FILTER($C51:U"&amp;"51, ISNUMBER($C51:U51)))),
lastVal + 'K dynamique'!U51 * ((SQRT('Résultats des tournois'!U$2 + 1)/'Résultats des tournois'!U51) - (1 / (1 + 10^((U$103 - lastVal)/400)))))
)
))"),"")</f>
        <v/>
      </c>
      <c r="W51" s="32" t="str">
        <f>IFERROR(__xludf.DUMMYFUNCTION("IF('Résultats des tournois'!V$2=0,"""",LET(
lastVal, INDEX(FILTER($B51:V51, ISNUMBER($B51:V51)), COUNTA(FILTER($B51:V51, ISNUMBER($B51:V51)))),
IFERROR(
IF('Résultats des tournois'!V51="""", INDEX(FILTER($C51:V51, ISNUMBER($C51:V51)), COUNTA(FILTER($C51:V"&amp;"51, ISNUMBER($C51:V51)))),
lastVal + 'K dynamique'!V51 * ((SQRT('Résultats des tournois'!V$2 + 1)/'Résultats des tournois'!V51) - (1 / (1 + 10^((V$103 - lastVal)/400)))))
)
))"),"")</f>
        <v/>
      </c>
      <c r="X51" s="32" t="str">
        <f>IFERROR(__xludf.DUMMYFUNCTION("IF('Résultats des tournois'!W$2=0,"""",LET(
lastVal, INDEX(FILTER($B51:W51, ISNUMBER($B51:W51)), COUNTA(FILTER($B51:W51, ISNUMBER($B51:W51)))),
IFERROR(
IF('Résultats des tournois'!W51="""", INDEX(FILTER($C51:W51, ISNUMBER($C51:W51)), COUNTA(FILTER($C51:W"&amp;"51, ISNUMBER($C51:W51)))),
lastVal + 'K dynamique'!W51 * ((SQRT('Résultats des tournois'!W$2 + 1)/'Résultats des tournois'!W51) - (1 / (1 + 10^((W$103 - lastVal)/400)))))
)
))"),"")</f>
        <v/>
      </c>
      <c r="Y51" s="32" t="str">
        <f>IFERROR(__xludf.DUMMYFUNCTION("IF('Résultats des tournois'!X$2=0,"""",LET(
lastVal, INDEX(FILTER($B51:X51, ISNUMBER($B51:X51)), COUNTA(FILTER($B51:X51, ISNUMBER($B51:X51)))),
IFERROR(
IF('Résultats des tournois'!X51="""", INDEX(FILTER($C51:X51, ISNUMBER($C51:X51)), COUNTA(FILTER($C51:X"&amp;"51, ISNUMBER($C51:X51)))),
lastVal + 'K dynamique'!X51 * ((SQRT('Résultats des tournois'!X$2 + 1)/'Résultats des tournois'!X51) - (1 / (1 + 10^((X$103 - lastVal)/400)))))
)
))"),"")</f>
        <v/>
      </c>
      <c r="Z51" s="32" t="str">
        <f>IFERROR(__xludf.DUMMYFUNCTION("IF('Résultats des tournois'!Y$2=0,"""",LET(
lastVal, INDEX(FILTER($B51:Y51, ISNUMBER($B51:Y51)), COUNTA(FILTER($B51:Y51, ISNUMBER($B51:Y51)))),
IFERROR(
IF('Résultats des tournois'!Y51="""", INDEX(FILTER($C51:Y51, ISNUMBER($C51:Y51)), COUNTA(FILTER($C51:Y"&amp;"51, ISNUMBER($C51:Y51)))),
lastVal + 'K dynamique'!Y51 * ((SQRT('Résultats des tournois'!Y$2 + 1)/'Résultats des tournois'!Y51) - (1 / (1 + 10^((Y$103 - lastVal)/400)))))
)
))"),"")</f>
        <v/>
      </c>
      <c r="AA51" s="32" t="str">
        <f>IFERROR(__xludf.DUMMYFUNCTION("IF('Résultats des tournois'!Z$2=0,"""",LET(
lastVal, INDEX(FILTER($B51:Z51, ISNUMBER($B51:Z51)), COUNTA(FILTER($B51:Z51, ISNUMBER($B51:Z51)))),
IFERROR(
IF('Résultats des tournois'!Z51="""", INDEX(FILTER($C51:Z51, ISNUMBER($C51:Z51)), COUNTA(FILTER($C51:Z"&amp;"51, ISNUMBER($C51:Z51)))),
lastVal + 'K dynamique'!Z51 * ((SQRT('Résultats des tournois'!Z$2 + 1)/'Résultats des tournois'!Z51) - (1 / (1 + 10^((Z$103 - lastVal)/400)))))
)
))"),"")</f>
        <v/>
      </c>
      <c r="AB51" s="32" t="str">
        <f>IFERROR(__xludf.DUMMYFUNCTION("IF('Résultats des tournois'!AA$2=0,"""",LET(
lastVal, INDEX(FILTER($B51:AA51, ISNUMBER($B51:AA51)), COUNTA(FILTER($B51:AA51, ISNUMBER($B51:AA51)))),
IFERROR(
IF('Résultats des tournois'!AA51="""", INDEX(FILTER($C51:AA51, ISNUMBER($C51:AA51)), COUNTA(FILTE"&amp;"R($C51:AA51, ISNUMBER($C51:AA51)))),
lastVal + 'K dynamique'!AA51 * ((SQRT('Résultats des tournois'!AA$2 + 1)/'Résultats des tournois'!AA51) - (1 / (1 + 10^((AA$103 - lastVal)/400)))))
)
))"),"")</f>
        <v/>
      </c>
      <c r="AC51" s="32" t="str">
        <f>IFERROR(__xludf.DUMMYFUNCTION("IF('Résultats des tournois'!AB$2=0,"""",LET(
lastVal, INDEX(FILTER($B51:AB51, ISNUMBER($B51:AB51)), COUNTA(FILTER($B51:AB51, ISNUMBER($B51:AB51)))),
IFERROR(
IF('Résultats des tournois'!AB51="""", INDEX(FILTER($C51:AB51, ISNUMBER($C51:AB51)), COUNTA(FILTE"&amp;"R($C51:AB51, ISNUMBER($C51:AB51)))),
lastVal + 'K dynamique'!AB51 * ((SQRT('Résultats des tournois'!AB$2 + 1)/'Résultats des tournois'!AB51) - (1 / (1 + 10^((AB$103 - lastVal)/400)))))
)
))"),"")</f>
        <v/>
      </c>
      <c r="AD51" s="32" t="str">
        <f>IFERROR(__xludf.DUMMYFUNCTION("IF('Résultats des tournois'!AC$2=0,"""",LET(
lastVal, INDEX(FILTER($B51:AC51, ISNUMBER($B51:AC51)), COUNTA(FILTER($B51:AC51, ISNUMBER($B51:AC51)))),
IFERROR(
IF('Résultats des tournois'!AC51="""", INDEX(FILTER($C51:AC51, ISNUMBER($C51:AC51)), COUNTA(FILTE"&amp;"R($C51:AC51, ISNUMBER($C51:AC51)))),
lastVal + 'K dynamique'!AC51 * ((SQRT('Résultats des tournois'!AC$2 + 1)/'Résultats des tournois'!AC51) - (1 / (1 + 10^((AC$103 - lastVal)/400)))))
)
))"),"")</f>
        <v/>
      </c>
      <c r="AE51" s="32" t="str">
        <f>IFERROR(__xludf.DUMMYFUNCTION("IF('Résultats des tournois'!AD$2=0,"""",LET(
lastVal, INDEX(FILTER($B51:AD51, ISNUMBER($B51:AD51)), COUNTA(FILTER($B51:AD51, ISNUMBER($B51:AD51)))),
IFERROR(
IF('Résultats des tournois'!AD51="""", INDEX(FILTER($C51:AD51, ISNUMBER($C51:AD51)), COUNTA(FILTE"&amp;"R($C51:AD51, ISNUMBER($C51:AD51)))),
lastVal + 'K dynamique'!AD51 * ((SQRT('Résultats des tournois'!AD$2 + 1)/'Résultats des tournois'!AD51) - (1 / (1 + 10^((AD$103 - lastVal)/400)))))
)
))"),"")</f>
        <v/>
      </c>
      <c r="AF51" s="32" t="str">
        <f>IFERROR(__xludf.DUMMYFUNCTION("IF('Résultats des tournois'!AE$2=0,"""",LET(
lastVal, INDEX(FILTER($B51:AE51, ISNUMBER($B51:AE51)), COUNTA(FILTER($B51:AE51, ISNUMBER($B51:AE51)))),
IFERROR(
IF('Résultats des tournois'!AE51="""", INDEX(FILTER($C51:AE51, ISNUMBER($C51:AE51)), COUNTA(FILTE"&amp;"R($C51:AE51, ISNUMBER($C51:AE51)))),
lastVal + 'K dynamique'!AE51 * ((SQRT('Résultats des tournois'!AE$2 + 1)/'Résultats des tournois'!AE51) - (1 / (1 + 10^((AE$103 - lastVal)/400)))))
)
))"),"")</f>
        <v/>
      </c>
      <c r="AG51" s="32" t="str">
        <f>IFERROR(__xludf.DUMMYFUNCTION("IF('Résultats des tournois'!AF$2=0,"""",LET(
lastVal, INDEX(FILTER($B51:AF51, ISNUMBER($B51:AF51)), COUNTA(FILTER($B51:AF51, ISNUMBER($B51:AF51)))),
IFERROR(
IF('Résultats des tournois'!AF51="""", INDEX(FILTER($C51:AF51, ISNUMBER($C51:AF51)), COUNTA(FILTE"&amp;"R($C51:AF51, ISNUMBER($C51:AF51)))),
lastVal + 'K dynamique'!AF51 * ((SQRT('Résultats des tournois'!AF$2 + 1)/'Résultats des tournois'!AF51) - (1 / (1 + 10^((AF$103 - lastVal)/400)))))
)
))"),"")</f>
        <v/>
      </c>
      <c r="AH51" s="32" t="str">
        <f>IFERROR(__xludf.DUMMYFUNCTION("IF('Résultats des tournois'!AG$2=0,"""",LET(
lastVal, INDEX(FILTER($B51:AG51, ISNUMBER($B51:AG51)), COUNTA(FILTER($B51:AG51, ISNUMBER($B51:AG51)))),
IFERROR(
IF('Résultats des tournois'!AG51="""", INDEX(FILTER($C51:AG51, ISNUMBER($C51:AG51)), COUNTA(FILTE"&amp;"R($C51:AG51, ISNUMBER($C51:AG51)))),
lastVal + 'K dynamique'!AG51 * ((SQRT('Résultats des tournois'!AG$2 + 1)/'Résultats des tournois'!AG51) - (1 / (1 + 10^((AG$103 - lastVal)/400)))))
)
))"),"")</f>
        <v/>
      </c>
      <c r="AI51" s="32" t="str">
        <f>IFERROR(__xludf.DUMMYFUNCTION("IF('Résultats des tournois'!AH$2=0,"""",LET(
lastVal, INDEX(FILTER($B51:AH51, ISNUMBER($B51:AH51)), COUNTA(FILTER($B51:AH51, ISNUMBER($B51:AH51)))),
IFERROR(
IF('Résultats des tournois'!AH51="""", INDEX(FILTER($C51:AH51, ISNUMBER($C51:AH51)), COUNTA(FILTE"&amp;"R($C51:AH51, ISNUMBER($C51:AH51)))),
lastVal + 'K dynamique'!AH51 * ((SQRT('Résultats des tournois'!AH$2 + 1)/'Résultats des tournois'!AH51) - (1 / (1 + 10^((AH$103 - lastVal)/400)))))
)
))"),"")</f>
        <v/>
      </c>
      <c r="AJ51" s="32" t="str">
        <f>IFERROR(__xludf.DUMMYFUNCTION("IF('Résultats des tournois'!AI$2=0,"""",LET(
lastVal, INDEX(FILTER($B51:AI51, ISNUMBER($B51:AI51)), COUNTA(FILTER($B51:AI51, ISNUMBER($B51:AI51)))),
IFERROR(
IF('Résultats des tournois'!AI51="""", INDEX(FILTER($C51:AI51, ISNUMBER($C51:AI51)), COUNTA(FILTE"&amp;"R($C51:AI51, ISNUMBER($C51:AI51)))),
lastVal + 'K dynamique'!AI51 * ((SQRT('Résultats des tournois'!AI$2 + 1)/'Résultats des tournois'!AI51) - (1 / (1 + 10^((AI$103 - lastVal)/400)))))
)
))"),"")</f>
        <v/>
      </c>
      <c r="AK51" s="32" t="str">
        <f>IFERROR(__xludf.DUMMYFUNCTION("IF('Résultats des tournois'!AJ$2=0,"""",LET(
lastVal, INDEX(FILTER($B51:AJ51, ISNUMBER($B51:AJ51)), COUNTA(FILTER($B51:AJ51, ISNUMBER($B51:AJ51)))),
IFERROR(
IF('Résultats des tournois'!AJ51="""", INDEX(FILTER($C51:AJ51, ISNUMBER($C51:AJ51)), COUNTA(FILTE"&amp;"R($C51:AJ51, ISNUMBER($C51:AJ51)))),
lastVal + 'K dynamique'!AJ51 * ((SQRT('Résultats des tournois'!AJ$2 + 1)/'Résultats des tournois'!AJ51) - (1 / (1 + 10^((AJ$103 - lastVal)/400)))))
)
))"),"")</f>
        <v/>
      </c>
      <c r="AL51" s="32" t="str">
        <f>IFERROR(__xludf.DUMMYFUNCTION("IF('Résultats des tournois'!AK$2=0,"""",LET(
lastVal, INDEX(FILTER($B51:AK51, ISNUMBER($B51:AK51)), COUNTA(FILTER($B51:AK51, ISNUMBER($B51:AK51)))),
IFERROR(
IF('Résultats des tournois'!AK51="""", INDEX(FILTER($C51:AK51, ISNUMBER($C51:AK51)), COUNTA(FILTE"&amp;"R($C51:AK51, ISNUMBER($C51:AK51)))),
lastVal + 'K dynamique'!AK51 * ((SQRT('Résultats des tournois'!AK$2 + 1)/'Résultats des tournois'!AK51) - (1 / (1 + 10^((AK$103 - lastVal)/400)))))
)
))"),"")</f>
        <v/>
      </c>
      <c r="AM51" s="32" t="str">
        <f>IFERROR(__xludf.DUMMYFUNCTION("IF('Résultats des tournois'!AL$2=0,"""",LET(
lastVal, INDEX(FILTER($B51:AL51, ISNUMBER($B51:AL51)), COUNTA(FILTER($B51:AL51, ISNUMBER($B51:AL51)))),
IFERROR(
IF('Résultats des tournois'!AL51="""", INDEX(FILTER($C51:AL51, ISNUMBER($C51:AL51)), COUNTA(FILTE"&amp;"R($C51:AL51, ISNUMBER($C51:AL51)))),
lastVal + 'K dynamique'!AL51 * ((SQRT('Résultats des tournois'!AL$2 + 1)/'Résultats des tournois'!AL51) - (1 / (1 + 10^((AL$103 - lastVal)/400)))))
)
))"),"")</f>
        <v/>
      </c>
      <c r="AN51" s="32" t="str">
        <f>IFERROR(__xludf.DUMMYFUNCTION("IF('Résultats des tournois'!AM$2=0,"""",LET(
lastVal, INDEX(FILTER($B51:AM51, ISNUMBER($B51:AM51)), COUNTA(FILTER($B51:AM51, ISNUMBER($B51:AM51)))),
IFERROR(
IF('Résultats des tournois'!AM51="""", INDEX(FILTER($C51:AM51, ISNUMBER($C51:AM51)), COUNTA(FILTE"&amp;"R($C51:AM51, ISNUMBER($C51:AM51)))),
lastVal + 'K dynamique'!AM51 * ((SQRT('Résultats des tournois'!AM$2 + 1)/'Résultats des tournois'!AM51) - (1 / (1 + 10^((AM$103 - lastVal)/400)))))
)
))"),"")</f>
        <v/>
      </c>
      <c r="AO51" s="32" t="str">
        <f>IFERROR(__xludf.DUMMYFUNCTION("IF('Résultats des tournois'!AN$2=0,"""",LET(
lastVal, INDEX(FILTER($B51:AN51, ISNUMBER($B51:AN51)), COUNTA(FILTER($B51:AN51, ISNUMBER($B51:AN51)))),
IFERROR(
IF('Résultats des tournois'!AN51="""", INDEX(FILTER($C51:AN51, ISNUMBER($C51:AN51)), COUNTA(FILTE"&amp;"R($C51:AN51, ISNUMBER($C51:AN51)))),
lastVal + 'K dynamique'!AN51 * ((SQRT('Résultats des tournois'!AN$2 + 1)/'Résultats des tournois'!AN51) - (1 / (1 + 10^((AN$103 - lastVal)/400)))))
)
))"),"")</f>
        <v/>
      </c>
      <c r="AP51" s="32" t="str">
        <f>IFERROR(__xludf.DUMMYFUNCTION("IF('Résultats des tournois'!AO$2=0,"""",LET(
lastVal, INDEX(FILTER($B51:AO51, ISNUMBER($B51:AO51)), COUNTA(FILTER($B51:AO51, ISNUMBER($B51:AO51)))),
IFERROR(
IF('Résultats des tournois'!AO51="""", INDEX(FILTER($C51:AO51, ISNUMBER($C51:AO51)), COUNTA(FILTE"&amp;"R($C51:AO51, ISNUMBER($C51:AO51)))),
lastVal + 'K dynamique'!AO51 * ((SQRT('Résultats des tournois'!AO$2 + 1)/'Résultats des tournois'!AO51) - (1 / (1 + 10^((AO$103 - lastVal)/400)))))
)
))"),"")</f>
        <v/>
      </c>
      <c r="AQ51" s="32" t="str">
        <f>IFERROR(__xludf.DUMMYFUNCTION("IF('Résultats des tournois'!AP$2=0,"""",LET(
lastVal, INDEX(FILTER($B51:AP51, ISNUMBER($B51:AP51)), COUNTA(FILTER($B51:AP51, ISNUMBER($B51:AP51)))),
IFERROR(
IF('Résultats des tournois'!AP51="""", INDEX(FILTER($C51:AP51, ISNUMBER($C51:AP51)), COUNTA(FILTE"&amp;"R($C51:AP51, ISNUMBER($C51:AP51)))),
lastVal + 'K dynamique'!AP51 * ((SQRT('Résultats des tournois'!AP$2 + 1)/'Résultats des tournois'!AP51) - (1 / (1 + 10^((AP$103 - lastVal)/400)))))
)
))"),"")</f>
        <v/>
      </c>
      <c r="AR51" s="32" t="str">
        <f>IFERROR(__xludf.DUMMYFUNCTION("IF('Résultats des tournois'!AQ$2=0,"""",LET(
lastVal, INDEX(FILTER($B51:AQ51, ISNUMBER($B51:AQ51)), COUNTA(FILTER($B51:AQ51, ISNUMBER($B51:AQ51)))),
IFERROR(
IF('Résultats des tournois'!AQ51="""", INDEX(FILTER($C51:AQ51, ISNUMBER($C51:AQ51)), COUNTA(FILTE"&amp;"R($C51:AQ51, ISNUMBER($C51:AQ51)))),
lastVal + 'K dynamique'!AQ51 * ((SQRT('Résultats des tournois'!AQ$2 + 1)/'Résultats des tournois'!AQ51) - (1 / (1 + 10^((AQ$103 - lastVal)/400)))))
)
))"),"")</f>
        <v/>
      </c>
      <c r="AS51" s="32" t="str">
        <f>IFERROR(__xludf.DUMMYFUNCTION("IF('Résultats des tournois'!AR$2=0,"""",LET(
lastVal, INDEX(FILTER($B51:AR51, ISNUMBER($B51:AR51)), COUNTA(FILTER($B51:AR51, ISNUMBER($B51:AR51)))),
IFERROR(
IF('Résultats des tournois'!AR51="""", INDEX(FILTER($C51:AR51, ISNUMBER($C51:AR51)), COUNTA(FILTE"&amp;"R($C51:AR51, ISNUMBER($C51:AR51)))),
lastVal + 'K dynamique'!AR51 * ((SQRT('Résultats des tournois'!AR$2 + 1)/'Résultats des tournois'!AR51) - (1 / (1 + 10^((AR$103 - lastVal)/400)))))
)
))"),"")</f>
        <v/>
      </c>
      <c r="AT51" s="32" t="str">
        <f>IFERROR(__xludf.DUMMYFUNCTION("IF('Résultats des tournois'!AS$2=0,"""",LET(
lastVal, INDEX(FILTER($B51:AS51, ISNUMBER($B51:AS51)), COUNTA(FILTER($B51:AS51, ISNUMBER($B51:AS51)))),
IFERROR(
IF('Résultats des tournois'!AS51="""", INDEX(FILTER($C51:AS51, ISNUMBER($C51:AS51)), COUNTA(FILTE"&amp;"R($C51:AS51, ISNUMBER($C51:AS51)))),
lastVal + 'K dynamique'!AS51 * ((SQRT('Résultats des tournois'!AS$2 + 1)/'Résultats des tournois'!AS51) - (1 / (1 + 10^((AS$103 - lastVal)/400)))))
)
))"),"")</f>
        <v/>
      </c>
      <c r="AU51" s="32" t="str">
        <f>IFERROR(__xludf.DUMMYFUNCTION("IF('Résultats des tournois'!AT$2=0,"""",LET(
lastVal, INDEX(FILTER($B51:AT51, ISNUMBER($B51:AT51)), COUNTA(FILTER($B51:AT51, ISNUMBER($B51:AT51)))),
IFERROR(
IF('Résultats des tournois'!AT51="""", INDEX(FILTER($C51:AT51, ISNUMBER($C51:AT51)), COUNTA(FILTE"&amp;"R($C51:AT51, ISNUMBER($C51:AT51)))),
lastVal + 'K dynamique'!AT51 * ((SQRT('Résultats des tournois'!AT$2 + 1)/'Résultats des tournois'!AT51) - (1 / (1 + 10^((AT$103 - lastVal)/400)))))
)
))"),"")</f>
        <v/>
      </c>
      <c r="AV51" s="32" t="str">
        <f>IFERROR(__xludf.DUMMYFUNCTION("IF('Résultats des tournois'!AU$2=0,"""",LET(
lastVal, INDEX(FILTER($B51:AU51, ISNUMBER($B51:AU51)), COUNTA(FILTER($B51:AU51, ISNUMBER($B51:AU51)))),
IFERROR(
IF('Résultats des tournois'!AU51="""", INDEX(FILTER($C51:AU51, ISNUMBER($C51:AU51)), COUNTA(FILTE"&amp;"R($C51:AU51, ISNUMBER($C51:AU51)))),
lastVal + 'K dynamique'!AU51 * ((SQRT('Résultats des tournois'!AU$2 + 1)/'Résultats des tournois'!AU51) - (1 / (1 + 10^((AU$103 - lastVal)/400)))))
)
))"),"")</f>
        <v/>
      </c>
      <c r="AW51" s="32" t="str">
        <f>IFERROR(__xludf.DUMMYFUNCTION("IF('Résultats des tournois'!AV$2=0,"""",LET(
lastVal, INDEX(FILTER($B51:AV51, ISNUMBER($B51:AV51)), COUNTA(FILTER($B51:AV51, ISNUMBER($B51:AV51)))),
IFERROR(
IF('Résultats des tournois'!AV51="""", INDEX(FILTER($C51:AV51, ISNUMBER($C51:AV51)), COUNTA(FILTE"&amp;"R($C51:AV51, ISNUMBER($C51:AV51)))),
lastVal + 'K dynamique'!AV51 * ((SQRT('Résultats des tournois'!AV$2 + 1)/'Résultats des tournois'!AV51) - (1 / (1 + 10^((AV$103 - lastVal)/400)))))
)
))"),"")</f>
        <v/>
      </c>
      <c r="AX51" s="32" t="str">
        <f>IFERROR(__xludf.DUMMYFUNCTION("IF('Résultats des tournois'!AW$2=0,"""",LET(
lastVal, INDEX(FILTER($B51:AW51, ISNUMBER($B51:AW51)), COUNTA(FILTER($B51:AW51, ISNUMBER($B51:AW51)))),
IFERROR(
IF('Résultats des tournois'!AW51="""", INDEX(FILTER($C51:AW51, ISNUMBER($C51:AW51)), COUNTA(FILTE"&amp;"R($C51:AW51, ISNUMBER($C51:AW51)))),
lastVal + 'K dynamique'!AW51 * ((SQRT('Résultats des tournois'!AW$2 + 1)/'Résultats des tournois'!AW51) - (1 / (1 + 10^((AW$103 - lastVal)/400)))))
)
))"),"")</f>
        <v/>
      </c>
      <c r="AY51" s="32" t="str">
        <f>IFERROR(__xludf.DUMMYFUNCTION("IF('Résultats des tournois'!AX$2=0,"""",LET(
lastVal, INDEX(FILTER($B51:AX51, ISNUMBER($B51:AX51)), COUNTA(FILTER($B51:AX51, ISNUMBER($B51:AX51)))),
IFERROR(
IF('Résultats des tournois'!AX51="""", INDEX(FILTER($C51:AX51, ISNUMBER($C51:AX51)), COUNTA(FILTE"&amp;"R($C51:AX51, ISNUMBER($C51:AX51)))),
lastVal + 'K dynamique'!AX51 * ((SQRT('Résultats des tournois'!AX$2 + 1)/'Résultats des tournois'!AX51) - (1 / (1 + 10^((AX$103 - lastVal)/400)))))
)
))"),"")</f>
        <v/>
      </c>
      <c r="AZ51" s="4" t="str">
        <f t="array" ref="AZ51">IF(MAX(($C51:AY51&lt;&gt;"")*COLUMN($C51:AY51))=0,"",INDEX($C51:AY51,1,MAX(($C51:AY51&lt;&gt;"")*COLUMN($C51:AY51))-COLUMN($C51)+1))</f>
        <v/>
      </c>
      <c r="BA51" s="33" t="str">
        <f t="shared" si="1"/>
        <v/>
      </c>
    </row>
    <row r="52" ht="14.25" customHeight="1">
      <c r="A52" s="32" t="str">
        <f>IF('Résultats des tournois'!A52="","",'Résultats des tournois'!A52)</f>
        <v/>
      </c>
      <c r="B52" s="32">
        <v>1500.0</v>
      </c>
      <c r="C52" s="32" t="str">
        <f>IF('Résultats des tournois'!B52="","",B52+'K dynamique'!B52*((SQRT('Résultats des tournois'!B$2+1)/'Résultats des tournois'!B52)-(1/(1+10^((B52-B52)/400)))))</f>
        <v/>
      </c>
      <c r="D52" s="32" t="str">
        <f>IFERROR(__xludf.DUMMYFUNCTION("IF('Résultats des tournois'!C$2=0,"""",LET(
lastVal, INDEX(FILTER($B52:C52, ISNUMBER($B52:C52)), COUNTA(FILTER($B52:C52, ISNUMBER($B52:C52)))),
IFERROR(
IF('Résultats des tournois'!C52="""", INDEX(FILTER($C52:C52, ISNUMBER($C52:C52)), COUNTA(FILTER($C52:C"&amp;"52, ISNUMBER($C52:C52)))),
lastVal + 'K dynamique'!C52 * ((SQRT('Résultats des tournois'!C$2 + 1)/'Résultats des tournois'!C52) - (1 / (1 + 10^((C$103 - lastVal)/400)))))
)
))"),"")</f>
        <v/>
      </c>
      <c r="E52" s="32" t="str">
        <f>IFERROR(__xludf.DUMMYFUNCTION("IF('Résultats des tournois'!D$2=0,"""",LET(
lastVal, INDEX(FILTER($B52:D52, ISNUMBER($B52:D52)), COUNTA(FILTER($B52:D52, ISNUMBER($B52:D52)))),
IFERROR(
IF('Résultats des tournois'!D52="""", INDEX(FILTER($C52:D52, ISNUMBER($C52:D52)), COUNTA(FILTER($C52:D"&amp;"52, ISNUMBER($C52:D52)))),
lastVal + 'K dynamique'!D52 * ((SQRT('Résultats des tournois'!D$2 + 1)/'Résultats des tournois'!D52) - (1 / (1 + 10^((D$103 - lastVal)/400)))))
)
))"),"")</f>
        <v/>
      </c>
      <c r="F52" s="32" t="str">
        <f>IFERROR(__xludf.DUMMYFUNCTION("IF('Résultats des tournois'!E$2=0,"""",LET(
lastVal, INDEX(FILTER($B52:E52, ISNUMBER($B52:E52)), COUNTA(FILTER($B52:E52, ISNUMBER($B52:E52)))),
IFERROR(
IF('Résultats des tournois'!E52="""", INDEX(FILTER($C52:E52, ISNUMBER($C52:E52)), COUNTA(FILTER($C52:E"&amp;"52, ISNUMBER($C52:E52)))),
lastVal + 'K dynamique'!E52 * ((SQRT('Résultats des tournois'!E$2 + 1)/'Résultats des tournois'!E52) - (1 / (1 + 10^((E$103 - lastVal)/400)))))
)
))"),"")</f>
        <v/>
      </c>
      <c r="G52" s="32" t="str">
        <f>IFERROR(__xludf.DUMMYFUNCTION("IF('Résultats des tournois'!F$2=0,"""",LET(
lastVal, INDEX(FILTER($B52:F52, ISNUMBER($B52:F52)), COUNTA(FILTER($B52:F52, ISNUMBER($B52:F52)))),
IFERROR(
IF('Résultats des tournois'!F52="""", INDEX(FILTER($C52:F52, ISNUMBER($C52:F52)), COUNTA(FILTER($C52:F"&amp;"52, ISNUMBER($C52:F52)))),
lastVal + 'K dynamique'!F52 * ((SQRT('Résultats des tournois'!F$2 + 1)/'Résultats des tournois'!F52) - (1 / (1 + 10^((F$103 - lastVal)/400)))))
)
))"),"")</f>
        <v/>
      </c>
      <c r="H52" s="32" t="str">
        <f>IFERROR(__xludf.DUMMYFUNCTION("IF('Résultats des tournois'!G$2=0,"""",LET(
lastVal, INDEX(FILTER($B52:G52, ISNUMBER($B52:G52)), COUNTA(FILTER($B52:G52, ISNUMBER($B52:G52)))),
IFERROR(
IF('Résultats des tournois'!G52="""", INDEX(FILTER($C52:G52, ISNUMBER($C52:G52)), COUNTA(FILTER($C52:G"&amp;"52, ISNUMBER($C52:G52)))),
lastVal + 'K dynamique'!G52 * ((SQRT('Résultats des tournois'!G$2 + 1)/'Résultats des tournois'!G52) - (1 / (1 + 10^((G$103 - lastVal)/400)))))
)
))"),"")</f>
        <v/>
      </c>
      <c r="I52" s="32" t="str">
        <f>IFERROR(__xludf.DUMMYFUNCTION("IF('Résultats des tournois'!H$2=0,"""",LET(
lastVal, INDEX(FILTER($B52:H52, ISNUMBER($B52:H52)), COUNTA(FILTER($B52:H52, ISNUMBER($B52:H52)))),
IFERROR(
IF('Résultats des tournois'!H52="""", INDEX(FILTER($C52:H52, ISNUMBER($C52:H52)), COUNTA(FILTER($C52:H"&amp;"52, ISNUMBER($C52:H52)))),
lastVal + 'K dynamique'!H52 * ((SQRT('Résultats des tournois'!H$2 + 1)/'Résultats des tournois'!H52) - (1 / (1 + 10^((H$103 - lastVal)/400)))))
)
))"),"")</f>
        <v/>
      </c>
      <c r="J52" s="32" t="str">
        <f>IFERROR(__xludf.DUMMYFUNCTION("IF('Résultats des tournois'!I$2=0,"""",LET(
lastVal, INDEX(FILTER($B52:I52, ISNUMBER($B52:I52)), COUNTA(FILTER($B52:I52, ISNUMBER($B52:I52)))),
IFERROR(
IF('Résultats des tournois'!I52="""", INDEX(FILTER($C52:I52, ISNUMBER($C52:I52)), COUNTA(FILTER($C52:I"&amp;"52, ISNUMBER($C52:I52)))),
lastVal + 'K dynamique'!I52 * ((SQRT('Résultats des tournois'!I$2 + 1)/'Résultats des tournois'!I52) - (1 / (1 + 10^((I$103 - lastVal)/400)))))
)
))"),"")</f>
        <v/>
      </c>
      <c r="K52" s="32" t="str">
        <f>IFERROR(__xludf.DUMMYFUNCTION("IF('Résultats des tournois'!J$2=0,"""",LET(
lastVal, INDEX(FILTER($B52:J52, ISNUMBER($B52:J52)), COUNTA(FILTER($B52:J52, ISNUMBER($B52:J52)))),
IFERROR(
IF('Résultats des tournois'!J52="""", INDEX(FILTER($C52:J52, ISNUMBER($C52:J52)), COUNTA(FILTER($C52:J"&amp;"52, ISNUMBER($C52:J52)))),
lastVal + 'K dynamique'!J52 * ((SQRT('Résultats des tournois'!J$2 + 1)/'Résultats des tournois'!J52) - (1 / (1 + 10^((J$103 - lastVal)/400)))))
)
))"),"")</f>
        <v/>
      </c>
      <c r="L52" s="32" t="str">
        <f>IFERROR(__xludf.DUMMYFUNCTION("IF('Résultats des tournois'!K$2=0,"""",LET(
lastVal, INDEX(FILTER($B52:K52, ISNUMBER($B52:K52)), COUNTA(FILTER($B52:K52, ISNUMBER($B52:K52)))),
IFERROR(
IF('Résultats des tournois'!K52="""", INDEX(FILTER($C52:K52, ISNUMBER($C52:K52)), COUNTA(FILTER($C52:K"&amp;"52, ISNUMBER($C52:K52)))),
lastVal + 'K dynamique'!K52 * ((SQRT('Résultats des tournois'!K$2 + 1)/'Résultats des tournois'!K52) - (1 / (1 + 10^((K$103 - lastVal)/400)))))
)
))"),"")</f>
        <v/>
      </c>
      <c r="M52" s="32" t="str">
        <f>IFERROR(__xludf.DUMMYFUNCTION("IF('Résultats des tournois'!L$2=0,"""",LET(
lastVal, INDEX(FILTER($B52:L52, ISNUMBER($B52:L52)), COUNTA(FILTER($B52:L52, ISNUMBER($B52:L52)))),
IFERROR(
IF('Résultats des tournois'!L52="""", INDEX(FILTER($C52:L52, ISNUMBER($C52:L52)), COUNTA(FILTER($C52:L"&amp;"52, ISNUMBER($C52:L52)))),
lastVal + 'K dynamique'!L52 * ((SQRT('Résultats des tournois'!L$2 + 1)/'Résultats des tournois'!L52) - (1 / (1 + 10^((L$103 - lastVal)/400)))))
)
))"),"")</f>
        <v/>
      </c>
      <c r="N52" s="32" t="str">
        <f>IFERROR(__xludf.DUMMYFUNCTION("IF('Résultats des tournois'!M$2=0,"""",LET(
lastVal, INDEX(FILTER($B52:M52, ISNUMBER($B52:M52)), COUNTA(FILTER($B52:M52, ISNUMBER($B52:M52)))),
IFERROR(
IF('Résultats des tournois'!M52="""", INDEX(FILTER($C52:M52, ISNUMBER($C52:M52)), COUNTA(FILTER($C52:M"&amp;"52, ISNUMBER($C52:M52)))),
lastVal + 'K dynamique'!M52 * ((SQRT('Résultats des tournois'!M$2 + 1)/'Résultats des tournois'!M52) - (1 / (1 + 10^((M$103 - lastVal)/400)))))
)
))"),"")</f>
        <v/>
      </c>
      <c r="O52" s="32" t="str">
        <f>IFERROR(__xludf.DUMMYFUNCTION("IF('Résultats des tournois'!N$2=0,"""",LET(
lastVal, INDEX(FILTER($B52:N52, ISNUMBER($B52:N52)), COUNTA(FILTER($B52:N52, ISNUMBER($B52:N52)))),
IFERROR(
IF('Résultats des tournois'!N52="""", INDEX(FILTER($C52:N52, ISNUMBER($C52:N52)), COUNTA(FILTER($C52:N"&amp;"52, ISNUMBER($C52:N52)))),
lastVal + 'K dynamique'!N52 * ((SQRT('Résultats des tournois'!N$2 + 1)/'Résultats des tournois'!N52) - (1 / (1 + 10^((N$103 - lastVal)/400)))))
)
))"),"")</f>
        <v/>
      </c>
      <c r="P52" s="32" t="str">
        <f>IFERROR(__xludf.DUMMYFUNCTION("IF('Résultats des tournois'!O$2=0,"""",LET(
lastVal, INDEX(FILTER($B52:O52, ISNUMBER($B52:O52)), COUNTA(FILTER($B52:O52, ISNUMBER($B52:O52)))),
IFERROR(
IF('Résultats des tournois'!O52="""", INDEX(FILTER($C52:O52, ISNUMBER($C52:O52)), COUNTA(FILTER($C52:O"&amp;"52, ISNUMBER($C52:O52)))),
lastVal + 'K dynamique'!O52 * ((SQRT('Résultats des tournois'!O$2 + 1)/'Résultats des tournois'!O52) - (1 / (1 + 10^((O$103 - lastVal)/400)))))
)
))"),"")</f>
        <v/>
      </c>
      <c r="Q52" s="32" t="str">
        <f>IFERROR(__xludf.DUMMYFUNCTION("IF('Résultats des tournois'!P$2=0,"""",LET(
lastVal, INDEX(FILTER($B52:P52, ISNUMBER($B52:P52)), COUNTA(FILTER($B52:P52, ISNUMBER($B52:P52)))),
IFERROR(
IF('Résultats des tournois'!P52="""", INDEX(FILTER($C52:P52, ISNUMBER($C52:P52)), COUNTA(FILTER($C52:P"&amp;"52, ISNUMBER($C52:P52)))),
lastVal + 'K dynamique'!P52 * ((SQRT('Résultats des tournois'!P$2 + 1)/'Résultats des tournois'!P52) - (1 / (1 + 10^((P$103 - lastVal)/400)))))
)
))"),"")</f>
        <v/>
      </c>
      <c r="R52" s="32" t="str">
        <f>IFERROR(__xludf.DUMMYFUNCTION("IF('Résultats des tournois'!Q$2=0,"""",LET(
lastVal, INDEX(FILTER($B52:Q52, ISNUMBER($B52:Q52)), COUNTA(FILTER($B52:Q52, ISNUMBER($B52:Q52)))),
IFERROR(
IF('Résultats des tournois'!Q52="""", INDEX(FILTER($C52:Q52, ISNUMBER($C52:Q52)), COUNTA(FILTER($C52:Q"&amp;"52, ISNUMBER($C52:Q52)))),
lastVal + 'K dynamique'!Q52 * ((SQRT('Résultats des tournois'!Q$2 + 1)/'Résultats des tournois'!Q52) - (1 / (1 + 10^((Q$103 - lastVal)/400)))))
)
))"),"")</f>
        <v/>
      </c>
      <c r="S52" s="32" t="str">
        <f>IFERROR(__xludf.DUMMYFUNCTION("IF('Résultats des tournois'!R$2=0,"""",LET(
lastVal, INDEX(FILTER($B52:R52, ISNUMBER($B52:R52)), COUNTA(FILTER($B52:R52, ISNUMBER($B52:R52)))),
IFERROR(
IF('Résultats des tournois'!R52="""", INDEX(FILTER($C52:R52, ISNUMBER($C52:R52)), COUNTA(FILTER($C52:R"&amp;"52, ISNUMBER($C52:R52)))),
lastVal + 'K dynamique'!R52 * ((SQRT('Résultats des tournois'!R$2 + 1)/'Résultats des tournois'!R52) - (1 / (1 + 10^((R$103 - lastVal)/400)))))
)
))"),"")</f>
        <v/>
      </c>
      <c r="T52" s="32" t="str">
        <f>IFERROR(__xludf.DUMMYFUNCTION("IF('Résultats des tournois'!S$2=0,"""",LET(
lastVal, INDEX(FILTER($B52:S52, ISNUMBER($B52:S52)), COUNTA(FILTER($B52:S52, ISNUMBER($B52:S52)))),
IFERROR(
IF('Résultats des tournois'!S52="""", INDEX(FILTER($C52:S52, ISNUMBER($C52:S52)), COUNTA(FILTER($C52:S"&amp;"52, ISNUMBER($C52:S52)))),
lastVal + 'K dynamique'!S52 * ((SQRT('Résultats des tournois'!S$2 + 1)/'Résultats des tournois'!S52) - (1 / (1 + 10^((S$103 - lastVal)/400)))))
)
))"),"")</f>
        <v/>
      </c>
      <c r="U52" s="32" t="str">
        <f>IFERROR(__xludf.DUMMYFUNCTION("IF('Résultats des tournois'!T$2=0,"""",LET(
lastVal, INDEX(FILTER($B52:T52, ISNUMBER($B52:T52)), COUNTA(FILTER($B52:T52, ISNUMBER($B52:T52)))),
IFERROR(
IF('Résultats des tournois'!T52="""", INDEX(FILTER($C52:T52, ISNUMBER($C52:T52)), COUNTA(FILTER($C52:T"&amp;"52, ISNUMBER($C52:T52)))),
lastVal + 'K dynamique'!T52 * ((SQRT('Résultats des tournois'!T$2 + 1)/'Résultats des tournois'!T52) - (1 / (1 + 10^((T$103 - lastVal)/400)))))
)
))"),"")</f>
        <v/>
      </c>
      <c r="V52" s="32" t="str">
        <f>IFERROR(__xludf.DUMMYFUNCTION("IF('Résultats des tournois'!U$2=0,"""",LET(
lastVal, INDEX(FILTER($B52:U52, ISNUMBER($B52:U52)), COUNTA(FILTER($B52:U52, ISNUMBER($B52:U52)))),
IFERROR(
IF('Résultats des tournois'!U52="""", INDEX(FILTER($C52:U52, ISNUMBER($C52:U52)), COUNTA(FILTER($C52:U"&amp;"52, ISNUMBER($C52:U52)))),
lastVal + 'K dynamique'!U52 * ((SQRT('Résultats des tournois'!U$2 + 1)/'Résultats des tournois'!U52) - (1 / (1 + 10^((U$103 - lastVal)/400)))))
)
))"),"")</f>
        <v/>
      </c>
      <c r="W52" s="32" t="str">
        <f>IFERROR(__xludf.DUMMYFUNCTION("IF('Résultats des tournois'!V$2=0,"""",LET(
lastVal, INDEX(FILTER($B52:V52, ISNUMBER($B52:V52)), COUNTA(FILTER($B52:V52, ISNUMBER($B52:V52)))),
IFERROR(
IF('Résultats des tournois'!V52="""", INDEX(FILTER($C52:V52, ISNUMBER($C52:V52)), COUNTA(FILTER($C52:V"&amp;"52, ISNUMBER($C52:V52)))),
lastVal + 'K dynamique'!V52 * ((SQRT('Résultats des tournois'!V$2 + 1)/'Résultats des tournois'!V52) - (1 / (1 + 10^((V$103 - lastVal)/400)))))
)
))"),"")</f>
        <v/>
      </c>
      <c r="X52" s="32" t="str">
        <f>IFERROR(__xludf.DUMMYFUNCTION("IF('Résultats des tournois'!W$2=0,"""",LET(
lastVal, INDEX(FILTER($B52:W52, ISNUMBER($B52:W52)), COUNTA(FILTER($B52:W52, ISNUMBER($B52:W52)))),
IFERROR(
IF('Résultats des tournois'!W52="""", INDEX(FILTER($C52:W52, ISNUMBER($C52:W52)), COUNTA(FILTER($C52:W"&amp;"52, ISNUMBER($C52:W52)))),
lastVal + 'K dynamique'!W52 * ((SQRT('Résultats des tournois'!W$2 + 1)/'Résultats des tournois'!W52) - (1 / (1 + 10^((W$103 - lastVal)/400)))))
)
))"),"")</f>
        <v/>
      </c>
      <c r="Y52" s="32" t="str">
        <f>IFERROR(__xludf.DUMMYFUNCTION("IF('Résultats des tournois'!X$2=0,"""",LET(
lastVal, INDEX(FILTER($B52:X52, ISNUMBER($B52:X52)), COUNTA(FILTER($B52:X52, ISNUMBER($B52:X52)))),
IFERROR(
IF('Résultats des tournois'!X52="""", INDEX(FILTER($C52:X52, ISNUMBER($C52:X52)), COUNTA(FILTER($C52:X"&amp;"52, ISNUMBER($C52:X52)))),
lastVal + 'K dynamique'!X52 * ((SQRT('Résultats des tournois'!X$2 + 1)/'Résultats des tournois'!X52) - (1 / (1 + 10^((X$103 - lastVal)/400)))))
)
))"),"")</f>
        <v/>
      </c>
      <c r="Z52" s="32" t="str">
        <f>IFERROR(__xludf.DUMMYFUNCTION("IF('Résultats des tournois'!Y$2=0,"""",LET(
lastVal, INDEX(FILTER($B52:Y52, ISNUMBER($B52:Y52)), COUNTA(FILTER($B52:Y52, ISNUMBER($B52:Y52)))),
IFERROR(
IF('Résultats des tournois'!Y52="""", INDEX(FILTER($C52:Y52, ISNUMBER($C52:Y52)), COUNTA(FILTER($C52:Y"&amp;"52, ISNUMBER($C52:Y52)))),
lastVal + 'K dynamique'!Y52 * ((SQRT('Résultats des tournois'!Y$2 + 1)/'Résultats des tournois'!Y52) - (1 / (1 + 10^((Y$103 - lastVal)/400)))))
)
))"),"")</f>
        <v/>
      </c>
      <c r="AA52" s="32" t="str">
        <f>IFERROR(__xludf.DUMMYFUNCTION("IF('Résultats des tournois'!Z$2=0,"""",LET(
lastVal, INDEX(FILTER($B52:Z52, ISNUMBER($B52:Z52)), COUNTA(FILTER($B52:Z52, ISNUMBER($B52:Z52)))),
IFERROR(
IF('Résultats des tournois'!Z52="""", INDEX(FILTER($C52:Z52, ISNUMBER($C52:Z52)), COUNTA(FILTER($C52:Z"&amp;"52, ISNUMBER($C52:Z52)))),
lastVal + 'K dynamique'!Z52 * ((SQRT('Résultats des tournois'!Z$2 + 1)/'Résultats des tournois'!Z52) - (1 / (1 + 10^((Z$103 - lastVal)/400)))))
)
))"),"")</f>
        <v/>
      </c>
      <c r="AB52" s="32" t="str">
        <f>IFERROR(__xludf.DUMMYFUNCTION("IF('Résultats des tournois'!AA$2=0,"""",LET(
lastVal, INDEX(FILTER($B52:AA52, ISNUMBER($B52:AA52)), COUNTA(FILTER($B52:AA52, ISNUMBER($B52:AA52)))),
IFERROR(
IF('Résultats des tournois'!AA52="""", INDEX(FILTER($C52:AA52, ISNUMBER($C52:AA52)), COUNTA(FILTE"&amp;"R($C52:AA52, ISNUMBER($C52:AA52)))),
lastVal + 'K dynamique'!AA52 * ((SQRT('Résultats des tournois'!AA$2 + 1)/'Résultats des tournois'!AA52) - (1 / (1 + 10^((AA$103 - lastVal)/400)))))
)
))"),"")</f>
        <v/>
      </c>
      <c r="AC52" s="32" t="str">
        <f>IFERROR(__xludf.DUMMYFUNCTION("IF('Résultats des tournois'!AB$2=0,"""",LET(
lastVal, INDEX(FILTER($B52:AB52, ISNUMBER($B52:AB52)), COUNTA(FILTER($B52:AB52, ISNUMBER($B52:AB52)))),
IFERROR(
IF('Résultats des tournois'!AB52="""", INDEX(FILTER($C52:AB52, ISNUMBER($C52:AB52)), COUNTA(FILTE"&amp;"R($C52:AB52, ISNUMBER($C52:AB52)))),
lastVal + 'K dynamique'!AB52 * ((SQRT('Résultats des tournois'!AB$2 + 1)/'Résultats des tournois'!AB52) - (1 / (1 + 10^((AB$103 - lastVal)/400)))))
)
))"),"")</f>
        <v/>
      </c>
      <c r="AD52" s="32" t="str">
        <f>IFERROR(__xludf.DUMMYFUNCTION("IF('Résultats des tournois'!AC$2=0,"""",LET(
lastVal, INDEX(FILTER($B52:AC52, ISNUMBER($B52:AC52)), COUNTA(FILTER($B52:AC52, ISNUMBER($B52:AC52)))),
IFERROR(
IF('Résultats des tournois'!AC52="""", INDEX(FILTER($C52:AC52, ISNUMBER($C52:AC52)), COUNTA(FILTE"&amp;"R($C52:AC52, ISNUMBER($C52:AC52)))),
lastVal + 'K dynamique'!AC52 * ((SQRT('Résultats des tournois'!AC$2 + 1)/'Résultats des tournois'!AC52) - (1 / (1 + 10^((AC$103 - lastVal)/400)))))
)
))"),"")</f>
        <v/>
      </c>
      <c r="AE52" s="32" t="str">
        <f>IFERROR(__xludf.DUMMYFUNCTION("IF('Résultats des tournois'!AD$2=0,"""",LET(
lastVal, INDEX(FILTER($B52:AD52, ISNUMBER($B52:AD52)), COUNTA(FILTER($B52:AD52, ISNUMBER($B52:AD52)))),
IFERROR(
IF('Résultats des tournois'!AD52="""", INDEX(FILTER($C52:AD52, ISNUMBER($C52:AD52)), COUNTA(FILTE"&amp;"R($C52:AD52, ISNUMBER($C52:AD52)))),
lastVal + 'K dynamique'!AD52 * ((SQRT('Résultats des tournois'!AD$2 + 1)/'Résultats des tournois'!AD52) - (1 / (1 + 10^((AD$103 - lastVal)/400)))))
)
))"),"")</f>
        <v/>
      </c>
      <c r="AF52" s="32" t="str">
        <f>IFERROR(__xludf.DUMMYFUNCTION("IF('Résultats des tournois'!AE$2=0,"""",LET(
lastVal, INDEX(FILTER($B52:AE52, ISNUMBER($B52:AE52)), COUNTA(FILTER($B52:AE52, ISNUMBER($B52:AE52)))),
IFERROR(
IF('Résultats des tournois'!AE52="""", INDEX(FILTER($C52:AE52, ISNUMBER($C52:AE52)), COUNTA(FILTE"&amp;"R($C52:AE52, ISNUMBER($C52:AE52)))),
lastVal + 'K dynamique'!AE52 * ((SQRT('Résultats des tournois'!AE$2 + 1)/'Résultats des tournois'!AE52) - (1 / (1 + 10^((AE$103 - lastVal)/400)))))
)
))"),"")</f>
        <v/>
      </c>
      <c r="AG52" s="32" t="str">
        <f>IFERROR(__xludf.DUMMYFUNCTION("IF('Résultats des tournois'!AF$2=0,"""",LET(
lastVal, INDEX(FILTER($B52:AF52, ISNUMBER($B52:AF52)), COUNTA(FILTER($B52:AF52, ISNUMBER($B52:AF52)))),
IFERROR(
IF('Résultats des tournois'!AF52="""", INDEX(FILTER($C52:AF52, ISNUMBER($C52:AF52)), COUNTA(FILTE"&amp;"R($C52:AF52, ISNUMBER($C52:AF52)))),
lastVal + 'K dynamique'!AF52 * ((SQRT('Résultats des tournois'!AF$2 + 1)/'Résultats des tournois'!AF52) - (1 / (1 + 10^((AF$103 - lastVal)/400)))))
)
))"),"")</f>
        <v/>
      </c>
      <c r="AH52" s="32" t="str">
        <f>IFERROR(__xludf.DUMMYFUNCTION("IF('Résultats des tournois'!AG$2=0,"""",LET(
lastVal, INDEX(FILTER($B52:AG52, ISNUMBER($B52:AG52)), COUNTA(FILTER($B52:AG52, ISNUMBER($B52:AG52)))),
IFERROR(
IF('Résultats des tournois'!AG52="""", INDEX(FILTER($C52:AG52, ISNUMBER($C52:AG52)), COUNTA(FILTE"&amp;"R($C52:AG52, ISNUMBER($C52:AG52)))),
lastVal + 'K dynamique'!AG52 * ((SQRT('Résultats des tournois'!AG$2 + 1)/'Résultats des tournois'!AG52) - (1 / (1 + 10^((AG$103 - lastVal)/400)))))
)
))"),"")</f>
        <v/>
      </c>
      <c r="AI52" s="32" t="str">
        <f>IFERROR(__xludf.DUMMYFUNCTION("IF('Résultats des tournois'!AH$2=0,"""",LET(
lastVal, INDEX(FILTER($B52:AH52, ISNUMBER($B52:AH52)), COUNTA(FILTER($B52:AH52, ISNUMBER($B52:AH52)))),
IFERROR(
IF('Résultats des tournois'!AH52="""", INDEX(FILTER($C52:AH52, ISNUMBER($C52:AH52)), COUNTA(FILTE"&amp;"R($C52:AH52, ISNUMBER($C52:AH52)))),
lastVal + 'K dynamique'!AH52 * ((SQRT('Résultats des tournois'!AH$2 + 1)/'Résultats des tournois'!AH52) - (1 / (1 + 10^((AH$103 - lastVal)/400)))))
)
))"),"")</f>
        <v/>
      </c>
      <c r="AJ52" s="32" t="str">
        <f>IFERROR(__xludf.DUMMYFUNCTION("IF('Résultats des tournois'!AI$2=0,"""",LET(
lastVal, INDEX(FILTER($B52:AI52, ISNUMBER($B52:AI52)), COUNTA(FILTER($B52:AI52, ISNUMBER($B52:AI52)))),
IFERROR(
IF('Résultats des tournois'!AI52="""", INDEX(FILTER($C52:AI52, ISNUMBER($C52:AI52)), COUNTA(FILTE"&amp;"R($C52:AI52, ISNUMBER($C52:AI52)))),
lastVal + 'K dynamique'!AI52 * ((SQRT('Résultats des tournois'!AI$2 + 1)/'Résultats des tournois'!AI52) - (1 / (1 + 10^((AI$103 - lastVal)/400)))))
)
))"),"")</f>
        <v/>
      </c>
      <c r="AK52" s="32" t="str">
        <f>IFERROR(__xludf.DUMMYFUNCTION("IF('Résultats des tournois'!AJ$2=0,"""",LET(
lastVal, INDEX(FILTER($B52:AJ52, ISNUMBER($B52:AJ52)), COUNTA(FILTER($B52:AJ52, ISNUMBER($B52:AJ52)))),
IFERROR(
IF('Résultats des tournois'!AJ52="""", INDEX(FILTER($C52:AJ52, ISNUMBER($C52:AJ52)), COUNTA(FILTE"&amp;"R($C52:AJ52, ISNUMBER($C52:AJ52)))),
lastVal + 'K dynamique'!AJ52 * ((SQRT('Résultats des tournois'!AJ$2 + 1)/'Résultats des tournois'!AJ52) - (1 / (1 + 10^((AJ$103 - lastVal)/400)))))
)
))"),"")</f>
        <v/>
      </c>
      <c r="AL52" s="32" t="str">
        <f>IFERROR(__xludf.DUMMYFUNCTION("IF('Résultats des tournois'!AK$2=0,"""",LET(
lastVal, INDEX(FILTER($B52:AK52, ISNUMBER($B52:AK52)), COUNTA(FILTER($B52:AK52, ISNUMBER($B52:AK52)))),
IFERROR(
IF('Résultats des tournois'!AK52="""", INDEX(FILTER($C52:AK52, ISNUMBER($C52:AK52)), COUNTA(FILTE"&amp;"R($C52:AK52, ISNUMBER($C52:AK52)))),
lastVal + 'K dynamique'!AK52 * ((SQRT('Résultats des tournois'!AK$2 + 1)/'Résultats des tournois'!AK52) - (1 / (1 + 10^((AK$103 - lastVal)/400)))))
)
))"),"")</f>
        <v/>
      </c>
      <c r="AM52" s="32" t="str">
        <f>IFERROR(__xludf.DUMMYFUNCTION("IF('Résultats des tournois'!AL$2=0,"""",LET(
lastVal, INDEX(FILTER($B52:AL52, ISNUMBER($B52:AL52)), COUNTA(FILTER($B52:AL52, ISNUMBER($B52:AL52)))),
IFERROR(
IF('Résultats des tournois'!AL52="""", INDEX(FILTER($C52:AL52, ISNUMBER($C52:AL52)), COUNTA(FILTE"&amp;"R($C52:AL52, ISNUMBER($C52:AL52)))),
lastVal + 'K dynamique'!AL52 * ((SQRT('Résultats des tournois'!AL$2 + 1)/'Résultats des tournois'!AL52) - (1 / (1 + 10^((AL$103 - lastVal)/400)))))
)
))"),"")</f>
        <v/>
      </c>
      <c r="AN52" s="32" t="str">
        <f>IFERROR(__xludf.DUMMYFUNCTION("IF('Résultats des tournois'!AM$2=0,"""",LET(
lastVal, INDEX(FILTER($B52:AM52, ISNUMBER($B52:AM52)), COUNTA(FILTER($B52:AM52, ISNUMBER($B52:AM52)))),
IFERROR(
IF('Résultats des tournois'!AM52="""", INDEX(FILTER($C52:AM52, ISNUMBER($C52:AM52)), COUNTA(FILTE"&amp;"R($C52:AM52, ISNUMBER($C52:AM52)))),
lastVal + 'K dynamique'!AM52 * ((SQRT('Résultats des tournois'!AM$2 + 1)/'Résultats des tournois'!AM52) - (1 / (1 + 10^((AM$103 - lastVal)/400)))))
)
))"),"")</f>
        <v/>
      </c>
      <c r="AO52" s="32" t="str">
        <f>IFERROR(__xludf.DUMMYFUNCTION("IF('Résultats des tournois'!AN$2=0,"""",LET(
lastVal, INDEX(FILTER($B52:AN52, ISNUMBER($B52:AN52)), COUNTA(FILTER($B52:AN52, ISNUMBER($B52:AN52)))),
IFERROR(
IF('Résultats des tournois'!AN52="""", INDEX(FILTER($C52:AN52, ISNUMBER($C52:AN52)), COUNTA(FILTE"&amp;"R($C52:AN52, ISNUMBER($C52:AN52)))),
lastVal + 'K dynamique'!AN52 * ((SQRT('Résultats des tournois'!AN$2 + 1)/'Résultats des tournois'!AN52) - (1 / (1 + 10^((AN$103 - lastVal)/400)))))
)
))"),"")</f>
        <v/>
      </c>
      <c r="AP52" s="32" t="str">
        <f>IFERROR(__xludf.DUMMYFUNCTION("IF('Résultats des tournois'!AO$2=0,"""",LET(
lastVal, INDEX(FILTER($B52:AO52, ISNUMBER($B52:AO52)), COUNTA(FILTER($B52:AO52, ISNUMBER($B52:AO52)))),
IFERROR(
IF('Résultats des tournois'!AO52="""", INDEX(FILTER($C52:AO52, ISNUMBER($C52:AO52)), COUNTA(FILTE"&amp;"R($C52:AO52, ISNUMBER($C52:AO52)))),
lastVal + 'K dynamique'!AO52 * ((SQRT('Résultats des tournois'!AO$2 + 1)/'Résultats des tournois'!AO52) - (1 / (1 + 10^((AO$103 - lastVal)/400)))))
)
))"),"")</f>
        <v/>
      </c>
      <c r="AQ52" s="32" t="str">
        <f>IFERROR(__xludf.DUMMYFUNCTION("IF('Résultats des tournois'!AP$2=0,"""",LET(
lastVal, INDEX(FILTER($B52:AP52, ISNUMBER($B52:AP52)), COUNTA(FILTER($B52:AP52, ISNUMBER($B52:AP52)))),
IFERROR(
IF('Résultats des tournois'!AP52="""", INDEX(FILTER($C52:AP52, ISNUMBER($C52:AP52)), COUNTA(FILTE"&amp;"R($C52:AP52, ISNUMBER($C52:AP52)))),
lastVal + 'K dynamique'!AP52 * ((SQRT('Résultats des tournois'!AP$2 + 1)/'Résultats des tournois'!AP52) - (1 / (1 + 10^((AP$103 - lastVal)/400)))))
)
))"),"")</f>
        <v/>
      </c>
      <c r="AR52" s="32" t="str">
        <f>IFERROR(__xludf.DUMMYFUNCTION("IF('Résultats des tournois'!AQ$2=0,"""",LET(
lastVal, INDEX(FILTER($B52:AQ52, ISNUMBER($B52:AQ52)), COUNTA(FILTER($B52:AQ52, ISNUMBER($B52:AQ52)))),
IFERROR(
IF('Résultats des tournois'!AQ52="""", INDEX(FILTER($C52:AQ52, ISNUMBER($C52:AQ52)), COUNTA(FILTE"&amp;"R($C52:AQ52, ISNUMBER($C52:AQ52)))),
lastVal + 'K dynamique'!AQ52 * ((SQRT('Résultats des tournois'!AQ$2 + 1)/'Résultats des tournois'!AQ52) - (1 / (1 + 10^((AQ$103 - lastVal)/400)))))
)
))"),"")</f>
        <v/>
      </c>
      <c r="AS52" s="32" t="str">
        <f>IFERROR(__xludf.DUMMYFUNCTION("IF('Résultats des tournois'!AR$2=0,"""",LET(
lastVal, INDEX(FILTER($B52:AR52, ISNUMBER($B52:AR52)), COUNTA(FILTER($B52:AR52, ISNUMBER($B52:AR52)))),
IFERROR(
IF('Résultats des tournois'!AR52="""", INDEX(FILTER($C52:AR52, ISNUMBER($C52:AR52)), COUNTA(FILTE"&amp;"R($C52:AR52, ISNUMBER($C52:AR52)))),
lastVal + 'K dynamique'!AR52 * ((SQRT('Résultats des tournois'!AR$2 + 1)/'Résultats des tournois'!AR52) - (1 / (1 + 10^((AR$103 - lastVal)/400)))))
)
))"),"")</f>
        <v/>
      </c>
      <c r="AT52" s="32" t="str">
        <f>IFERROR(__xludf.DUMMYFUNCTION("IF('Résultats des tournois'!AS$2=0,"""",LET(
lastVal, INDEX(FILTER($B52:AS52, ISNUMBER($B52:AS52)), COUNTA(FILTER($B52:AS52, ISNUMBER($B52:AS52)))),
IFERROR(
IF('Résultats des tournois'!AS52="""", INDEX(FILTER($C52:AS52, ISNUMBER($C52:AS52)), COUNTA(FILTE"&amp;"R($C52:AS52, ISNUMBER($C52:AS52)))),
lastVal + 'K dynamique'!AS52 * ((SQRT('Résultats des tournois'!AS$2 + 1)/'Résultats des tournois'!AS52) - (1 / (1 + 10^((AS$103 - lastVal)/400)))))
)
))"),"")</f>
        <v/>
      </c>
      <c r="AU52" s="32" t="str">
        <f>IFERROR(__xludf.DUMMYFUNCTION("IF('Résultats des tournois'!AT$2=0,"""",LET(
lastVal, INDEX(FILTER($B52:AT52, ISNUMBER($B52:AT52)), COUNTA(FILTER($B52:AT52, ISNUMBER($B52:AT52)))),
IFERROR(
IF('Résultats des tournois'!AT52="""", INDEX(FILTER($C52:AT52, ISNUMBER($C52:AT52)), COUNTA(FILTE"&amp;"R($C52:AT52, ISNUMBER($C52:AT52)))),
lastVal + 'K dynamique'!AT52 * ((SQRT('Résultats des tournois'!AT$2 + 1)/'Résultats des tournois'!AT52) - (1 / (1 + 10^((AT$103 - lastVal)/400)))))
)
))"),"")</f>
        <v/>
      </c>
      <c r="AV52" s="32" t="str">
        <f>IFERROR(__xludf.DUMMYFUNCTION("IF('Résultats des tournois'!AU$2=0,"""",LET(
lastVal, INDEX(FILTER($B52:AU52, ISNUMBER($B52:AU52)), COUNTA(FILTER($B52:AU52, ISNUMBER($B52:AU52)))),
IFERROR(
IF('Résultats des tournois'!AU52="""", INDEX(FILTER($C52:AU52, ISNUMBER($C52:AU52)), COUNTA(FILTE"&amp;"R($C52:AU52, ISNUMBER($C52:AU52)))),
lastVal + 'K dynamique'!AU52 * ((SQRT('Résultats des tournois'!AU$2 + 1)/'Résultats des tournois'!AU52) - (1 / (1 + 10^((AU$103 - lastVal)/400)))))
)
))"),"")</f>
        <v/>
      </c>
      <c r="AW52" s="32" t="str">
        <f>IFERROR(__xludf.DUMMYFUNCTION("IF('Résultats des tournois'!AV$2=0,"""",LET(
lastVal, INDEX(FILTER($B52:AV52, ISNUMBER($B52:AV52)), COUNTA(FILTER($B52:AV52, ISNUMBER($B52:AV52)))),
IFERROR(
IF('Résultats des tournois'!AV52="""", INDEX(FILTER($C52:AV52, ISNUMBER($C52:AV52)), COUNTA(FILTE"&amp;"R($C52:AV52, ISNUMBER($C52:AV52)))),
lastVal + 'K dynamique'!AV52 * ((SQRT('Résultats des tournois'!AV$2 + 1)/'Résultats des tournois'!AV52) - (1 / (1 + 10^((AV$103 - lastVal)/400)))))
)
))"),"")</f>
        <v/>
      </c>
      <c r="AX52" s="32" t="str">
        <f>IFERROR(__xludf.DUMMYFUNCTION("IF('Résultats des tournois'!AW$2=0,"""",LET(
lastVal, INDEX(FILTER($B52:AW52, ISNUMBER($B52:AW52)), COUNTA(FILTER($B52:AW52, ISNUMBER($B52:AW52)))),
IFERROR(
IF('Résultats des tournois'!AW52="""", INDEX(FILTER($C52:AW52, ISNUMBER($C52:AW52)), COUNTA(FILTE"&amp;"R($C52:AW52, ISNUMBER($C52:AW52)))),
lastVal + 'K dynamique'!AW52 * ((SQRT('Résultats des tournois'!AW$2 + 1)/'Résultats des tournois'!AW52) - (1 / (1 + 10^((AW$103 - lastVal)/400)))))
)
))"),"")</f>
        <v/>
      </c>
      <c r="AY52" s="32" t="str">
        <f>IFERROR(__xludf.DUMMYFUNCTION("IF('Résultats des tournois'!AX$2=0,"""",LET(
lastVal, INDEX(FILTER($B52:AX52, ISNUMBER($B52:AX52)), COUNTA(FILTER($B52:AX52, ISNUMBER($B52:AX52)))),
IFERROR(
IF('Résultats des tournois'!AX52="""", INDEX(FILTER($C52:AX52, ISNUMBER($C52:AX52)), COUNTA(FILTE"&amp;"R($C52:AX52, ISNUMBER($C52:AX52)))),
lastVal + 'K dynamique'!AX52 * ((SQRT('Résultats des tournois'!AX$2 + 1)/'Résultats des tournois'!AX52) - (1 / (1 + 10^((AX$103 - lastVal)/400)))))
)
))"),"")</f>
        <v/>
      </c>
      <c r="AZ52" s="4" t="str">
        <f t="array" ref="AZ52">IF(MAX(($C52:AY52&lt;&gt;"")*COLUMN($C52:AY52))=0,"",INDEX($C52:AY52,1,MAX(($C52:AY52&lt;&gt;"")*COLUMN($C52:AY52))-COLUMN($C52)+1))</f>
        <v/>
      </c>
      <c r="BA52" s="33" t="str">
        <f t="shared" si="1"/>
        <v/>
      </c>
    </row>
    <row r="53" ht="14.25" customHeight="1">
      <c r="A53" s="32" t="str">
        <f>IF('Résultats des tournois'!A53="","",'Résultats des tournois'!A53)</f>
        <v/>
      </c>
      <c r="B53" s="32">
        <v>1500.0</v>
      </c>
      <c r="C53" s="32" t="str">
        <f>IF('Résultats des tournois'!B53="","",B53+'K dynamique'!B53*((SQRT('Résultats des tournois'!B$2+1)/'Résultats des tournois'!B53)-(1/(1+10^((B53-B53)/400)))))</f>
        <v/>
      </c>
      <c r="D53" s="32" t="str">
        <f>IFERROR(__xludf.DUMMYFUNCTION("IF('Résultats des tournois'!C$2=0,"""",LET(
lastVal, INDEX(FILTER($B53:C53, ISNUMBER($B53:C53)), COUNTA(FILTER($B53:C53, ISNUMBER($B53:C53)))),
IFERROR(
IF('Résultats des tournois'!C53="""", INDEX(FILTER($C53:C53, ISNUMBER($C53:C53)), COUNTA(FILTER($C53:C"&amp;"53, ISNUMBER($C53:C53)))),
lastVal + 'K dynamique'!C53 * ((SQRT('Résultats des tournois'!C$2 + 1)/'Résultats des tournois'!C53) - (1 / (1 + 10^((C$103 - lastVal)/400)))))
)
))"),"")</f>
        <v/>
      </c>
      <c r="E53" s="32" t="str">
        <f>IFERROR(__xludf.DUMMYFUNCTION("IF('Résultats des tournois'!D$2=0,"""",LET(
lastVal, INDEX(FILTER($B53:D53, ISNUMBER($B53:D53)), COUNTA(FILTER($B53:D53, ISNUMBER($B53:D53)))),
IFERROR(
IF('Résultats des tournois'!D53="""", INDEX(FILTER($C53:D53, ISNUMBER($C53:D53)), COUNTA(FILTER($C53:D"&amp;"53, ISNUMBER($C53:D53)))),
lastVal + 'K dynamique'!D53 * ((SQRT('Résultats des tournois'!D$2 + 1)/'Résultats des tournois'!D53) - (1 / (1 + 10^((D$103 - lastVal)/400)))))
)
))"),"")</f>
        <v/>
      </c>
      <c r="F53" s="32" t="str">
        <f>IFERROR(__xludf.DUMMYFUNCTION("IF('Résultats des tournois'!E$2=0,"""",LET(
lastVal, INDEX(FILTER($B53:E53, ISNUMBER($B53:E53)), COUNTA(FILTER($B53:E53, ISNUMBER($B53:E53)))),
IFERROR(
IF('Résultats des tournois'!E53="""", INDEX(FILTER($C53:E53, ISNUMBER($C53:E53)), COUNTA(FILTER($C53:E"&amp;"53, ISNUMBER($C53:E53)))),
lastVal + 'K dynamique'!E53 * ((SQRT('Résultats des tournois'!E$2 + 1)/'Résultats des tournois'!E53) - (1 / (1 + 10^((E$103 - lastVal)/400)))))
)
))"),"")</f>
        <v/>
      </c>
      <c r="G53" s="32" t="str">
        <f>IFERROR(__xludf.DUMMYFUNCTION("IF('Résultats des tournois'!F$2=0,"""",LET(
lastVal, INDEX(FILTER($B53:F53, ISNUMBER($B53:F53)), COUNTA(FILTER($B53:F53, ISNUMBER($B53:F53)))),
IFERROR(
IF('Résultats des tournois'!F53="""", INDEX(FILTER($C53:F53, ISNUMBER($C53:F53)), COUNTA(FILTER($C53:F"&amp;"53, ISNUMBER($C53:F53)))),
lastVal + 'K dynamique'!F53 * ((SQRT('Résultats des tournois'!F$2 + 1)/'Résultats des tournois'!F53) - (1 / (1 + 10^((F$103 - lastVal)/400)))))
)
))"),"")</f>
        <v/>
      </c>
      <c r="H53" s="32" t="str">
        <f>IFERROR(__xludf.DUMMYFUNCTION("IF('Résultats des tournois'!G$2=0,"""",LET(
lastVal, INDEX(FILTER($B53:G53, ISNUMBER($B53:G53)), COUNTA(FILTER($B53:G53, ISNUMBER($B53:G53)))),
IFERROR(
IF('Résultats des tournois'!G53="""", INDEX(FILTER($C53:G53, ISNUMBER($C53:G53)), COUNTA(FILTER($C53:G"&amp;"53, ISNUMBER($C53:G53)))),
lastVal + 'K dynamique'!G53 * ((SQRT('Résultats des tournois'!G$2 + 1)/'Résultats des tournois'!G53) - (1 / (1 + 10^((G$103 - lastVal)/400)))))
)
))"),"")</f>
        <v/>
      </c>
      <c r="I53" s="32" t="str">
        <f>IFERROR(__xludf.DUMMYFUNCTION("IF('Résultats des tournois'!H$2=0,"""",LET(
lastVal, INDEX(FILTER($B53:H53, ISNUMBER($B53:H53)), COUNTA(FILTER($B53:H53, ISNUMBER($B53:H53)))),
IFERROR(
IF('Résultats des tournois'!H53="""", INDEX(FILTER($C53:H53, ISNUMBER($C53:H53)), COUNTA(FILTER($C53:H"&amp;"53, ISNUMBER($C53:H53)))),
lastVal + 'K dynamique'!H53 * ((SQRT('Résultats des tournois'!H$2 + 1)/'Résultats des tournois'!H53) - (1 / (1 + 10^((H$103 - lastVal)/400)))))
)
))"),"")</f>
        <v/>
      </c>
      <c r="J53" s="32" t="str">
        <f>IFERROR(__xludf.DUMMYFUNCTION("IF('Résultats des tournois'!I$2=0,"""",LET(
lastVal, INDEX(FILTER($B53:I53, ISNUMBER($B53:I53)), COUNTA(FILTER($B53:I53, ISNUMBER($B53:I53)))),
IFERROR(
IF('Résultats des tournois'!I53="""", INDEX(FILTER($C53:I53, ISNUMBER($C53:I53)), COUNTA(FILTER($C53:I"&amp;"53, ISNUMBER($C53:I53)))),
lastVal + 'K dynamique'!I53 * ((SQRT('Résultats des tournois'!I$2 + 1)/'Résultats des tournois'!I53) - (1 / (1 + 10^((I$103 - lastVal)/400)))))
)
))"),"")</f>
        <v/>
      </c>
      <c r="K53" s="32" t="str">
        <f>IFERROR(__xludf.DUMMYFUNCTION("IF('Résultats des tournois'!J$2=0,"""",LET(
lastVal, INDEX(FILTER($B53:J53, ISNUMBER($B53:J53)), COUNTA(FILTER($B53:J53, ISNUMBER($B53:J53)))),
IFERROR(
IF('Résultats des tournois'!J53="""", INDEX(FILTER($C53:J53, ISNUMBER($C53:J53)), COUNTA(FILTER($C53:J"&amp;"53, ISNUMBER($C53:J53)))),
lastVal + 'K dynamique'!J53 * ((SQRT('Résultats des tournois'!J$2 + 1)/'Résultats des tournois'!J53) - (1 / (1 + 10^((J$103 - lastVal)/400)))))
)
))"),"")</f>
        <v/>
      </c>
      <c r="L53" s="32" t="str">
        <f>IFERROR(__xludf.DUMMYFUNCTION("IF('Résultats des tournois'!K$2=0,"""",LET(
lastVal, INDEX(FILTER($B53:K53, ISNUMBER($B53:K53)), COUNTA(FILTER($B53:K53, ISNUMBER($B53:K53)))),
IFERROR(
IF('Résultats des tournois'!K53="""", INDEX(FILTER($C53:K53, ISNUMBER($C53:K53)), COUNTA(FILTER($C53:K"&amp;"53, ISNUMBER($C53:K53)))),
lastVal + 'K dynamique'!K53 * ((SQRT('Résultats des tournois'!K$2 + 1)/'Résultats des tournois'!K53) - (1 / (1 + 10^((K$103 - lastVal)/400)))))
)
))"),"")</f>
        <v/>
      </c>
      <c r="M53" s="32" t="str">
        <f>IFERROR(__xludf.DUMMYFUNCTION("IF('Résultats des tournois'!L$2=0,"""",LET(
lastVal, INDEX(FILTER($B53:L53, ISNUMBER($B53:L53)), COUNTA(FILTER($B53:L53, ISNUMBER($B53:L53)))),
IFERROR(
IF('Résultats des tournois'!L53="""", INDEX(FILTER($C53:L53, ISNUMBER($C53:L53)), COUNTA(FILTER($C53:L"&amp;"53, ISNUMBER($C53:L53)))),
lastVal + 'K dynamique'!L53 * ((SQRT('Résultats des tournois'!L$2 + 1)/'Résultats des tournois'!L53) - (1 / (1 + 10^((L$103 - lastVal)/400)))))
)
))"),"")</f>
        <v/>
      </c>
      <c r="N53" s="32" t="str">
        <f>IFERROR(__xludf.DUMMYFUNCTION("IF('Résultats des tournois'!M$2=0,"""",LET(
lastVal, INDEX(FILTER($B53:M53, ISNUMBER($B53:M53)), COUNTA(FILTER($B53:M53, ISNUMBER($B53:M53)))),
IFERROR(
IF('Résultats des tournois'!M53="""", INDEX(FILTER($C53:M53, ISNUMBER($C53:M53)), COUNTA(FILTER($C53:M"&amp;"53, ISNUMBER($C53:M53)))),
lastVal + 'K dynamique'!M53 * ((SQRT('Résultats des tournois'!M$2 + 1)/'Résultats des tournois'!M53) - (1 / (1 + 10^((M$103 - lastVal)/400)))))
)
))"),"")</f>
        <v/>
      </c>
      <c r="O53" s="32" t="str">
        <f>IFERROR(__xludf.DUMMYFUNCTION("IF('Résultats des tournois'!N$2=0,"""",LET(
lastVal, INDEX(FILTER($B53:N53, ISNUMBER($B53:N53)), COUNTA(FILTER($B53:N53, ISNUMBER($B53:N53)))),
IFERROR(
IF('Résultats des tournois'!N53="""", INDEX(FILTER($C53:N53, ISNUMBER($C53:N53)), COUNTA(FILTER($C53:N"&amp;"53, ISNUMBER($C53:N53)))),
lastVal + 'K dynamique'!N53 * ((SQRT('Résultats des tournois'!N$2 + 1)/'Résultats des tournois'!N53) - (1 / (1 + 10^((N$103 - lastVal)/400)))))
)
))"),"")</f>
        <v/>
      </c>
      <c r="P53" s="32" t="str">
        <f>IFERROR(__xludf.DUMMYFUNCTION("IF('Résultats des tournois'!O$2=0,"""",LET(
lastVal, INDEX(FILTER($B53:O53, ISNUMBER($B53:O53)), COUNTA(FILTER($B53:O53, ISNUMBER($B53:O53)))),
IFERROR(
IF('Résultats des tournois'!O53="""", INDEX(FILTER($C53:O53, ISNUMBER($C53:O53)), COUNTA(FILTER($C53:O"&amp;"53, ISNUMBER($C53:O53)))),
lastVal + 'K dynamique'!O53 * ((SQRT('Résultats des tournois'!O$2 + 1)/'Résultats des tournois'!O53) - (1 / (1 + 10^((O$103 - lastVal)/400)))))
)
))"),"")</f>
        <v/>
      </c>
      <c r="Q53" s="32" t="str">
        <f>IFERROR(__xludf.DUMMYFUNCTION("IF('Résultats des tournois'!P$2=0,"""",LET(
lastVal, INDEX(FILTER($B53:P53, ISNUMBER($B53:P53)), COUNTA(FILTER($B53:P53, ISNUMBER($B53:P53)))),
IFERROR(
IF('Résultats des tournois'!P53="""", INDEX(FILTER($C53:P53, ISNUMBER($C53:P53)), COUNTA(FILTER($C53:P"&amp;"53, ISNUMBER($C53:P53)))),
lastVal + 'K dynamique'!P53 * ((SQRT('Résultats des tournois'!P$2 + 1)/'Résultats des tournois'!P53) - (1 / (1 + 10^((P$103 - lastVal)/400)))))
)
))"),"")</f>
        <v/>
      </c>
      <c r="R53" s="32" t="str">
        <f>IFERROR(__xludf.DUMMYFUNCTION("IF('Résultats des tournois'!Q$2=0,"""",LET(
lastVal, INDEX(FILTER($B53:Q53, ISNUMBER($B53:Q53)), COUNTA(FILTER($B53:Q53, ISNUMBER($B53:Q53)))),
IFERROR(
IF('Résultats des tournois'!Q53="""", INDEX(FILTER($C53:Q53, ISNUMBER($C53:Q53)), COUNTA(FILTER($C53:Q"&amp;"53, ISNUMBER($C53:Q53)))),
lastVal + 'K dynamique'!Q53 * ((SQRT('Résultats des tournois'!Q$2 + 1)/'Résultats des tournois'!Q53) - (1 / (1 + 10^((Q$103 - lastVal)/400)))))
)
))"),"")</f>
        <v/>
      </c>
      <c r="S53" s="32" t="str">
        <f>IFERROR(__xludf.DUMMYFUNCTION("IF('Résultats des tournois'!R$2=0,"""",LET(
lastVal, INDEX(FILTER($B53:R53, ISNUMBER($B53:R53)), COUNTA(FILTER($B53:R53, ISNUMBER($B53:R53)))),
IFERROR(
IF('Résultats des tournois'!R53="""", INDEX(FILTER($C53:R53, ISNUMBER($C53:R53)), COUNTA(FILTER($C53:R"&amp;"53, ISNUMBER($C53:R53)))),
lastVal + 'K dynamique'!R53 * ((SQRT('Résultats des tournois'!R$2 + 1)/'Résultats des tournois'!R53) - (1 / (1 + 10^((R$103 - lastVal)/400)))))
)
))"),"")</f>
        <v/>
      </c>
      <c r="T53" s="32" t="str">
        <f>IFERROR(__xludf.DUMMYFUNCTION("IF('Résultats des tournois'!S$2=0,"""",LET(
lastVal, INDEX(FILTER($B53:S53, ISNUMBER($B53:S53)), COUNTA(FILTER($B53:S53, ISNUMBER($B53:S53)))),
IFERROR(
IF('Résultats des tournois'!S53="""", INDEX(FILTER($C53:S53, ISNUMBER($C53:S53)), COUNTA(FILTER($C53:S"&amp;"53, ISNUMBER($C53:S53)))),
lastVal + 'K dynamique'!S53 * ((SQRT('Résultats des tournois'!S$2 + 1)/'Résultats des tournois'!S53) - (1 / (1 + 10^((S$103 - lastVal)/400)))))
)
))"),"")</f>
        <v/>
      </c>
      <c r="U53" s="32" t="str">
        <f>IFERROR(__xludf.DUMMYFUNCTION("IF('Résultats des tournois'!T$2=0,"""",LET(
lastVal, INDEX(FILTER($B53:T53, ISNUMBER($B53:T53)), COUNTA(FILTER($B53:T53, ISNUMBER($B53:T53)))),
IFERROR(
IF('Résultats des tournois'!T53="""", INDEX(FILTER($C53:T53, ISNUMBER($C53:T53)), COUNTA(FILTER($C53:T"&amp;"53, ISNUMBER($C53:T53)))),
lastVal + 'K dynamique'!T53 * ((SQRT('Résultats des tournois'!T$2 + 1)/'Résultats des tournois'!T53) - (1 / (1 + 10^((T$103 - lastVal)/400)))))
)
))"),"")</f>
        <v/>
      </c>
      <c r="V53" s="32" t="str">
        <f>IFERROR(__xludf.DUMMYFUNCTION("IF('Résultats des tournois'!U$2=0,"""",LET(
lastVal, INDEX(FILTER($B53:U53, ISNUMBER($B53:U53)), COUNTA(FILTER($B53:U53, ISNUMBER($B53:U53)))),
IFERROR(
IF('Résultats des tournois'!U53="""", INDEX(FILTER($C53:U53, ISNUMBER($C53:U53)), COUNTA(FILTER($C53:U"&amp;"53, ISNUMBER($C53:U53)))),
lastVal + 'K dynamique'!U53 * ((SQRT('Résultats des tournois'!U$2 + 1)/'Résultats des tournois'!U53) - (1 / (1 + 10^((U$103 - lastVal)/400)))))
)
))"),"")</f>
        <v/>
      </c>
      <c r="W53" s="32" t="str">
        <f>IFERROR(__xludf.DUMMYFUNCTION("IF('Résultats des tournois'!V$2=0,"""",LET(
lastVal, INDEX(FILTER($B53:V53, ISNUMBER($B53:V53)), COUNTA(FILTER($B53:V53, ISNUMBER($B53:V53)))),
IFERROR(
IF('Résultats des tournois'!V53="""", INDEX(FILTER($C53:V53, ISNUMBER($C53:V53)), COUNTA(FILTER($C53:V"&amp;"53, ISNUMBER($C53:V53)))),
lastVal + 'K dynamique'!V53 * ((SQRT('Résultats des tournois'!V$2 + 1)/'Résultats des tournois'!V53) - (1 / (1 + 10^((V$103 - lastVal)/400)))))
)
))"),"")</f>
        <v/>
      </c>
      <c r="X53" s="32" t="str">
        <f>IFERROR(__xludf.DUMMYFUNCTION("IF('Résultats des tournois'!W$2=0,"""",LET(
lastVal, INDEX(FILTER($B53:W53, ISNUMBER($B53:W53)), COUNTA(FILTER($B53:W53, ISNUMBER($B53:W53)))),
IFERROR(
IF('Résultats des tournois'!W53="""", INDEX(FILTER($C53:W53, ISNUMBER($C53:W53)), COUNTA(FILTER($C53:W"&amp;"53, ISNUMBER($C53:W53)))),
lastVal + 'K dynamique'!W53 * ((SQRT('Résultats des tournois'!W$2 + 1)/'Résultats des tournois'!W53) - (1 / (1 + 10^((W$103 - lastVal)/400)))))
)
))"),"")</f>
        <v/>
      </c>
      <c r="Y53" s="32" t="str">
        <f>IFERROR(__xludf.DUMMYFUNCTION("IF('Résultats des tournois'!X$2=0,"""",LET(
lastVal, INDEX(FILTER($B53:X53, ISNUMBER($B53:X53)), COUNTA(FILTER($B53:X53, ISNUMBER($B53:X53)))),
IFERROR(
IF('Résultats des tournois'!X53="""", INDEX(FILTER($C53:X53, ISNUMBER($C53:X53)), COUNTA(FILTER($C53:X"&amp;"53, ISNUMBER($C53:X53)))),
lastVal + 'K dynamique'!X53 * ((SQRT('Résultats des tournois'!X$2 + 1)/'Résultats des tournois'!X53) - (1 / (1 + 10^((X$103 - lastVal)/400)))))
)
))"),"")</f>
        <v/>
      </c>
      <c r="Z53" s="32" t="str">
        <f>IFERROR(__xludf.DUMMYFUNCTION("IF('Résultats des tournois'!Y$2=0,"""",LET(
lastVal, INDEX(FILTER($B53:Y53, ISNUMBER($B53:Y53)), COUNTA(FILTER($B53:Y53, ISNUMBER($B53:Y53)))),
IFERROR(
IF('Résultats des tournois'!Y53="""", INDEX(FILTER($C53:Y53, ISNUMBER($C53:Y53)), COUNTA(FILTER($C53:Y"&amp;"53, ISNUMBER($C53:Y53)))),
lastVal + 'K dynamique'!Y53 * ((SQRT('Résultats des tournois'!Y$2 + 1)/'Résultats des tournois'!Y53) - (1 / (1 + 10^((Y$103 - lastVal)/400)))))
)
))"),"")</f>
        <v/>
      </c>
      <c r="AA53" s="32" t="str">
        <f>IFERROR(__xludf.DUMMYFUNCTION("IF('Résultats des tournois'!Z$2=0,"""",LET(
lastVal, INDEX(FILTER($B53:Z53, ISNUMBER($B53:Z53)), COUNTA(FILTER($B53:Z53, ISNUMBER($B53:Z53)))),
IFERROR(
IF('Résultats des tournois'!Z53="""", INDEX(FILTER($C53:Z53, ISNUMBER($C53:Z53)), COUNTA(FILTER($C53:Z"&amp;"53, ISNUMBER($C53:Z53)))),
lastVal + 'K dynamique'!Z53 * ((SQRT('Résultats des tournois'!Z$2 + 1)/'Résultats des tournois'!Z53) - (1 / (1 + 10^((Z$103 - lastVal)/400)))))
)
))"),"")</f>
        <v/>
      </c>
      <c r="AB53" s="32" t="str">
        <f>IFERROR(__xludf.DUMMYFUNCTION("IF('Résultats des tournois'!AA$2=0,"""",LET(
lastVal, INDEX(FILTER($B53:AA53, ISNUMBER($B53:AA53)), COUNTA(FILTER($B53:AA53, ISNUMBER($B53:AA53)))),
IFERROR(
IF('Résultats des tournois'!AA53="""", INDEX(FILTER($C53:AA53, ISNUMBER($C53:AA53)), COUNTA(FILTE"&amp;"R($C53:AA53, ISNUMBER($C53:AA53)))),
lastVal + 'K dynamique'!AA53 * ((SQRT('Résultats des tournois'!AA$2 + 1)/'Résultats des tournois'!AA53) - (1 / (1 + 10^((AA$103 - lastVal)/400)))))
)
))"),"")</f>
        <v/>
      </c>
      <c r="AC53" s="32" t="str">
        <f>IFERROR(__xludf.DUMMYFUNCTION("IF('Résultats des tournois'!AB$2=0,"""",LET(
lastVal, INDEX(FILTER($B53:AB53, ISNUMBER($B53:AB53)), COUNTA(FILTER($B53:AB53, ISNUMBER($B53:AB53)))),
IFERROR(
IF('Résultats des tournois'!AB53="""", INDEX(FILTER($C53:AB53, ISNUMBER($C53:AB53)), COUNTA(FILTE"&amp;"R($C53:AB53, ISNUMBER($C53:AB53)))),
lastVal + 'K dynamique'!AB53 * ((SQRT('Résultats des tournois'!AB$2 + 1)/'Résultats des tournois'!AB53) - (1 / (1 + 10^((AB$103 - lastVal)/400)))))
)
))"),"")</f>
        <v/>
      </c>
      <c r="AD53" s="32" t="str">
        <f>IFERROR(__xludf.DUMMYFUNCTION("IF('Résultats des tournois'!AC$2=0,"""",LET(
lastVal, INDEX(FILTER($B53:AC53, ISNUMBER($B53:AC53)), COUNTA(FILTER($B53:AC53, ISNUMBER($B53:AC53)))),
IFERROR(
IF('Résultats des tournois'!AC53="""", INDEX(FILTER($C53:AC53, ISNUMBER($C53:AC53)), COUNTA(FILTE"&amp;"R($C53:AC53, ISNUMBER($C53:AC53)))),
lastVal + 'K dynamique'!AC53 * ((SQRT('Résultats des tournois'!AC$2 + 1)/'Résultats des tournois'!AC53) - (1 / (1 + 10^((AC$103 - lastVal)/400)))))
)
))"),"")</f>
        <v/>
      </c>
      <c r="AE53" s="32" t="str">
        <f>IFERROR(__xludf.DUMMYFUNCTION("IF('Résultats des tournois'!AD$2=0,"""",LET(
lastVal, INDEX(FILTER($B53:AD53, ISNUMBER($B53:AD53)), COUNTA(FILTER($B53:AD53, ISNUMBER($B53:AD53)))),
IFERROR(
IF('Résultats des tournois'!AD53="""", INDEX(FILTER($C53:AD53, ISNUMBER($C53:AD53)), COUNTA(FILTE"&amp;"R($C53:AD53, ISNUMBER($C53:AD53)))),
lastVal + 'K dynamique'!AD53 * ((SQRT('Résultats des tournois'!AD$2 + 1)/'Résultats des tournois'!AD53) - (1 / (1 + 10^((AD$103 - lastVal)/400)))))
)
))"),"")</f>
        <v/>
      </c>
      <c r="AF53" s="32" t="str">
        <f>IFERROR(__xludf.DUMMYFUNCTION("IF('Résultats des tournois'!AE$2=0,"""",LET(
lastVal, INDEX(FILTER($B53:AE53, ISNUMBER($B53:AE53)), COUNTA(FILTER($B53:AE53, ISNUMBER($B53:AE53)))),
IFERROR(
IF('Résultats des tournois'!AE53="""", INDEX(FILTER($C53:AE53, ISNUMBER($C53:AE53)), COUNTA(FILTE"&amp;"R($C53:AE53, ISNUMBER($C53:AE53)))),
lastVal + 'K dynamique'!AE53 * ((SQRT('Résultats des tournois'!AE$2 + 1)/'Résultats des tournois'!AE53) - (1 / (1 + 10^((AE$103 - lastVal)/400)))))
)
))"),"")</f>
        <v/>
      </c>
      <c r="AG53" s="32" t="str">
        <f>IFERROR(__xludf.DUMMYFUNCTION("IF('Résultats des tournois'!AF$2=0,"""",LET(
lastVal, INDEX(FILTER($B53:AF53, ISNUMBER($B53:AF53)), COUNTA(FILTER($B53:AF53, ISNUMBER($B53:AF53)))),
IFERROR(
IF('Résultats des tournois'!AF53="""", INDEX(FILTER($C53:AF53, ISNUMBER($C53:AF53)), COUNTA(FILTE"&amp;"R($C53:AF53, ISNUMBER($C53:AF53)))),
lastVal + 'K dynamique'!AF53 * ((SQRT('Résultats des tournois'!AF$2 + 1)/'Résultats des tournois'!AF53) - (1 / (1 + 10^((AF$103 - lastVal)/400)))))
)
))"),"")</f>
        <v/>
      </c>
      <c r="AH53" s="32" t="str">
        <f>IFERROR(__xludf.DUMMYFUNCTION("IF('Résultats des tournois'!AG$2=0,"""",LET(
lastVal, INDEX(FILTER($B53:AG53, ISNUMBER($B53:AG53)), COUNTA(FILTER($B53:AG53, ISNUMBER($B53:AG53)))),
IFERROR(
IF('Résultats des tournois'!AG53="""", INDEX(FILTER($C53:AG53, ISNUMBER($C53:AG53)), COUNTA(FILTE"&amp;"R($C53:AG53, ISNUMBER($C53:AG53)))),
lastVal + 'K dynamique'!AG53 * ((SQRT('Résultats des tournois'!AG$2 + 1)/'Résultats des tournois'!AG53) - (1 / (1 + 10^((AG$103 - lastVal)/400)))))
)
))"),"")</f>
        <v/>
      </c>
      <c r="AI53" s="32" t="str">
        <f>IFERROR(__xludf.DUMMYFUNCTION("IF('Résultats des tournois'!AH$2=0,"""",LET(
lastVal, INDEX(FILTER($B53:AH53, ISNUMBER($B53:AH53)), COUNTA(FILTER($B53:AH53, ISNUMBER($B53:AH53)))),
IFERROR(
IF('Résultats des tournois'!AH53="""", INDEX(FILTER($C53:AH53, ISNUMBER($C53:AH53)), COUNTA(FILTE"&amp;"R($C53:AH53, ISNUMBER($C53:AH53)))),
lastVal + 'K dynamique'!AH53 * ((SQRT('Résultats des tournois'!AH$2 + 1)/'Résultats des tournois'!AH53) - (1 / (1 + 10^((AH$103 - lastVal)/400)))))
)
))"),"")</f>
        <v/>
      </c>
      <c r="AJ53" s="32" t="str">
        <f>IFERROR(__xludf.DUMMYFUNCTION("IF('Résultats des tournois'!AI$2=0,"""",LET(
lastVal, INDEX(FILTER($B53:AI53, ISNUMBER($B53:AI53)), COUNTA(FILTER($B53:AI53, ISNUMBER($B53:AI53)))),
IFERROR(
IF('Résultats des tournois'!AI53="""", INDEX(FILTER($C53:AI53, ISNUMBER($C53:AI53)), COUNTA(FILTE"&amp;"R($C53:AI53, ISNUMBER($C53:AI53)))),
lastVal + 'K dynamique'!AI53 * ((SQRT('Résultats des tournois'!AI$2 + 1)/'Résultats des tournois'!AI53) - (1 / (1 + 10^((AI$103 - lastVal)/400)))))
)
))"),"")</f>
        <v/>
      </c>
      <c r="AK53" s="32" t="str">
        <f>IFERROR(__xludf.DUMMYFUNCTION("IF('Résultats des tournois'!AJ$2=0,"""",LET(
lastVal, INDEX(FILTER($B53:AJ53, ISNUMBER($B53:AJ53)), COUNTA(FILTER($B53:AJ53, ISNUMBER($B53:AJ53)))),
IFERROR(
IF('Résultats des tournois'!AJ53="""", INDEX(FILTER($C53:AJ53, ISNUMBER($C53:AJ53)), COUNTA(FILTE"&amp;"R($C53:AJ53, ISNUMBER($C53:AJ53)))),
lastVal + 'K dynamique'!AJ53 * ((SQRT('Résultats des tournois'!AJ$2 + 1)/'Résultats des tournois'!AJ53) - (1 / (1 + 10^((AJ$103 - lastVal)/400)))))
)
))"),"")</f>
        <v/>
      </c>
      <c r="AL53" s="32" t="str">
        <f>IFERROR(__xludf.DUMMYFUNCTION("IF('Résultats des tournois'!AK$2=0,"""",LET(
lastVal, INDEX(FILTER($B53:AK53, ISNUMBER($B53:AK53)), COUNTA(FILTER($B53:AK53, ISNUMBER($B53:AK53)))),
IFERROR(
IF('Résultats des tournois'!AK53="""", INDEX(FILTER($C53:AK53, ISNUMBER($C53:AK53)), COUNTA(FILTE"&amp;"R($C53:AK53, ISNUMBER($C53:AK53)))),
lastVal + 'K dynamique'!AK53 * ((SQRT('Résultats des tournois'!AK$2 + 1)/'Résultats des tournois'!AK53) - (1 / (1 + 10^((AK$103 - lastVal)/400)))))
)
))"),"")</f>
        <v/>
      </c>
      <c r="AM53" s="32" t="str">
        <f>IFERROR(__xludf.DUMMYFUNCTION("IF('Résultats des tournois'!AL$2=0,"""",LET(
lastVal, INDEX(FILTER($B53:AL53, ISNUMBER($B53:AL53)), COUNTA(FILTER($B53:AL53, ISNUMBER($B53:AL53)))),
IFERROR(
IF('Résultats des tournois'!AL53="""", INDEX(FILTER($C53:AL53, ISNUMBER($C53:AL53)), COUNTA(FILTE"&amp;"R($C53:AL53, ISNUMBER($C53:AL53)))),
lastVal + 'K dynamique'!AL53 * ((SQRT('Résultats des tournois'!AL$2 + 1)/'Résultats des tournois'!AL53) - (1 / (1 + 10^((AL$103 - lastVal)/400)))))
)
))"),"")</f>
        <v/>
      </c>
      <c r="AN53" s="32" t="str">
        <f>IFERROR(__xludf.DUMMYFUNCTION("IF('Résultats des tournois'!AM$2=0,"""",LET(
lastVal, INDEX(FILTER($B53:AM53, ISNUMBER($B53:AM53)), COUNTA(FILTER($B53:AM53, ISNUMBER($B53:AM53)))),
IFERROR(
IF('Résultats des tournois'!AM53="""", INDEX(FILTER($C53:AM53, ISNUMBER($C53:AM53)), COUNTA(FILTE"&amp;"R($C53:AM53, ISNUMBER($C53:AM53)))),
lastVal + 'K dynamique'!AM53 * ((SQRT('Résultats des tournois'!AM$2 + 1)/'Résultats des tournois'!AM53) - (1 / (1 + 10^((AM$103 - lastVal)/400)))))
)
))"),"")</f>
        <v/>
      </c>
      <c r="AO53" s="32" t="str">
        <f>IFERROR(__xludf.DUMMYFUNCTION("IF('Résultats des tournois'!AN$2=0,"""",LET(
lastVal, INDEX(FILTER($B53:AN53, ISNUMBER($B53:AN53)), COUNTA(FILTER($B53:AN53, ISNUMBER($B53:AN53)))),
IFERROR(
IF('Résultats des tournois'!AN53="""", INDEX(FILTER($C53:AN53, ISNUMBER($C53:AN53)), COUNTA(FILTE"&amp;"R($C53:AN53, ISNUMBER($C53:AN53)))),
lastVal + 'K dynamique'!AN53 * ((SQRT('Résultats des tournois'!AN$2 + 1)/'Résultats des tournois'!AN53) - (1 / (1 + 10^((AN$103 - lastVal)/400)))))
)
))"),"")</f>
        <v/>
      </c>
      <c r="AP53" s="32" t="str">
        <f>IFERROR(__xludf.DUMMYFUNCTION("IF('Résultats des tournois'!AO$2=0,"""",LET(
lastVal, INDEX(FILTER($B53:AO53, ISNUMBER($B53:AO53)), COUNTA(FILTER($B53:AO53, ISNUMBER($B53:AO53)))),
IFERROR(
IF('Résultats des tournois'!AO53="""", INDEX(FILTER($C53:AO53, ISNUMBER($C53:AO53)), COUNTA(FILTE"&amp;"R($C53:AO53, ISNUMBER($C53:AO53)))),
lastVal + 'K dynamique'!AO53 * ((SQRT('Résultats des tournois'!AO$2 + 1)/'Résultats des tournois'!AO53) - (1 / (1 + 10^((AO$103 - lastVal)/400)))))
)
))"),"")</f>
        <v/>
      </c>
      <c r="AQ53" s="32" t="str">
        <f>IFERROR(__xludf.DUMMYFUNCTION("IF('Résultats des tournois'!AP$2=0,"""",LET(
lastVal, INDEX(FILTER($B53:AP53, ISNUMBER($B53:AP53)), COUNTA(FILTER($B53:AP53, ISNUMBER($B53:AP53)))),
IFERROR(
IF('Résultats des tournois'!AP53="""", INDEX(FILTER($C53:AP53, ISNUMBER($C53:AP53)), COUNTA(FILTE"&amp;"R($C53:AP53, ISNUMBER($C53:AP53)))),
lastVal + 'K dynamique'!AP53 * ((SQRT('Résultats des tournois'!AP$2 + 1)/'Résultats des tournois'!AP53) - (1 / (1 + 10^((AP$103 - lastVal)/400)))))
)
))"),"")</f>
        <v/>
      </c>
      <c r="AR53" s="32" t="str">
        <f>IFERROR(__xludf.DUMMYFUNCTION("IF('Résultats des tournois'!AQ$2=0,"""",LET(
lastVal, INDEX(FILTER($B53:AQ53, ISNUMBER($B53:AQ53)), COUNTA(FILTER($B53:AQ53, ISNUMBER($B53:AQ53)))),
IFERROR(
IF('Résultats des tournois'!AQ53="""", INDEX(FILTER($C53:AQ53, ISNUMBER($C53:AQ53)), COUNTA(FILTE"&amp;"R($C53:AQ53, ISNUMBER($C53:AQ53)))),
lastVal + 'K dynamique'!AQ53 * ((SQRT('Résultats des tournois'!AQ$2 + 1)/'Résultats des tournois'!AQ53) - (1 / (1 + 10^((AQ$103 - lastVal)/400)))))
)
))"),"")</f>
        <v/>
      </c>
      <c r="AS53" s="32" t="str">
        <f>IFERROR(__xludf.DUMMYFUNCTION("IF('Résultats des tournois'!AR$2=0,"""",LET(
lastVal, INDEX(FILTER($B53:AR53, ISNUMBER($B53:AR53)), COUNTA(FILTER($B53:AR53, ISNUMBER($B53:AR53)))),
IFERROR(
IF('Résultats des tournois'!AR53="""", INDEX(FILTER($C53:AR53, ISNUMBER($C53:AR53)), COUNTA(FILTE"&amp;"R($C53:AR53, ISNUMBER($C53:AR53)))),
lastVal + 'K dynamique'!AR53 * ((SQRT('Résultats des tournois'!AR$2 + 1)/'Résultats des tournois'!AR53) - (1 / (1 + 10^((AR$103 - lastVal)/400)))))
)
))"),"")</f>
        <v/>
      </c>
      <c r="AT53" s="32" t="str">
        <f>IFERROR(__xludf.DUMMYFUNCTION("IF('Résultats des tournois'!AS$2=0,"""",LET(
lastVal, INDEX(FILTER($B53:AS53, ISNUMBER($B53:AS53)), COUNTA(FILTER($B53:AS53, ISNUMBER($B53:AS53)))),
IFERROR(
IF('Résultats des tournois'!AS53="""", INDEX(FILTER($C53:AS53, ISNUMBER($C53:AS53)), COUNTA(FILTE"&amp;"R($C53:AS53, ISNUMBER($C53:AS53)))),
lastVal + 'K dynamique'!AS53 * ((SQRT('Résultats des tournois'!AS$2 + 1)/'Résultats des tournois'!AS53) - (1 / (1 + 10^((AS$103 - lastVal)/400)))))
)
))"),"")</f>
        <v/>
      </c>
      <c r="AU53" s="32" t="str">
        <f>IFERROR(__xludf.DUMMYFUNCTION("IF('Résultats des tournois'!AT$2=0,"""",LET(
lastVal, INDEX(FILTER($B53:AT53, ISNUMBER($B53:AT53)), COUNTA(FILTER($B53:AT53, ISNUMBER($B53:AT53)))),
IFERROR(
IF('Résultats des tournois'!AT53="""", INDEX(FILTER($C53:AT53, ISNUMBER($C53:AT53)), COUNTA(FILTE"&amp;"R($C53:AT53, ISNUMBER($C53:AT53)))),
lastVal + 'K dynamique'!AT53 * ((SQRT('Résultats des tournois'!AT$2 + 1)/'Résultats des tournois'!AT53) - (1 / (1 + 10^((AT$103 - lastVal)/400)))))
)
))"),"")</f>
        <v/>
      </c>
      <c r="AV53" s="32" t="str">
        <f>IFERROR(__xludf.DUMMYFUNCTION("IF('Résultats des tournois'!AU$2=0,"""",LET(
lastVal, INDEX(FILTER($B53:AU53, ISNUMBER($B53:AU53)), COUNTA(FILTER($B53:AU53, ISNUMBER($B53:AU53)))),
IFERROR(
IF('Résultats des tournois'!AU53="""", INDEX(FILTER($C53:AU53, ISNUMBER($C53:AU53)), COUNTA(FILTE"&amp;"R($C53:AU53, ISNUMBER($C53:AU53)))),
lastVal + 'K dynamique'!AU53 * ((SQRT('Résultats des tournois'!AU$2 + 1)/'Résultats des tournois'!AU53) - (1 / (1 + 10^((AU$103 - lastVal)/400)))))
)
))"),"")</f>
        <v/>
      </c>
      <c r="AW53" s="32" t="str">
        <f>IFERROR(__xludf.DUMMYFUNCTION("IF('Résultats des tournois'!AV$2=0,"""",LET(
lastVal, INDEX(FILTER($B53:AV53, ISNUMBER($B53:AV53)), COUNTA(FILTER($B53:AV53, ISNUMBER($B53:AV53)))),
IFERROR(
IF('Résultats des tournois'!AV53="""", INDEX(FILTER($C53:AV53, ISNUMBER($C53:AV53)), COUNTA(FILTE"&amp;"R($C53:AV53, ISNUMBER($C53:AV53)))),
lastVal + 'K dynamique'!AV53 * ((SQRT('Résultats des tournois'!AV$2 + 1)/'Résultats des tournois'!AV53) - (1 / (1 + 10^((AV$103 - lastVal)/400)))))
)
))"),"")</f>
        <v/>
      </c>
      <c r="AX53" s="32" t="str">
        <f>IFERROR(__xludf.DUMMYFUNCTION("IF('Résultats des tournois'!AW$2=0,"""",LET(
lastVal, INDEX(FILTER($B53:AW53, ISNUMBER($B53:AW53)), COUNTA(FILTER($B53:AW53, ISNUMBER($B53:AW53)))),
IFERROR(
IF('Résultats des tournois'!AW53="""", INDEX(FILTER($C53:AW53, ISNUMBER($C53:AW53)), COUNTA(FILTE"&amp;"R($C53:AW53, ISNUMBER($C53:AW53)))),
lastVal + 'K dynamique'!AW53 * ((SQRT('Résultats des tournois'!AW$2 + 1)/'Résultats des tournois'!AW53) - (1 / (1 + 10^((AW$103 - lastVal)/400)))))
)
))"),"")</f>
        <v/>
      </c>
      <c r="AY53" s="32" t="str">
        <f>IFERROR(__xludf.DUMMYFUNCTION("IF('Résultats des tournois'!AX$2=0,"""",LET(
lastVal, INDEX(FILTER($B53:AX53, ISNUMBER($B53:AX53)), COUNTA(FILTER($B53:AX53, ISNUMBER($B53:AX53)))),
IFERROR(
IF('Résultats des tournois'!AX53="""", INDEX(FILTER($C53:AX53, ISNUMBER($C53:AX53)), COUNTA(FILTE"&amp;"R($C53:AX53, ISNUMBER($C53:AX53)))),
lastVal + 'K dynamique'!AX53 * ((SQRT('Résultats des tournois'!AX$2 + 1)/'Résultats des tournois'!AX53) - (1 / (1 + 10^((AX$103 - lastVal)/400)))))
)
))"),"")</f>
        <v/>
      </c>
      <c r="AZ53" s="4" t="str">
        <f t="array" ref="AZ53">IF(MAX(($C53:AY53&lt;&gt;"")*COLUMN($C53:AY53))=0,"",INDEX($C53:AY53,1,MAX(($C53:AY53&lt;&gt;"")*COLUMN($C53:AY53))-COLUMN($C53)+1))</f>
        <v/>
      </c>
      <c r="BA53" s="33" t="str">
        <f t="shared" si="1"/>
        <v/>
      </c>
    </row>
    <row r="54" ht="14.25" customHeight="1">
      <c r="A54" s="32" t="str">
        <f>IF('Résultats des tournois'!A54="","",'Résultats des tournois'!A54)</f>
        <v/>
      </c>
      <c r="B54" s="32">
        <v>1500.0</v>
      </c>
      <c r="C54" s="32" t="str">
        <f>IF('Résultats des tournois'!B54="","",B54+'K dynamique'!B54*((SQRT('Résultats des tournois'!B$2+1)/'Résultats des tournois'!B54)-(1/(1+10^((B54-B54)/400)))))</f>
        <v/>
      </c>
      <c r="D54" s="32" t="str">
        <f>IFERROR(__xludf.DUMMYFUNCTION("IF('Résultats des tournois'!C$2=0,"""",LET(
lastVal, INDEX(FILTER($B54:C54, ISNUMBER($B54:C54)), COUNTA(FILTER($B54:C54, ISNUMBER($B54:C54)))),
IFERROR(
IF('Résultats des tournois'!C54="""", INDEX(FILTER($C54:C54, ISNUMBER($C54:C54)), COUNTA(FILTER($C54:C"&amp;"54, ISNUMBER($C54:C54)))),
lastVal + 'K dynamique'!C54 * ((SQRT('Résultats des tournois'!C$2 + 1)/'Résultats des tournois'!C54) - (1 / (1 + 10^((C$103 - lastVal)/400)))))
)
))"),"")</f>
        <v/>
      </c>
      <c r="E54" s="32" t="str">
        <f>IFERROR(__xludf.DUMMYFUNCTION("IF('Résultats des tournois'!D$2=0,"""",LET(
lastVal, INDEX(FILTER($B54:D54, ISNUMBER($B54:D54)), COUNTA(FILTER($B54:D54, ISNUMBER($B54:D54)))),
IFERROR(
IF('Résultats des tournois'!D54="""", INDEX(FILTER($C54:D54, ISNUMBER($C54:D54)), COUNTA(FILTER($C54:D"&amp;"54, ISNUMBER($C54:D54)))),
lastVal + 'K dynamique'!D54 * ((SQRT('Résultats des tournois'!D$2 + 1)/'Résultats des tournois'!D54) - (1 / (1 + 10^((D$103 - lastVal)/400)))))
)
))"),"")</f>
        <v/>
      </c>
      <c r="F54" s="32" t="str">
        <f>IFERROR(__xludf.DUMMYFUNCTION("IF('Résultats des tournois'!E$2=0,"""",LET(
lastVal, INDEX(FILTER($B54:E54, ISNUMBER($B54:E54)), COUNTA(FILTER($B54:E54, ISNUMBER($B54:E54)))),
IFERROR(
IF('Résultats des tournois'!E54="""", INDEX(FILTER($C54:E54, ISNUMBER($C54:E54)), COUNTA(FILTER($C54:E"&amp;"54, ISNUMBER($C54:E54)))),
lastVal + 'K dynamique'!E54 * ((SQRT('Résultats des tournois'!E$2 + 1)/'Résultats des tournois'!E54) - (1 / (1 + 10^((E$103 - lastVal)/400)))))
)
))"),"")</f>
        <v/>
      </c>
      <c r="G54" s="32" t="str">
        <f>IFERROR(__xludf.DUMMYFUNCTION("IF('Résultats des tournois'!F$2=0,"""",LET(
lastVal, INDEX(FILTER($B54:F54, ISNUMBER($B54:F54)), COUNTA(FILTER($B54:F54, ISNUMBER($B54:F54)))),
IFERROR(
IF('Résultats des tournois'!F54="""", INDEX(FILTER($C54:F54, ISNUMBER($C54:F54)), COUNTA(FILTER($C54:F"&amp;"54, ISNUMBER($C54:F54)))),
lastVal + 'K dynamique'!F54 * ((SQRT('Résultats des tournois'!F$2 + 1)/'Résultats des tournois'!F54) - (1 / (1 + 10^((F$103 - lastVal)/400)))))
)
))"),"")</f>
        <v/>
      </c>
      <c r="H54" s="32" t="str">
        <f>IFERROR(__xludf.DUMMYFUNCTION("IF('Résultats des tournois'!G$2=0,"""",LET(
lastVal, INDEX(FILTER($B54:G54, ISNUMBER($B54:G54)), COUNTA(FILTER($B54:G54, ISNUMBER($B54:G54)))),
IFERROR(
IF('Résultats des tournois'!G54="""", INDEX(FILTER($C54:G54, ISNUMBER($C54:G54)), COUNTA(FILTER($C54:G"&amp;"54, ISNUMBER($C54:G54)))),
lastVal + 'K dynamique'!G54 * ((SQRT('Résultats des tournois'!G$2 + 1)/'Résultats des tournois'!G54) - (1 / (1 + 10^((G$103 - lastVal)/400)))))
)
))"),"")</f>
        <v/>
      </c>
      <c r="I54" s="32" t="str">
        <f>IFERROR(__xludf.DUMMYFUNCTION("IF('Résultats des tournois'!H$2=0,"""",LET(
lastVal, INDEX(FILTER($B54:H54, ISNUMBER($B54:H54)), COUNTA(FILTER($B54:H54, ISNUMBER($B54:H54)))),
IFERROR(
IF('Résultats des tournois'!H54="""", INDEX(FILTER($C54:H54, ISNUMBER($C54:H54)), COUNTA(FILTER($C54:H"&amp;"54, ISNUMBER($C54:H54)))),
lastVal + 'K dynamique'!H54 * ((SQRT('Résultats des tournois'!H$2 + 1)/'Résultats des tournois'!H54) - (1 / (1 + 10^((H$103 - lastVal)/400)))))
)
))"),"")</f>
        <v/>
      </c>
      <c r="J54" s="32" t="str">
        <f>IFERROR(__xludf.DUMMYFUNCTION("IF('Résultats des tournois'!I$2=0,"""",LET(
lastVal, INDEX(FILTER($B54:I54, ISNUMBER($B54:I54)), COUNTA(FILTER($B54:I54, ISNUMBER($B54:I54)))),
IFERROR(
IF('Résultats des tournois'!I54="""", INDEX(FILTER($C54:I54, ISNUMBER($C54:I54)), COUNTA(FILTER($C54:I"&amp;"54, ISNUMBER($C54:I54)))),
lastVal + 'K dynamique'!I54 * ((SQRT('Résultats des tournois'!I$2 + 1)/'Résultats des tournois'!I54) - (1 / (1 + 10^((I$103 - lastVal)/400)))))
)
))"),"")</f>
        <v/>
      </c>
      <c r="K54" s="32" t="str">
        <f>IFERROR(__xludf.DUMMYFUNCTION("IF('Résultats des tournois'!J$2=0,"""",LET(
lastVal, INDEX(FILTER($B54:J54, ISNUMBER($B54:J54)), COUNTA(FILTER($B54:J54, ISNUMBER($B54:J54)))),
IFERROR(
IF('Résultats des tournois'!J54="""", INDEX(FILTER($C54:J54, ISNUMBER($C54:J54)), COUNTA(FILTER($C54:J"&amp;"54, ISNUMBER($C54:J54)))),
lastVal + 'K dynamique'!J54 * ((SQRT('Résultats des tournois'!J$2 + 1)/'Résultats des tournois'!J54) - (1 / (1 + 10^((J$103 - lastVal)/400)))))
)
))"),"")</f>
        <v/>
      </c>
      <c r="L54" s="32" t="str">
        <f>IFERROR(__xludf.DUMMYFUNCTION("IF('Résultats des tournois'!K$2=0,"""",LET(
lastVal, INDEX(FILTER($B54:K54, ISNUMBER($B54:K54)), COUNTA(FILTER($B54:K54, ISNUMBER($B54:K54)))),
IFERROR(
IF('Résultats des tournois'!K54="""", INDEX(FILTER($C54:K54, ISNUMBER($C54:K54)), COUNTA(FILTER($C54:K"&amp;"54, ISNUMBER($C54:K54)))),
lastVal + 'K dynamique'!K54 * ((SQRT('Résultats des tournois'!K$2 + 1)/'Résultats des tournois'!K54) - (1 / (1 + 10^((K$103 - lastVal)/400)))))
)
))"),"")</f>
        <v/>
      </c>
      <c r="M54" s="32" t="str">
        <f>IFERROR(__xludf.DUMMYFUNCTION("IF('Résultats des tournois'!L$2=0,"""",LET(
lastVal, INDEX(FILTER($B54:L54, ISNUMBER($B54:L54)), COUNTA(FILTER($B54:L54, ISNUMBER($B54:L54)))),
IFERROR(
IF('Résultats des tournois'!L54="""", INDEX(FILTER($C54:L54, ISNUMBER($C54:L54)), COUNTA(FILTER($C54:L"&amp;"54, ISNUMBER($C54:L54)))),
lastVal + 'K dynamique'!L54 * ((SQRT('Résultats des tournois'!L$2 + 1)/'Résultats des tournois'!L54) - (1 / (1 + 10^((L$103 - lastVal)/400)))))
)
))"),"")</f>
        <v/>
      </c>
      <c r="N54" s="32" t="str">
        <f>IFERROR(__xludf.DUMMYFUNCTION("IF('Résultats des tournois'!M$2=0,"""",LET(
lastVal, INDEX(FILTER($B54:M54, ISNUMBER($B54:M54)), COUNTA(FILTER($B54:M54, ISNUMBER($B54:M54)))),
IFERROR(
IF('Résultats des tournois'!M54="""", INDEX(FILTER($C54:M54, ISNUMBER($C54:M54)), COUNTA(FILTER($C54:M"&amp;"54, ISNUMBER($C54:M54)))),
lastVal + 'K dynamique'!M54 * ((SQRT('Résultats des tournois'!M$2 + 1)/'Résultats des tournois'!M54) - (1 / (1 + 10^((M$103 - lastVal)/400)))))
)
))"),"")</f>
        <v/>
      </c>
      <c r="O54" s="32" t="str">
        <f>IFERROR(__xludf.DUMMYFUNCTION("IF('Résultats des tournois'!N$2=0,"""",LET(
lastVal, INDEX(FILTER($B54:N54, ISNUMBER($B54:N54)), COUNTA(FILTER($B54:N54, ISNUMBER($B54:N54)))),
IFERROR(
IF('Résultats des tournois'!N54="""", INDEX(FILTER($C54:N54, ISNUMBER($C54:N54)), COUNTA(FILTER($C54:N"&amp;"54, ISNUMBER($C54:N54)))),
lastVal + 'K dynamique'!N54 * ((SQRT('Résultats des tournois'!N$2 + 1)/'Résultats des tournois'!N54) - (1 / (1 + 10^((N$103 - lastVal)/400)))))
)
))"),"")</f>
        <v/>
      </c>
      <c r="P54" s="32" t="str">
        <f>IFERROR(__xludf.DUMMYFUNCTION("IF('Résultats des tournois'!O$2=0,"""",LET(
lastVal, INDEX(FILTER($B54:O54, ISNUMBER($B54:O54)), COUNTA(FILTER($B54:O54, ISNUMBER($B54:O54)))),
IFERROR(
IF('Résultats des tournois'!O54="""", INDEX(FILTER($C54:O54, ISNUMBER($C54:O54)), COUNTA(FILTER($C54:O"&amp;"54, ISNUMBER($C54:O54)))),
lastVal + 'K dynamique'!O54 * ((SQRT('Résultats des tournois'!O$2 + 1)/'Résultats des tournois'!O54) - (1 / (1 + 10^((O$103 - lastVal)/400)))))
)
))"),"")</f>
        <v/>
      </c>
      <c r="Q54" s="32" t="str">
        <f>IFERROR(__xludf.DUMMYFUNCTION("IF('Résultats des tournois'!P$2=0,"""",LET(
lastVal, INDEX(FILTER($B54:P54, ISNUMBER($B54:P54)), COUNTA(FILTER($B54:P54, ISNUMBER($B54:P54)))),
IFERROR(
IF('Résultats des tournois'!P54="""", INDEX(FILTER($C54:P54, ISNUMBER($C54:P54)), COUNTA(FILTER($C54:P"&amp;"54, ISNUMBER($C54:P54)))),
lastVal + 'K dynamique'!P54 * ((SQRT('Résultats des tournois'!P$2 + 1)/'Résultats des tournois'!P54) - (1 / (1 + 10^((P$103 - lastVal)/400)))))
)
))"),"")</f>
        <v/>
      </c>
      <c r="R54" s="32" t="str">
        <f>IFERROR(__xludf.DUMMYFUNCTION("IF('Résultats des tournois'!Q$2=0,"""",LET(
lastVal, INDEX(FILTER($B54:Q54, ISNUMBER($B54:Q54)), COUNTA(FILTER($B54:Q54, ISNUMBER($B54:Q54)))),
IFERROR(
IF('Résultats des tournois'!Q54="""", INDEX(FILTER($C54:Q54, ISNUMBER($C54:Q54)), COUNTA(FILTER($C54:Q"&amp;"54, ISNUMBER($C54:Q54)))),
lastVal + 'K dynamique'!Q54 * ((SQRT('Résultats des tournois'!Q$2 + 1)/'Résultats des tournois'!Q54) - (1 / (1 + 10^((Q$103 - lastVal)/400)))))
)
))"),"")</f>
        <v/>
      </c>
      <c r="S54" s="32" t="str">
        <f>IFERROR(__xludf.DUMMYFUNCTION("IF('Résultats des tournois'!R$2=0,"""",LET(
lastVal, INDEX(FILTER($B54:R54, ISNUMBER($B54:R54)), COUNTA(FILTER($B54:R54, ISNUMBER($B54:R54)))),
IFERROR(
IF('Résultats des tournois'!R54="""", INDEX(FILTER($C54:R54, ISNUMBER($C54:R54)), COUNTA(FILTER($C54:R"&amp;"54, ISNUMBER($C54:R54)))),
lastVal + 'K dynamique'!R54 * ((SQRT('Résultats des tournois'!R$2 + 1)/'Résultats des tournois'!R54) - (1 / (1 + 10^((R$103 - lastVal)/400)))))
)
))"),"")</f>
        <v/>
      </c>
      <c r="T54" s="32" t="str">
        <f>IFERROR(__xludf.DUMMYFUNCTION("IF('Résultats des tournois'!S$2=0,"""",LET(
lastVal, INDEX(FILTER($B54:S54, ISNUMBER($B54:S54)), COUNTA(FILTER($B54:S54, ISNUMBER($B54:S54)))),
IFERROR(
IF('Résultats des tournois'!S54="""", INDEX(FILTER($C54:S54, ISNUMBER($C54:S54)), COUNTA(FILTER($C54:S"&amp;"54, ISNUMBER($C54:S54)))),
lastVal + 'K dynamique'!S54 * ((SQRT('Résultats des tournois'!S$2 + 1)/'Résultats des tournois'!S54) - (1 / (1 + 10^((S$103 - lastVal)/400)))))
)
))"),"")</f>
        <v/>
      </c>
      <c r="U54" s="32" t="str">
        <f>IFERROR(__xludf.DUMMYFUNCTION("IF('Résultats des tournois'!T$2=0,"""",LET(
lastVal, INDEX(FILTER($B54:T54, ISNUMBER($B54:T54)), COUNTA(FILTER($B54:T54, ISNUMBER($B54:T54)))),
IFERROR(
IF('Résultats des tournois'!T54="""", INDEX(FILTER($C54:T54, ISNUMBER($C54:T54)), COUNTA(FILTER($C54:T"&amp;"54, ISNUMBER($C54:T54)))),
lastVal + 'K dynamique'!T54 * ((SQRT('Résultats des tournois'!T$2 + 1)/'Résultats des tournois'!T54) - (1 / (1 + 10^((T$103 - lastVal)/400)))))
)
))"),"")</f>
        <v/>
      </c>
      <c r="V54" s="32" t="str">
        <f>IFERROR(__xludf.DUMMYFUNCTION("IF('Résultats des tournois'!U$2=0,"""",LET(
lastVal, INDEX(FILTER($B54:U54, ISNUMBER($B54:U54)), COUNTA(FILTER($B54:U54, ISNUMBER($B54:U54)))),
IFERROR(
IF('Résultats des tournois'!U54="""", INDEX(FILTER($C54:U54, ISNUMBER($C54:U54)), COUNTA(FILTER($C54:U"&amp;"54, ISNUMBER($C54:U54)))),
lastVal + 'K dynamique'!U54 * ((SQRT('Résultats des tournois'!U$2 + 1)/'Résultats des tournois'!U54) - (1 / (1 + 10^((U$103 - lastVal)/400)))))
)
))"),"")</f>
        <v/>
      </c>
      <c r="W54" s="32" t="str">
        <f>IFERROR(__xludf.DUMMYFUNCTION("IF('Résultats des tournois'!V$2=0,"""",LET(
lastVal, INDEX(FILTER($B54:V54, ISNUMBER($B54:V54)), COUNTA(FILTER($B54:V54, ISNUMBER($B54:V54)))),
IFERROR(
IF('Résultats des tournois'!V54="""", INDEX(FILTER($C54:V54, ISNUMBER($C54:V54)), COUNTA(FILTER($C54:V"&amp;"54, ISNUMBER($C54:V54)))),
lastVal + 'K dynamique'!V54 * ((SQRT('Résultats des tournois'!V$2 + 1)/'Résultats des tournois'!V54) - (1 / (1 + 10^((V$103 - lastVal)/400)))))
)
))"),"")</f>
        <v/>
      </c>
      <c r="X54" s="32" t="str">
        <f>IFERROR(__xludf.DUMMYFUNCTION("IF('Résultats des tournois'!W$2=0,"""",LET(
lastVal, INDEX(FILTER($B54:W54, ISNUMBER($B54:W54)), COUNTA(FILTER($B54:W54, ISNUMBER($B54:W54)))),
IFERROR(
IF('Résultats des tournois'!W54="""", INDEX(FILTER($C54:W54, ISNUMBER($C54:W54)), COUNTA(FILTER($C54:W"&amp;"54, ISNUMBER($C54:W54)))),
lastVal + 'K dynamique'!W54 * ((SQRT('Résultats des tournois'!W$2 + 1)/'Résultats des tournois'!W54) - (1 / (1 + 10^((W$103 - lastVal)/400)))))
)
))"),"")</f>
        <v/>
      </c>
      <c r="Y54" s="32" t="str">
        <f>IFERROR(__xludf.DUMMYFUNCTION("IF('Résultats des tournois'!X$2=0,"""",LET(
lastVal, INDEX(FILTER($B54:X54, ISNUMBER($B54:X54)), COUNTA(FILTER($B54:X54, ISNUMBER($B54:X54)))),
IFERROR(
IF('Résultats des tournois'!X54="""", INDEX(FILTER($C54:X54, ISNUMBER($C54:X54)), COUNTA(FILTER($C54:X"&amp;"54, ISNUMBER($C54:X54)))),
lastVal + 'K dynamique'!X54 * ((SQRT('Résultats des tournois'!X$2 + 1)/'Résultats des tournois'!X54) - (1 / (1 + 10^((X$103 - lastVal)/400)))))
)
))"),"")</f>
        <v/>
      </c>
      <c r="Z54" s="32" t="str">
        <f>IFERROR(__xludf.DUMMYFUNCTION("IF('Résultats des tournois'!Y$2=0,"""",LET(
lastVal, INDEX(FILTER($B54:Y54, ISNUMBER($B54:Y54)), COUNTA(FILTER($B54:Y54, ISNUMBER($B54:Y54)))),
IFERROR(
IF('Résultats des tournois'!Y54="""", INDEX(FILTER($C54:Y54, ISNUMBER($C54:Y54)), COUNTA(FILTER($C54:Y"&amp;"54, ISNUMBER($C54:Y54)))),
lastVal + 'K dynamique'!Y54 * ((SQRT('Résultats des tournois'!Y$2 + 1)/'Résultats des tournois'!Y54) - (1 / (1 + 10^((Y$103 - lastVal)/400)))))
)
))"),"")</f>
        <v/>
      </c>
      <c r="AA54" s="32" t="str">
        <f>IFERROR(__xludf.DUMMYFUNCTION("IF('Résultats des tournois'!Z$2=0,"""",LET(
lastVal, INDEX(FILTER($B54:Z54, ISNUMBER($B54:Z54)), COUNTA(FILTER($B54:Z54, ISNUMBER($B54:Z54)))),
IFERROR(
IF('Résultats des tournois'!Z54="""", INDEX(FILTER($C54:Z54, ISNUMBER($C54:Z54)), COUNTA(FILTER($C54:Z"&amp;"54, ISNUMBER($C54:Z54)))),
lastVal + 'K dynamique'!Z54 * ((SQRT('Résultats des tournois'!Z$2 + 1)/'Résultats des tournois'!Z54) - (1 / (1 + 10^((Z$103 - lastVal)/400)))))
)
))"),"")</f>
        <v/>
      </c>
      <c r="AB54" s="32" t="str">
        <f>IFERROR(__xludf.DUMMYFUNCTION("IF('Résultats des tournois'!AA$2=0,"""",LET(
lastVal, INDEX(FILTER($B54:AA54, ISNUMBER($B54:AA54)), COUNTA(FILTER($B54:AA54, ISNUMBER($B54:AA54)))),
IFERROR(
IF('Résultats des tournois'!AA54="""", INDEX(FILTER($C54:AA54, ISNUMBER($C54:AA54)), COUNTA(FILTE"&amp;"R($C54:AA54, ISNUMBER($C54:AA54)))),
lastVal + 'K dynamique'!AA54 * ((SQRT('Résultats des tournois'!AA$2 + 1)/'Résultats des tournois'!AA54) - (1 / (1 + 10^((AA$103 - lastVal)/400)))))
)
))"),"")</f>
        <v/>
      </c>
      <c r="AC54" s="32" t="str">
        <f>IFERROR(__xludf.DUMMYFUNCTION("IF('Résultats des tournois'!AB$2=0,"""",LET(
lastVal, INDEX(FILTER($B54:AB54, ISNUMBER($B54:AB54)), COUNTA(FILTER($B54:AB54, ISNUMBER($B54:AB54)))),
IFERROR(
IF('Résultats des tournois'!AB54="""", INDEX(FILTER($C54:AB54, ISNUMBER($C54:AB54)), COUNTA(FILTE"&amp;"R($C54:AB54, ISNUMBER($C54:AB54)))),
lastVal + 'K dynamique'!AB54 * ((SQRT('Résultats des tournois'!AB$2 + 1)/'Résultats des tournois'!AB54) - (1 / (1 + 10^((AB$103 - lastVal)/400)))))
)
))"),"")</f>
        <v/>
      </c>
      <c r="AD54" s="32" t="str">
        <f>IFERROR(__xludf.DUMMYFUNCTION("IF('Résultats des tournois'!AC$2=0,"""",LET(
lastVal, INDEX(FILTER($B54:AC54, ISNUMBER($B54:AC54)), COUNTA(FILTER($B54:AC54, ISNUMBER($B54:AC54)))),
IFERROR(
IF('Résultats des tournois'!AC54="""", INDEX(FILTER($C54:AC54, ISNUMBER($C54:AC54)), COUNTA(FILTE"&amp;"R($C54:AC54, ISNUMBER($C54:AC54)))),
lastVal + 'K dynamique'!AC54 * ((SQRT('Résultats des tournois'!AC$2 + 1)/'Résultats des tournois'!AC54) - (1 / (1 + 10^((AC$103 - lastVal)/400)))))
)
))"),"")</f>
        <v/>
      </c>
      <c r="AE54" s="32" t="str">
        <f>IFERROR(__xludf.DUMMYFUNCTION("IF('Résultats des tournois'!AD$2=0,"""",LET(
lastVal, INDEX(FILTER($B54:AD54, ISNUMBER($B54:AD54)), COUNTA(FILTER($B54:AD54, ISNUMBER($B54:AD54)))),
IFERROR(
IF('Résultats des tournois'!AD54="""", INDEX(FILTER($C54:AD54, ISNUMBER($C54:AD54)), COUNTA(FILTE"&amp;"R($C54:AD54, ISNUMBER($C54:AD54)))),
lastVal + 'K dynamique'!AD54 * ((SQRT('Résultats des tournois'!AD$2 + 1)/'Résultats des tournois'!AD54) - (1 / (1 + 10^((AD$103 - lastVal)/400)))))
)
))"),"")</f>
        <v/>
      </c>
      <c r="AF54" s="32" t="str">
        <f>IFERROR(__xludf.DUMMYFUNCTION("IF('Résultats des tournois'!AE$2=0,"""",LET(
lastVal, INDEX(FILTER($B54:AE54, ISNUMBER($B54:AE54)), COUNTA(FILTER($B54:AE54, ISNUMBER($B54:AE54)))),
IFERROR(
IF('Résultats des tournois'!AE54="""", INDEX(FILTER($C54:AE54, ISNUMBER($C54:AE54)), COUNTA(FILTE"&amp;"R($C54:AE54, ISNUMBER($C54:AE54)))),
lastVal + 'K dynamique'!AE54 * ((SQRT('Résultats des tournois'!AE$2 + 1)/'Résultats des tournois'!AE54) - (1 / (1 + 10^((AE$103 - lastVal)/400)))))
)
))"),"")</f>
        <v/>
      </c>
      <c r="AG54" s="32" t="str">
        <f>IFERROR(__xludf.DUMMYFUNCTION("IF('Résultats des tournois'!AF$2=0,"""",LET(
lastVal, INDEX(FILTER($B54:AF54, ISNUMBER($B54:AF54)), COUNTA(FILTER($B54:AF54, ISNUMBER($B54:AF54)))),
IFERROR(
IF('Résultats des tournois'!AF54="""", INDEX(FILTER($C54:AF54, ISNUMBER($C54:AF54)), COUNTA(FILTE"&amp;"R($C54:AF54, ISNUMBER($C54:AF54)))),
lastVal + 'K dynamique'!AF54 * ((SQRT('Résultats des tournois'!AF$2 + 1)/'Résultats des tournois'!AF54) - (1 / (1 + 10^((AF$103 - lastVal)/400)))))
)
))"),"")</f>
        <v/>
      </c>
      <c r="AH54" s="32" t="str">
        <f>IFERROR(__xludf.DUMMYFUNCTION("IF('Résultats des tournois'!AG$2=0,"""",LET(
lastVal, INDEX(FILTER($B54:AG54, ISNUMBER($B54:AG54)), COUNTA(FILTER($B54:AG54, ISNUMBER($B54:AG54)))),
IFERROR(
IF('Résultats des tournois'!AG54="""", INDEX(FILTER($C54:AG54, ISNUMBER($C54:AG54)), COUNTA(FILTE"&amp;"R($C54:AG54, ISNUMBER($C54:AG54)))),
lastVal + 'K dynamique'!AG54 * ((SQRT('Résultats des tournois'!AG$2 + 1)/'Résultats des tournois'!AG54) - (1 / (1 + 10^((AG$103 - lastVal)/400)))))
)
))"),"")</f>
        <v/>
      </c>
      <c r="AI54" s="32" t="str">
        <f>IFERROR(__xludf.DUMMYFUNCTION("IF('Résultats des tournois'!AH$2=0,"""",LET(
lastVal, INDEX(FILTER($B54:AH54, ISNUMBER($B54:AH54)), COUNTA(FILTER($B54:AH54, ISNUMBER($B54:AH54)))),
IFERROR(
IF('Résultats des tournois'!AH54="""", INDEX(FILTER($C54:AH54, ISNUMBER($C54:AH54)), COUNTA(FILTE"&amp;"R($C54:AH54, ISNUMBER($C54:AH54)))),
lastVal + 'K dynamique'!AH54 * ((SQRT('Résultats des tournois'!AH$2 + 1)/'Résultats des tournois'!AH54) - (1 / (1 + 10^((AH$103 - lastVal)/400)))))
)
))"),"")</f>
        <v/>
      </c>
      <c r="AJ54" s="32" t="str">
        <f>IFERROR(__xludf.DUMMYFUNCTION("IF('Résultats des tournois'!AI$2=0,"""",LET(
lastVal, INDEX(FILTER($B54:AI54, ISNUMBER($B54:AI54)), COUNTA(FILTER($B54:AI54, ISNUMBER($B54:AI54)))),
IFERROR(
IF('Résultats des tournois'!AI54="""", INDEX(FILTER($C54:AI54, ISNUMBER($C54:AI54)), COUNTA(FILTE"&amp;"R($C54:AI54, ISNUMBER($C54:AI54)))),
lastVal + 'K dynamique'!AI54 * ((SQRT('Résultats des tournois'!AI$2 + 1)/'Résultats des tournois'!AI54) - (1 / (1 + 10^((AI$103 - lastVal)/400)))))
)
))"),"")</f>
        <v/>
      </c>
      <c r="AK54" s="32" t="str">
        <f>IFERROR(__xludf.DUMMYFUNCTION("IF('Résultats des tournois'!AJ$2=0,"""",LET(
lastVal, INDEX(FILTER($B54:AJ54, ISNUMBER($B54:AJ54)), COUNTA(FILTER($B54:AJ54, ISNUMBER($B54:AJ54)))),
IFERROR(
IF('Résultats des tournois'!AJ54="""", INDEX(FILTER($C54:AJ54, ISNUMBER($C54:AJ54)), COUNTA(FILTE"&amp;"R($C54:AJ54, ISNUMBER($C54:AJ54)))),
lastVal + 'K dynamique'!AJ54 * ((SQRT('Résultats des tournois'!AJ$2 + 1)/'Résultats des tournois'!AJ54) - (1 / (1 + 10^((AJ$103 - lastVal)/400)))))
)
))"),"")</f>
        <v/>
      </c>
      <c r="AL54" s="32" t="str">
        <f>IFERROR(__xludf.DUMMYFUNCTION("IF('Résultats des tournois'!AK$2=0,"""",LET(
lastVal, INDEX(FILTER($B54:AK54, ISNUMBER($B54:AK54)), COUNTA(FILTER($B54:AK54, ISNUMBER($B54:AK54)))),
IFERROR(
IF('Résultats des tournois'!AK54="""", INDEX(FILTER($C54:AK54, ISNUMBER($C54:AK54)), COUNTA(FILTE"&amp;"R($C54:AK54, ISNUMBER($C54:AK54)))),
lastVal + 'K dynamique'!AK54 * ((SQRT('Résultats des tournois'!AK$2 + 1)/'Résultats des tournois'!AK54) - (1 / (1 + 10^((AK$103 - lastVal)/400)))))
)
))"),"")</f>
        <v/>
      </c>
      <c r="AM54" s="32" t="str">
        <f>IFERROR(__xludf.DUMMYFUNCTION("IF('Résultats des tournois'!AL$2=0,"""",LET(
lastVal, INDEX(FILTER($B54:AL54, ISNUMBER($B54:AL54)), COUNTA(FILTER($B54:AL54, ISNUMBER($B54:AL54)))),
IFERROR(
IF('Résultats des tournois'!AL54="""", INDEX(FILTER($C54:AL54, ISNUMBER($C54:AL54)), COUNTA(FILTE"&amp;"R($C54:AL54, ISNUMBER($C54:AL54)))),
lastVal + 'K dynamique'!AL54 * ((SQRT('Résultats des tournois'!AL$2 + 1)/'Résultats des tournois'!AL54) - (1 / (1 + 10^((AL$103 - lastVal)/400)))))
)
))"),"")</f>
        <v/>
      </c>
      <c r="AN54" s="32" t="str">
        <f>IFERROR(__xludf.DUMMYFUNCTION("IF('Résultats des tournois'!AM$2=0,"""",LET(
lastVal, INDEX(FILTER($B54:AM54, ISNUMBER($B54:AM54)), COUNTA(FILTER($B54:AM54, ISNUMBER($B54:AM54)))),
IFERROR(
IF('Résultats des tournois'!AM54="""", INDEX(FILTER($C54:AM54, ISNUMBER($C54:AM54)), COUNTA(FILTE"&amp;"R($C54:AM54, ISNUMBER($C54:AM54)))),
lastVal + 'K dynamique'!AM54 * ((SQRT('Résultats des tournois'!AM$2 + 1)/'Résultats des tournois'!AM54) - (1 / (1 + 10^((AM$103 - lastVal)/400)))))
)
))"),"")</f>
        <v/>
      </c>
      <c r="AO54" s="32" t="str">
        <f>IFERROR(__xludf.DUMMYFUNCTION("IF('Résultats des tournois'!AN$2=0,"""",LET(
lastVal, INDEX(FILTER($B54:AN54, ISNUMBER($B54:AN54)), COUNTA(FILTER($B54:AN54, ISNUMBER($B54:AN54)))),
IFERROR(
IF('Résultats des tournois'!AN54="""", INDEX(FILTER($C54:AN54, ISNUMBER($C54:AN54)), COUNTA(FILTE"&amp;"R($C54:AN54, ISNUMBER($C54:AN54)))),
lastVal + 'K dynamique'!AN54 * ((SQRT('Résultats des tournois'!AN$2 + 1)/'Résultats des tournois'!AN54) - (1 / (1 + 10^((AN$103 - lastVal)/400)))))
)
))"),"")</f>
        <v/>
      </c>
      <c r="AP54" s="32" t="str">
        <f>IFERROR(__xludf.DUMMYFUNCTION("IF('Résultats des tournois'!AO$2=0,"""",LET(
lastVal, INDEX(FILTER($B54:AO54, ISNUMBER($B54:AO54)), COUNTA(FILTER($B54:AO54, ISNUMBER($B54:AO54)))),
IFERROR(
IF('Résultats des tournois'!AO54="""", INDEX(FILTER($C54:AO54, ISNUMBER($C54:AO54)), COUNTA(FILTE"&amp;"R($C54:AO54, ISNUMBER($C54:AO54)))),
lastVal + 'K dynamique'!AO54 * ((SQRT('Résultats des tournois'!AO$2 + 1)/'Résultats des tournois'!AO54) - (1 / (1 + 10^((AO$103 - lastVal)/400)))))
)
))"),"")</f>
        <v/>
      </c>
      <c r="AQ54" s="32" t="str">
        <f>IFERROR(__xludf.DUMMYFUNCTION("IF('Résultats des tournois'!AP$2=0,"""",LET(
lastVal, INDEX(FILTER($B54:AP54, ISNUMBER($B54:AP54)), COUNTA(FILTER($B54:AP54, ISNUMBER($B54:AP54)))),
IFERROR(
IF('Résultats des tournois'!AP54="""", INDEX(FILTER($C54:AP54, ISNUMBER($C54:AP54)), COUNTA(FILTE"&amp;"R($C54:AP54, ISNUMBER($C54:AP54)))),
lastVal + 'K dynamique'!AP54 * ((SQRT('Résultats des tournois'!AP$2 + 1)/'Résultats des tournois'!AP54) - (1 / (1 + 10^((AP$103 - lastVal)/400)))))
)
))"),"")</f>
        <v/>
      </c>
      <c r="AR54" s="32" t="str">
        <f>IFERROR(__xludf.DUMMYFUNCTION("IF('Résultats des tournois'!AQ$2=0,"""",LET(
lastVal, INDEX(FILTER($B54:AQ54, ISNUMBER($B54:AQ54)), COUNTA(FILTER($B54:AQ54, ISNUMBER($B54:AQ54)))),
IFERROR(
IF('Résultats des tournois'!AQ54="""", INDEX(FILTER($C54:AQ54, ISNUMBER($C54:AQ54)), COUNTA(FILTE"&amp;"R($C54:AQ54, ISNUMBER($C54:AQ54)))),
lastVal + 'K dynamique'!AQ54 * ((SQRT('Résultats des tournois'!AQ$2 + 1)/'Résultats des tournois'!AQ54) - (1 / (1 + 10^((AQ$103 - lastVal)/400)))))
)
))"),"")</f>
        <v/>
      </c>
      <c r="AS54" s="32" t="str">
        <f>IFERROR(__xludf.DUMMYFUNCTION("IF('Résultats des tournois'!AR$2=0,"""",LET(
lastVal, INDEX(FILTER($B54:AR54, ISNUMBER($B54:AR54)), COUNTA(FILTER($B54:AR54, ISNUMBER($B54:AR54)))),
IFERROR(
IF('Résultats des tournois'!AR54="""", INDEX(FILTER($C54:AR54, ISNUMBER($C54:AR54)), COUNTA(FILTE"&amp;"R($C54:AR54, ISNUMBER($C54:AR54)))),
lastVal + 'K dynamique'!AR54 * ((SQRT('Résultats des tournois'!AR$2 + 1)/'Résultats des tournois'!AR54) - (1 / (1 + 10^((AR$103 - lastVal)/400)))))
)
))"),"")</f>
        <v/>
      </c>
      <c r="AT54" s="32" t="str">
        <f>IFERROR(__xludf.DUMMYFUNCTION("IF('Résultats des tournois'!AS$2=0,"""",LET(
lastVal, INDEX(FILTER($B54:AS54, ISNUMBER($B54:AS54)), COUNTA(FILTER($B54:AS54, ISNUMBER($B54:AS54)))),
IFERROR(
IF('Résultats des tournois'!AS54="""", INDEX(FILTER($C54:AS54, ISNUMBER($C54:AS54)), COUNTA(FILTE"&amp;"R($C54:AS54, ISNUMBER($C54:AS54)))),
lastVal + 'K dynamique'!AS54 * ((SQRT('Résultats des tournois'!AS$2 + 1)/'Résultats des tournois'!AS54) - (1 / (1 + 10^((AS$103 - lastVal)/400)))))
)
))"),"")</f>
        <v/>
      </c>
      <c r="AU54" s="32" t="str">
        <f>IFERROR(__xludf.DUMMYFUNCTION("IF('Résultats des tournois'!AT$2=0,"""",LET(
lastVal, INDEX(FILTER($B54:AT54, ISNUMBER($B54:AT54)), COUNTA(FILTER($B54:AT54, ISNUMBER($B54:AT54)))),
IFERROR(
IF('Résultats des tournois'!AT54="""", INDEX(FILTER($C54:AT54, ISNUMBER($C54:AT54)), COUNTA(FILTE"&amp;"R($C54:AT54, ISNUMBER($C54:AT54)))),
lastVal + 'K dynamique'!AT54 * ((SQRT('Résultats des tournois'!AT$2 + 1)/'Résultats des tournois'!AT54) - (1 / (1 + 10^((AT$103 - lastVal)/400)))))
)
))"),"")</f>
        <v/>
      </c>
      <c r="AV54" s="32" t="str">
        <f>IFERROR(__xludf.DUMMYFUNCTION("IF('Résultats des tournois'!AU$2=0,"""",LET(
lastVal, INDEX(FILTER($B54:AU54, ISNUMBER($B54:AU54)), COUNTA(FILTER($B54:AU54, ISNUMBER($B54:AU54)))),
IFERROR(
IF('Résultats des tournois'!AU54="""", INDEX(FILTER($C54:AU54, ISNUMBER($C54:AU54)), COUNTA(FILTE"&amp;"R($C54:AU54, ISNUMBER($C54:AU54)))),
lastVal + 'K dynamique'!AU54 * ((SQRT('Résultats des tournois'!AU$2 + 1)/'Résultats des tournois'!AU54) - (1 / (1 + 10^((AU$103 - lastVal)/400)))))
)
))"),"")</f>
        <v/>
      </c>
      <c r="AW54" s="32" t="str">
        <f>IFERROR(__xludf.DUMMYFUNCTION("IF('Résultats des tournois'!AV$2=0,"""",LET(
lastVal, INDEX(FILTER($B54:AV54, ISNUMBER($B54:AV54)), COUNTA(FILTER($B54:AV54, ISNUMBER($B54:AV54)))),
IFERROR(
IF('Résultats des tournois'!AV54="""", INDEX(FILTER($C54:AV54, ISNUMBER($C54:AV54)), COUNTA(FILTE"&amp;"R($C54:AV54, ISNUMBER($C54:AV54)))),
lastVal + 'K dynamique'!AV54 * ((SQRT('Résultats des tournois'!AV$2 + 1)/'Résultats des tournois'!AV54) - (1 / (1 + 10^((AV$103 - lastVal)/400)))))
)
))"),"")</f>
        <v/>
      </c>
      <c r="AX54" s="32" t="str">
        <f>IFERROR(__xludf.DUMMYFUNCTION("IF('Résultats des tournois'!AW$2=0,"""",LET(
lastVal, INDEX(FILTER($B54:AW54, ISNUMBER($B54:AW54)), COUNTA(FILTER($B54:AW54, ISNUMBER($B54:AW54)))),
IFERROR(
IF('Résultats des tournois'!AW54="""", INDEX(FILTER($C54:AW54, ISNUMBER($C54:AW54)), COUNTA(FILTE"&amp;"R($C54:AW54, ISNUMBER($C54:AW54)))),
lastVal + 'K dynamique'!AW54 * ((SQRT('Résultats des tournois'!AW$2 + 1)/'Résultats des tournois'!AW54) - (1 / (1 + 10^((AW$103 - lastVal)/400)))))
)
))"),"")</f>
        <v/>
      </c>
      <c r="AY54" s="32" t="str">
        <f>IFERROR(__xludf.DUMMYFUNCTION("IF('Résultats des tournois'!AX$2=0,"""",LET(
lastVal, INDEX(FILTER($B54:AX54, ISNUMBER($B54:AX54)), COUNTA(FILTER($B54:AX54, ISNUMBER($B54:AX54)))),
IFERROR(
IF('Résultats des tournois'!AX54="""", INDEX(FILTER($C54:AX54, ISNUMBER($C54:AX54)), COUNTA(FILTE"&amp;"R($C54:AX54, ISNUMBER($C54:AX54)))),
lastVal + 'K dynamique'!AX54 * ((SQRT('Résultats des tournois'!AX$2 + 1)/'Résultats des tournois'!AX54) - (1 / (1 + 10^((AX$103 - lastVal)/400)))))
)
))"),"")</f>
        <v/>
      </c>
      <c r="AZ54" s="4" t="str">
        <f t="array" ref="AZ54">IF(MAX(($C54:AY54&lt;&gt;"")*COLUMN($C54:AY54))=0,"",INDEX($C54:AY54,1,MAX(($C54:AY54&lt;&gt;"")*COLUMN($C54:AY54))-COLUMN($C54)+1))</f>
        <v/>
      </c>
      <c r="BA54" s="33" t="str">
        <f t="shared" si="1"/>
        <v/>
      </c>
    </row>
    <row r="55" ht="14.25" customHeight="1">
      <c r="A55" s="32" t="str">
        <f>IF('Résultats des tournois'!A55="","",'Résultats des tournois'!A55)</f>
        <v/>
      </c>
      <c r="B55" s="32">
        <v>1500.0</v>
      </c>
      <c r="C55" s="32" t="str">
        <f>IF('Résultats des tournois'!B55="","",B55+'K dynamique'!B55*((SQRT('Résultats des tournois'!B$2+1)/'Résultats des tournois'!B55)-(1/(1+10^((B55-B55)/400)))))</f>
        <v/>
      </c>
      <c r="D55" s="32" t="str">
        <f>IFERROR(__xludf.DUMMYFUNCTION("IF('Résultats des tournois'!C$2=0,"""",LET(
lastVal, INDEX(FILTER($B55:C55, ISNUMBER($B55:C55)), COUNTA(FILTER($B55:C55, ISNUMBER($B55:C55)))),
IFERROR(
IF('Résultats des tournois'!C55="""", INDEX(FILTER($C55:C55, ISNUMBER($C55:C55)), COUNTA(FILTER($C55:C"&amp;"55, ISNUMBER($C55:C55)))),
lastVal + 'K dynamique'!C55 * ((SQRT('Résultats des tournois'!C$2 + 1)/'Résultats des tournois'!C55) - (1 / (1 + 10^((C$103 - lastVal)/400)))))
)
))"),"")</f>
        <v/>
      </c>
      <c r="E55" s="32" t="str">
        <f>IFERROR(__xludf.DUMMYFUNCTION("IF('Résultats des tournois'!D$2=0,"""",LET(
lastVal, INDEX(FILTER($B55:D55, ISNUMBER($B55:D55)), COUNTA(FILTER($B55:D55, ISNUMBER($B55:D55)))),
IFERROR(
IF('Résultats des tournois'!D55="""", INDEX(FILTER($C55:D55, ISNUMBER($C55:D55)), COUNTA(FILTER($C55:D"&amp;"55, ISNUMBER($C55:D55)))),
lastVal + 'K dynamique'!D55 * ((SQRT('Résultats des tournois'!D$2 + 1)/'Résultats des tournois'!D55) - (1 / (1 + 10^((D$103 - lastVal)/400)))))
)
))"),"")</f>
        <v/>
      </c>
      <c r="F55" s="32" t="str">
        <f>IFERROR(__xludf.DUMMYFUNCTION("IF('Résultats des tournois'!E$2=0,"""",LET(
lastVal, INDEX(FILTER($B55:E55, ISNUMBER($B55:E55)), COUNTA(FILTER($B55:E55, ISNUMBER($B55:E55)))),
IFERROR(
IF('Résultats des tournois'!E55="""", INDEX(FILTER($C55:E55, ISNUMBER($C55:E55)), COUNTA(FILTER($C55:E"&amp;"55, ISNUMBER($C55:E55)))),
lastVal + 'K dynamique'!E55 * ((SQRT('Résultats des tournois'!E$2 + 1)/'Résultats des tournois'!E55) - (1 / (1 + 10^((E$103 - lastVal)/400)))))
)
))"),"")</f>
        <v/>
      </c>
      <c r="G55" s="32" t="str">
        <f>IFERROR(__xludf.DUMMYFUNCTION("IF('Résultats des tournois'!F$2=0,"""",LET(
lastVal, INDEX(FILTER($B55:F55, ISNUMBER($B55:F55)), COUNTA(FILTER($B55:F55, ISNUMBER($B55:F55)))),
IFERROR(
IF('Résultats des tournois'!F55="""", INDEX(FILTER($C55:F55, ISNUMBER($C55:F55)), COUNTA(FILTER($C55:F"&amp;"55, ISNUMBER($C55:F55)))),
lastVal + 'K dynamique'!F55 * ((SQRT('Résultats des tournois'!F$2 + 1)/'Résultats des tournois'!F55) - (1 / (1 + 10^((F$103 - lastVal)/400)))))
)
))"),"")</f>
        <v/>
      </c>
      <c r="H55" s="32" t="str">
        <f>IFERROR(__xludf.DUMMYFUNCTION("IF('Résultats des tournois'!G$2=0,"""",LET(
lastVal, INDEX(FILTER($B55:G55, ISNUMBER($B55:G55)), COUNTA(FILTER($B55:G55, ISNUMBER($B55:G55)))),
IFERROR(
IF('Résultats des tournois'!G55="""", INDEX(FILTER($C55:G55, ISNUMBER($C55:G55)), COUNTA(FILTER($C55:G"&amp;"55, ISNUMBER($C55:G55)))),
lastVal + 'K dynamique'!G55 * ((SQRT('Résultats des tournois'!G$2 + 1)/'Résultats des tournois'!G55) - (1 / (1 + 10^((G$103 - lastVal)/400)))))
)
))"),"")</f>
        <v/>
      </c>
      <c r="I55" s="32" t="str">
        <f>IFERROR(__xludf.DUMMYFUNCTION("IF('Résultats des tournois'!H$2=0,"""",LET(
lastVal, INDEX(FILTER($B55:H55, ISNUMBER($B55:H55)), COUNTA(FILTER($B55:H55, ISNUMBER($B55:H55)))),
IFERROR(
IF('Résultats des tournois'!H55="""", INDEX(FILTER($C55:H55, ISNUMBER($C55:H55)), COUNTA(FILTER($C55:H"&amp;"55, ISNUMBER($C55:H55)))),
lastVal + 'K dynamique'!H55 * ((SQRT('Résultats des tournois'!H$2 + 1)/'Résultats des tournois'!H55) - (1 / (1 + 10^((H$103 - lastVal)/400)))))
)
))"),"")</f>
        <v/>
      </c>
      <c r="J55" s="32" t="str">
        <f>IFERROR(__xludf.DUMMYFUNCTION("IF('Résultats des tournois'!I$2=0,"""",LET(
lastVal, INDEX(FILTER($B55:I55, ISNUMBER($B55:I55)), COUNTA(FILTER($B55:I55, ISNUMBER($B55:I55)))),
IFERROR(
IF('Résultats des tournois'!I55="""", INDEX(FILTER($C55:I55, ISNUMBER($C55:I55)), COUNTA(FILTER($C55:I"&amp;"55, ISNUMBER($C55:I55)))),
lastVal + 'K dynamique'!I55 * ((SQRT('Résultats des tournois'!I$2 + 1)/'Résultats des tournois'!I55) - (1 / (1 + 10^((I$103 - lastVal)/400)))))
)
))"),"")</f>
        <v/>
      </c>
      <c r="K55" s="32" t="str">
        <f>IFERROR(__xludf.DUMMYFUNCTION("IF('Résultats des tournois'!J$2=0,"""",LET(
lastVal, INDEX(FILTER($B55:J55, ISNUMBER($B55:J55)), COUNTA(FILTER($B55:J55, ISNUMBER($B55:J55)))),
IFERROR(
IF('Résultats des tournois'!J55="""", INDEX(FILTER($C55:J55, ISNUMBER($C55:J55)), COUNTA(FILTER($C55:J"&amp;"55, ISNUMBER($C55:J55)))),
lastVal + 'K dynamique'!J55 * ((SQRT('Résultats des tournois'!J$2 + 1)/'Résultats des tournois'!J55) - (1 / (1 + 10^((J$103 - lastVal)/400)))))
)
))"),"")</f>
        <v/>
      </c>
      <c r="L55" s="32" t="str">
        <f>IFERROR(__xludf.DUMMYFUNCTION("IF('Résultats des tournois'!K$2=0,"""",LET(
lastVal, INDEX(FILTER($B55:K55, ISNUMBER($B55:K55)), COUNTA(FILTER($B55:K55, ISNUMBER($B55:K55)))),
IFERROR(
IF('Résultats des tournois'!K55="""", INDEX(FILTER($C55:K55, ISNUMBER($C55:K55)), COUNTA(FILTER($C55:K"&amp;"55, ISNUMBER($C55:K55)))),
lastVal + 'K dynamique'!K55 * ((SQRT('Résultats des tournois'!K$2 + 1)/'Résultats des tournois'!K55) - (1 / (1 + 10^((K$103 - lastVal)/400)))))
)
))"),"")</f>
        <v/>
      </c>
      <c r="M55" s="32" t="str">
        <f>IFERROR(__xludf.DUMMYFUNCTION("IF('Résultats des tournois'!L$2=0,"""",LET(
lastVal, INDEX(FILTER($B55:L55, ISNUMBER($B55:L55)), COUNTA(FILTER($B55:L55, ISNUMBER($B55:L55)))),
IFERROR(
IF('Résultats des tournois'!L55="""", INDEX(FILTER($C55:L55, ISNUMBER($C55:L55)), COUNTA(FILTER($C55:L"&amp;"55, ISNUMBER($C55:L55)))),
lastVal + 'K dynamique'!L55 * ((SQRT('Résultats des tournois'!L$2 + 1)/'Résultats des tournois'!L55) - (1 / (1 + 10^((L$103 - lastVal)/400)))))
)
))"),"")</f>
        <v/>
      </c>
      <c r="N55" s="32" t="str">
        <f>IFERROR(__xludf.DUMMYFUNCTION("IF('Résultats des tournois'!M$2=0,"""",LET(
lastVal, INDEX(FILTER($B55:M55, ISNUMBER($B55:M55)), COUNTA(FILTER($B55:M55, ISNUMBER($B55:M55)))),
IFERROR(
IF('Résultats des tournois'!M55="""", INDEX(FILTER($C55:M55, ISNUMBER($C55:M55)), COUNTA(FILTER($C55:M"&amp;"55, ISNUMBER($C55:M55)))),
lastVal + 'K dynamique'!M55 * ((SQRT('Résultats des tournois'!M$2 + 1)/'Résultats des tournois'!M55) - (1 / (1 + 10^((M$103 - lastVal)/400)))))
)
))"),"")</f>
        <v/>
      </c>
      <c r="O55" s="32" t="str">
        <f>IFERROR(__xludf.DUMMYFUNCTION("IF('Résultats des tournois'!N$2=0,"""",LET(
lastVal, INDEX(FILTER($B55:N55, ISNUMBER($B55:N55)), COUNTA(FILTER($B55:N55, ISNUMBER($B55:N55)))),
IFERROR(
IF('Résultats des tournois'!N55="""", INDEX(FILTER($C55:N55, ISNUMBER($C55:N55)), COUNTA(FILTER($C55:N"&amp;"55, ISNUMBER($C55:N55)))),
lastVal + 'K dynamique'!N55 * ((SQRT('Résultats des tournois'!N$2 + 1)/'Résultats des tournois'!N55) - (1 / (1 + 10^((N$103 - lastVal)/400)))))
)
))"),"")</f>
        <v/>
      </c>
      <c r="P55" s="32" t="str">
        <f>IFERROR(__xludf.DUMMYFUNCTION("IF('Résultats des tournois'!O$2=0,"""",LET(
lastVal, INDEX(FILTER($B55:O55, ISNUMBER($B55:O55)), COUNTA(FILTER($B55:O55, ISNUMBER($B55:O55)))),
IFERROR(
IF('Résultats des tournois'!O55="""", INDEX(FILTER($C55:O55, ISNUMBER($C55:O55)), COUNTA(FILTER($C55:O"&amp;"55, ISNUMBER($C55:O55)))),
lastVal + 'K dynamique'!O55 * ((SQRT('Résultats des tournois'!O$2 + 1)/'Résultats des tournois'!O55) - (1 / (1 + 10^((O$103 - lastVal)/400)))))
)
))"),"")</f>
        <v/>
      </c>
      <c r="Q55" s="32" t="str">
        <f>IFERROR(__xludf.DUMMYFUNCTION("IF('Résultats des tournois'!P$2=0,"""",LET(
lastVal, INDEX(FILTER($B55:P55, ISNUMBER($B55:P55)), COUNTA(FILTER($B55:P55, ISNUMBER($B55:P55)))),
IFERROR(
IF('Résultats des tournois'!P55="""", INDEX(FILTER($C55:P55, ISNUMBER($C55:P55)), COUNTA(FILTER($C55:P"&amp;"55, ISNUMBER($C55:P55)))),
lastVal + 'K dynamique'!P55 * ((SQRT('Résultats des tournois'!P$2 + 1)/'Résultats des tournois'!P55) - (1 / (1 + 10^((P$103 - lastVal)/400)))))
)
))"),"")</f>
        <v/>
      </c>
      <c r="R55" s="32" t="str">
        <f>IFERROR(__xludf.DUMMYFUNCTION("IF('Résultats des tournois'!Q$2=0,"""",LET(
lastVal, INDEX(FILTER($B55:Q55, ISNUMBER($B55:Q55)), COUNTA(FILTER($B55:Q55, ISNUMBER($B55:Q55)))),
IFERROR(
IF('Résultats des tournois'!Q55="""", INDEX(FILTER($C55:Q55, ISNUMBER($C55:Q55)), COUNTA(FILTER($C55:Q"&amp;"55, ISNUMBER($C55:Q55)))),
lastVal + 'K dynamique'!Q55 * ((SQRT('Résultats des tournois'!Q$2 + 1)/'Résultats des tournois'!Q55) - (1 / (1 + 10^((Q$103 - lastVal)/400)))))
)
))"),"")</f>
        <v/>
      </c>
      <c r="S55" s="32" t="str">
        <f>IFERROR(__xludf.DUMMYFUNCTION("IF('Résultats des tournois'!R$2=0,"""",LET(
lastVal, INDEX(FILTER($B55:R55, ISNUMBER($B55:R55)), COUNTA(FILTER($B55:R55, ISNUMBER($B55:R55)))),
IFERROR(
IF('Résultats des tournois'!R55="""", INDEX(FILTER($C55:R55, ISNUMBER($C55:R55)), COUNTA(FILTER($C55:R"&amp;"55, ISNUMBER($C55:R55)))),
lastVal + 'K dynamique'!R55 * ((SQRT('Résultats des tournois'!R$2 + 1)/'Résultats des tournois'!R55) - (1 / (1 + 10^((R$103 - lastVal)/400)))))
)
))"),"")</f>
        <v/>
      </c>
      <c r="T55" s="32" t="str">
        <f>IFERROR(__xludf.DUMMYFUNCTION("IF('Résultats des tournois'!S$2=0,"""",LET(
lastVal, INDEX(FILTER($B55:S55, ISNUMBER($B55:S55)), COUNTA(FILTER($B55:S55, ISNUMBER($B55:S55)))),
IFERROR(
IF('Résultats des tournois'!S55="""", INDEX(FILTER($C55:S55, ISNUMBER($C55:S55)), COUNTA(FILTER($C55:S"&amp;"55, ISNUMBER($C55:S55)))),
lastVal + 'K dynamique'!S55 * ((SQRT('Résultats des tournois'!S$2 + 1)/'Résultats des tournois'!S55) - (1 / (1 + 10^((S$103 - lastVal)/400)))))
)
))"),"")</f>
        <v/>
      </c>
      <c r="U55" s="32" t="str">
        <f>IFERROR(__xludf.DUMMYFUNCTION("IF('Résultats des tournois'!T$2=0,"""",LET(
lastVal, INDEX(FILTER($B55:T55, ISNUMBER($B55:T55)), COUNTA(FILTER($B55:T55, ISNUMBER($B55:T55)))),
IFERROR(
IF('Résultats des tournois'!T55="""", INDEX(FILTER($C55:T55, ISNUMBER($C55:T55)), COUNTA(FILTER($C55:T"&amp;"55, ISNUMBER($C55:T55)))),
lastVal + 'K dynamique'!T55 * ((SQRT('Résultats des tournois'!T$2 + 1)/'Résultats des tournois'!T55) - (1 / (1 + 10^((T$103 - lastVal)/400)))))
)
))"),"")</f>
        <v/>
      </c>
      <c r="V55" s="32" t="str">
        <f>IFERROR(__xludf.DUMMYFUNCTION("IF('Résultats des tournois'!U$2=0,"""",LET(
lastVal, INDEX(FILTER($B55:U55, ISNUMBER($B55:U55)), COUNTA(FILTER($B55:U55, ISNUMBER($B55:U55)))),
IFERROR(
IF('Résultats des tournois'!U55="""", INDEX(FILTER($C55:U55, ISNUMBER($C55:U55)), COUNTA(FILTER($C55:U"&amp;"55, ISNUMBER($C55:U55)))),
lastVal + 'K dynamique'!U55 * ((SQRT('Résultats des tournois'!U$2 + 1)/'Résultats des tournois'!U55) - (1 / (1 + 10^((U$103 - lastVal)/400)))))
)
))"),"")</f>
        <v/>
      </c>
      <c r="W55" s="32" t="str">
        <f>IFERROR(__xludf.DUMMYFUNCTION("IF('Résultats des tournois'!V$2=0,"""",LET(
lastVal, INDEX(FILTER($B55:V55, ISNUMBER($B55:V55)), COUNTA(FILTER($B55:V55, ISNUMBER($B55:V55)))),
IFERROR(
IF('Résultats des tournois'!V55="""", INDEX(FILTER($C55:V55, ISNUMBER($C55:V55)), COUNTA(FILTER($C55:V"&amp;"55, ISNUMBER($C55:V55)))),
lastVal + 'K dynamique'!V55 * ((SQRT('Résultats des tournois'!V$2 + 1)/'Résultats des tournois'!V55) - (1 / (1 + 10^((V$103 - lastVal)/400)))))
)
))"),"")</f>
        <v/>
      </c>
      <c r="X55" s="32" t="str">
        <f>IFERROR(__xludf.DUMMYFUNCTION("IF('Résultats des tournois'!W$2=0,"""",LET(
lastVal, INDEX(FILTER($B55:W55, ISNUMBER($B55:W55)), COUNTA(FILTER($B55:W55, ISNUMBER($B55:W55)))),
IFERROR(
IF('Résultats des tournois'!W55="""", INDEX(FILTER($C55:W55, ISNUMBER($C55:W55)), COUNTA(FILTER($C55:W"&amp;"55, ISNUMBER($C55:W55)))),
lastVal + 'K dynamique'!W55 * ((SQRT('Résultats des tournois'!W$2 + 1)/'Résultats des tournois'!W55) - (1 / (1 + 10^((W$103 - lastVal)/400)))))
)
))"),"")</f>
        <v/>
      </c>
      <c r="Y55" s="32" t="str">
        <f>IFERROR(__xludf.DUMMYFUNCTION("IF('Résultats des tournois'!X$2=0,"""",LET(
lastVal, INDEX(FILTER($B55:X55, ISNUMBER($B55:X55)), COUNTA(FILTER($B55:X55, ISNUMBER($B55:X55)))),
IFERROR(
IF('Résultats des tournois'!X55="""", INDEX(FILTER($C55:X55, ISNUMBER($C55:X55)), COUNTA(FILTER($C55:X"&amp;"55, ISNUMBER($C55:X55)))),
lastVal + 'K dynamique'!X55 * ((SQRT('Résultats des tournois'!X$2 + 1)/'Résultats des tournois'!X55) - (1 / (1 + 10^((X$103 - lastVal)/400)))))
)
))"),"")</f>
        <v/>
      </c>
      <c r="Z55" s="32" t="str">
        <f>IFERROR(__xludf.DUMMYFUNCTION("IF('Résultats des tournois'!Y$2=0,"""",LET(
lastVal, INDEX(FILTER($B55:Y55, ISNUMBER($B55:Y55)), COUNTA(FILTER($B55:Y55, ISNUMBER($B55:Y55)))),
IFERROR(
IF('Résultats des tournois'!Y55="""", INDEX(FILTER($C55:Y55, ISNUMBER($C55:Y55)), COUNTA(FILTER($C55:Y"&amp;"55, ISNUMBER($C55:Y55)))),
lastVal + 'K dynamique'!Y55 * ((SQRT('Résultats des tournois'!Y$2 + 1)/'Résultats des tournois'!Y55) - (1 / (1 + 10^((Y$103 - lastVal)/400)))))
)
))"),"")</f>
        <v/>
      </c>
      <c r="AA55" s="32" t="str">
        <f>IFERROR(__xludf.DUMMYFUNCTION("IF('Résultats des tournois'!Z$2=0,"""",LET(
lastVal, INDEX(FILTER($B55:Z55, ISNUMBER($B55:Z55)), COUNTA(FILTER($B55:Z55, ISNUMBER($B55:Z55)))),
IFERROR(
IF('Résultats des tournois'!Z55="""", INDEX(FILTER($C55:Z55, ISNUMBER($C55:Z55)), COUNTA(FILTER($C55:Z"&amp;"55, ISNUMBER($C55:Z55)))),
lastVal + 'K dynamique'!Z55 * ((SQRT('Résultats des tournois'!Z$2 + 1)/'Résultats des tournois'!Z55) - (1 / (1 + 10^((Z$103 - lastVal)/400)))))
)
))"),"")</f>
        <v/>
      </c>
      <c r="AB55" s="32" t="str">
        <f>IFERROR(__xludf.DUMMYFUNCTION("IF('Résultats des tournois'!AA$2=0,"""",LET(
lastVal, INDEX(FILTER($B55:AA55, ISNUMBER($B55:AA55)), COUNTA(FILTER($B55:AA55, ISNUMBER($B55:AA55)))),
IFERROR(
IF('Résultats des tournois'!AA55="""", INDEX(FILTER($C55:AA55, ISNUMBER($C55:AA55)), COUNTA(FILTE"&amp;"R($C55:AA55, ISNUMBER($C55:AA55)))),
lastVal + 'K dynamique'!AA55 * ((SQRT('Résultats des tournois'!AA$2 + 1)/'Résultats des tournois'!AA55) - (1 / (1 + 10^((AA$103 - lastVal)/400)))))
)
))"),"")</f>
        <v/>
      </c>
      <c r="AC55" s="32" t="str">
        <f>IFERROR(__xludf.DUMMYFUNCTION("IF('Résultats des tournois'!AB$2=0,"""",LET(
lastVal, INDEX(FILTER($B55:AB55, ISNUMBER($B55:AB55)), COUNTA(FILTER($B55:AB55, ISNUMBER($B55:AB55)))),
IFERROR(
IF('Résultats des tournois'!AB55="""", INDEX(FILTER($C55:AB55, ISNUMBER($C55:AB55)), COUNTA(FILTE"&amp;"R($C55:AB55, ISNUMBER($C55:AB55)))),
lastVal + 'K dynamique'!AB55 * ((SQRT('Résultats des tournois'!AB$2 + 1)/'Résultats des tournois'!AB55) - (1 / (1 + 10^((AB$103 - lastVal)/400)))))
)
))"),"")</f>
        <v/>
      </c>
      <c r="AD55" s="32" t="str">
        <f>IFERROR(__xludf.DUMMYFUNCTION("IF('Résultats des tournois'!AC$2=0,"""",LET(
lastVal, INDEX(FILTER($B55:AC55, ISNUMBER($B55:AC55)), COUNTA(FILTER($B55:AC55, ISNUMBER($B55:AC55)))),
IFERROR(
IF('Résultats des tournois'!AC55="""", INDEX(FILTER($C55:AC55, ISNUMBER($C55:AC55)), COUNTA(FILTE"&amp;"R($C55:AC55, ISNUMBER($C55:AC55)))),
lastVal + 'K dynamique'!AC55 * ((SQRT('Résultats des tournois'!AC$2 + 1)/'Résultats des tournois'!AC55) - (1 / (1 + 10^((AC$103 - lastVal)/400)))))
)
))"),"")</f>
        <v/>
      </c>
      <c r="AE55" s="32" t="str">
        <f>IFERROR(__xludf.DUMMYFUNCTION("IF('Résultats des tournois'!AD$2=0,"""",LET(
lastVal, INDEX(FILTER($B55:AD55, ISNUMBER($B55:AD55)), COUNTA(FILTER($B55:AD55, ISNUMBER($B55:AD55)))),
IFERROR(
IF('Résultats des tournois'!AD55="""", INDEX(FILTER($C55:AD55, ISNUMBER($C55:AD55)), COUNTA(FILTE"&amp;"R($C55:AD55, ISNUMBER($C55:AD55)))),
lastVal + 'K dynamique'!AD55 * ((SQRT('Résultats des tournois'!AD$2 + 1)/'Résultats des tournois'!AD55) - (1 / (1 + 10^((AD$103 - lastVal)/400)))))
)
))"),"")</f>
        <v/>
      </c>
      <c r="AF55" s="32" t="str">
        <f>IFERROR(__xludf.DUMMYFUNCTION("IF('Résultats des tournois'!AE$2=0,"""",LET(
lastVal, INDEX(FILTER($B55:AE55, ISNUMBER($B55:AE55)), COUNTA(FILTER($B55:AE55, ISNUMBER($B55:AE55)))),
IFERROR(
IF('Résultats des tournois'!AE55="""", INDEX(FILTER($C55:AE55, ISNUMBER($C55:AE55)), COUNTA(FILTE"&amp;"R($C55:AE55, ISNUMBER($C55:AE55)))),
lastVal + 'K dynamique'!AE55 * ((SQRT('Résultats des tournois'!AE$2 + 1)/'Résultats des tournois'!AE55) - (1 / (1 + 10^((AE$103 - lastVal)/400)))))
)
))"),"")</f>
        <v/>
      </c>
      <c r="AG55" s="32" t="str">
        <f>IFERROR(__xludf.DUMMYFUNCTION("IF('Résultats des tournois'!AF$2=0,"""",LET(
lastVal, INDEX(FILTER($B55:AF55, ISNUMBER($B55:AF55)), COUNTA(FILTER($B55:AF55, ISNUMBER($B55:AF55)))),
IFERROR(
IF('Résultats des tournois'!AF55="""", INDEX(FILTER($C55:AF55, ISNUMBER($C55:AF55)), COUNTA(FILTE"&amp;"R($C55:AF55, ISNUMBER($C55:AF55)))),
lastVal + 'K dynamique'!AF55 * ((SQRT('Résultats des tournois'!AF$2 + 1)/'Résultats des tournois'!AF55) - (1 / (1 + 10^((AF$103 - lastVal)/400)))))
)
))"),"")</f>
        <v/>
      </c>
      <c r="AH55" s="32" t="str">
        <f>IFERROR(__xludf.DUMMYFUNCTION("IF('Résultats des tournois'!AG$2=0,"""",LET(
lastVal, INDEX(FILTER($B55:AG55, ISNUMBER($B55:AG55)), COUNTA(FILTER($B55:AG55, ISNUMBER($B55:AG55)))),
IFERROR(
IF('Résultats des tournois'!AG55="""", INDEX(FILTER($C55:AG55, ISNUMBER($C55:AG55)), COUNTA(FILTE"&amp;"R($C55:AG55, ISNUMBER($C55:AG55)))),
lastVal + 'K dynamique'!AG55 * ((SQRT('Résultats des tournois'!AG$2 + 1)/'Résultats des tournois'!AG55) - (1 / (1 + 10^((AG$103 - lastVal)/400)))))
)
))"),"")</f>
        <v/>
      </c>
      <c r="AI55" s="32" t="str">
        <f>IFERROR(__xludf.DUMMYFUNCTION("IF('Résultats des tournois'!AH$2=0,"""",LET(
lastVal, INDEX(FILTER($B55:AH55, ISNUMBER($B55:AH55)), COUNTA(FILTER($B55:AH55, ISNUMBER($B55:AH55)))),
IFERROR(
IF('Résultats des tournois'!AH55="""", INDEX(FILTER($C55:AH55, ISNUMBER($C55:AH55)), COUNTA(FILTE"&amp;"R($C55:AH55, ISNUMBER($C55:AH55)))),
lastVal + 'K dynamique'!AH55 * ((SQRT('Résultats des tournois'!AH$2 + 1)/'Résultats des tournois'!AH55) - (1 / (1 + 10^((AH$103 - lastVal)/400)))))
)
))"),"")</f>
        <v/>
      </c>
      <c r="AJ55" s="32" t="str">
        <f>IFERROR(__xludf.DUMMYFUNCTION("IF('Résultats des tournois'!AI$2=0,"""",LET(
lastVal, INDEX(FILTER($B55:AI55, ISNUMBER($B55:AI55)), COUNTA(FILTER($B55:AI55, ISNUMBER($B55:AI55)))),
IFERROR(
IF('Résultats des tournois'!AI55="""", INDEX(FILTER($C55:AI55, ISNUMBER($C55:AI55)), COUNTA(FILTE"&amp;"R($C55:AI55, ISNUMBER($C55:AI55)))),
lastVal + 'K dynamique'!AI55 * ((SQRT('Résultats des tournois'!AI$2 + 1)/'Résultats des tournois'!AI55) - (1 / (1 + 10^((AI$103 - lastVal)/400)))))
)
))"),"")</f>
        <v/>
      </c>
      <c r="AK55" s="32" t="str">
        <f>IFERROR(__xludf.DUMMYFUNCTION("IF('Résultats des tournois'!AJ$2=0,"""",LET(
lastVal, INDEX(FILTER($B55:AJ55, ISNUMBER($B55:AJ55)), COUNTA(FILTER($B55:AJ55, ISNUMBER($B55:AJ55)))),
IFERROR(
IF('Résultats des tournois'!AJ55="""", INDEX(FILTER($C55:AJ55, ISNUMBER($C55:AJ55)), COUNTA(FILTE"&amp;"R($C55:AJ55, ISNUMBER($C55:AJ55)))),
lastVal + 'K dynamique'!AJ55 * ((SQRT('Résultats des tournois'!AJ$2 + 1)/'Résultats des tournois'!AJ55) - (1 / (1 + 10^((AJ$103 - lastVal)/400)))))
)
))"),"")</f>
        <v/>
      </c>
      <c r="AL55" s="32" t="str">
        <f>IFERROR(__xludf.DUMMYFUNCTION("IF('Résultats des tournois'!AK$2=0,"""",LET(
lastVal, INDEX(FILTER($B55:AK55, ISNUMBER($B55:AK55)), COUNTA(FILTER($B55:AK55, ISNUMBER($B55:AK55)))),
IFERROR(
IF('Résultats des tournois'!AK55="""", INDEX(FILTER($C55:AK55, ISNUMBER($C55:AK55)), COUNTA(FILTE"&amp;"R($C55:AK55, ISNUMBER($C55:AK55)))),
lastVal + 'K dynamique'!AK55 * ((SQRT('Résultats des tournois'!AK$2 + 1)/'Résultats des tournois'!AK55) - (1 / (1 + 10^((AK$103 - lastVal)/400)))))
)
))"),"")</f>
        <v/>
      </c>
      <c r="AM55" s="32" t="str">
        <f>IFERROR(__xludf.DUMMYFUNCTION("IF('Résultats des tournois'!AL$2=0,"""",LET(
lastVal, INDEX(FILTER($B55:AL55, ISNUMBER($B55:AL55)), COUNTA(FILTER($B55:AL55, ISNUMBER($B55:AL55)))),
IFERROR(
IF('Résultats des tournois'!AL55="""", INDEX(FILTER($C55:AL55, ISNUMBER($C55:AL55)), COUNTA(FILTE"&amp;"R($C55:AL55, ISNUMBER($C55:AL55)))),
lastVal + 'K dynamique'!AL55 * ((SQRT('Résultats des tournois'!AL$2 + 1)/'Résultats des tournois'!AL55) - (1 / (1 + 10^((AL$103 - lastVal)/400)))))
)
))"),"")</f>
        <v/>
      </c>
      <c r="AN55" s="32" t="str">
        <f>IFERROR(__xludf.DUMMYFUNCTION("IF('Résultats des tournois'!AM$2=0,"""",LET(
lastVal, INDEX(FILTER($B55:AM55, ISNUMBER($B55:AM55)), COUNTA(FILTER($B55:AM55, ISNUMBER($B55:AM55)))),
IFERROR(
IF('Résultats des tournois'!AM55="""", INDEX(FILTER($C55:AM55, ISNUMBER($C55:AM55)), COUNTA(FILTE"&amp;"R($C55:AM55, ISNUMBER($C55:AM55)))),
lastVal + 'K dynamique'!AM55 * ((SQRT('Résultats des tournois'!AM$2 + 1)/'Résultats des tournois'!AM55) - (1 / (1 + 10^((AM$103 - lastVal)/400)))))
)
))"),"")</f>
        <v/>
      </c>
      <c r="AO55" s="32" t="str">
        <f>IFERROR(__xludf.DUMMYFUNCTION("IF('Résultats des tournois'!AN$2=0,"""",LET(
lastVal, INDEX(FILTER($B55:AN55, ISNUMBER($B55:AN55)), COUNTA(FILTER($B55:AN55, ISNUMBER($B55:AN55)))),
IFERROR(
IF('Résultats des tournois'!AN55="""", INDEX(FILTER($C55:AN55, ISNUMBER($C55:AN55)), COUNTA(FILTE"&amp;"R($C55:AN55, ISNUMBER($C55:AN55)))),
lastVal + 'K dynamique'!AN55 * ((SQRT('Résultats des tournois'!AN$2 + 1)/'Résultats des tournois'!AN55) - (1 / (1 + 10^((AN$103 - lastVal)/400)))))
)
))"),"")</f>
        <v/>
      </c>
      <c r="AP55" s="32" t="str">
        <f>IFERROR(__xludf.DUMMYFUNCTION("IF('Résultats des tournois'!AO$2=0,"""",LET(
lastVal, INDEX(FILTER($B55:AO55, ISNUMBER($B55:AO55)), COUNTA(FILTER($B55:AO55, ISNUMBER($B55:AO55)))),
IFERROR(
IF('Résultats des tournois'!AO55="""", INDEX(FILTER($C55:AO55, ISNUMBER($C55:AO55)), COUNTA(FILTE"&amp;"R($C55:AO55, ISNUMBER($C55:AO55)))),
lastVal + 'K dynamique'!AO55 * ((SQRT('Résultats des tournois'!AO$2 + 1)/'Résultats des tournois'!AO55) - (1 / (1 + 10^((AO$103 - lastVal)/400)))))
)
))"),"")</f>
        <v/>
      </c>
      <c r="AQ55" s="32" t="str">
        <f>IFERROR(__xludf.DUMMYFUNCTION("IF('Résultats des tournois'!AP$2=0,"""",LET(
lastVal, INDEX(FILTER($B55:AP55, ISNUMBER($B55:AP55)), COUNTA(FILTER($B55:AP55, ISNUMBER($B55:AP55)))),
IFERROR(
IF('Résultats des tournois'!AP55="""", INDEX(FILTER($C55:AP55, ISNUMBER($C55:AP55)), COUNTA(FILTE"&amp;"R($C55:AP55, ISNUMBER($C55:AP55)))),
lastVal + 'K dynamique'!AP55 * ((SQRT('Résultats des tournois'!AP$2 + 1)/'Résultats des tournois'!AP55) - (1 / (1 + 10^((AP$103 - lastVal)/400)))))
)
))"),"")</f>
        <v/>
      </c>
      <c r="AR55" s="32" t="str">
        <f>IFERROR(__xludf.DUMMYFUNCTION("IF('Résultats des tournois'!AQ$2=0,"""",LET(
lastVal, INDEX(FILTER($B55:AQ55, ISNUMBER($B55:AQ55)), COUNTA(FILTER($B55:AQ55, ISNUMBER($B55:AQ55)))),
IFERROR(
IF('Résultats des tournois'!AQ55="""", INDEX(FILTER($C55:AQ55, ISNUMBER($C55:AQ55)), COUNTA(FILTE"&amp;"R($C55:AQ55, ISNUMBER($C55:AQ55)))),
lastVal + 'K dynamique'!AQ55 * ((SQRT('Résultats des tournois'!AQ$2 + 1)/'Résultats des tournois'!AQ55) - (1 / (1 + 10^((AQ$103 - lastVal)/400)))))
)
))"),"")</f>
        <v/>
      </c>
      <c r="AS55" s="32" t="str">
        <f>IFERROR(__xludf.DUMMYFUNCTION("IF('Résultats des tournois'!AR$2=0,"""",LET(
lastVal, INDEX(FILTER($B55:AR55, ISNUMBER($B55:AR55)), COUNTA(FILTER($B55:AR55, ISNUMBER($B55:AR55)))),
IFERROR(
IF('Résultats des tournois'!AR55="""", INDEX(FILTER($C55:AR55, ISNUMBER($C55:AR55)), COUNTA(FILTE"&amp;"R($C55:AR55, ISNUMBER($C55:AR55)))),
lastVal + 'K dynamique'!AR55 * ((SQRT('Résultats des tournois'!AR$2 + 1)/'Résultats des tournois'!AR55) - (1 / (1 + 10^((AR$103 - lastVal)/400)))))
)
))"),"")</f>
        <v/>
      </c>
      <c r="AT55" s="32" t="str">
        <f>IFERROR(__xludf.DUMMYFUNCTION("IF('Résultats des tournois'!AS$2=0,"""",LET(
lastVal, INDEX(FILTER($B55:AS55, ISNUMBER($B55:AS55)), COUNTA(FILTER($B55:AS55, ISNUMBER($B55:AS55)))),
IFERROR(
IF('Résultats des tournois'!AS55="""", INDEX(FILTER($C55:AS55, ISNUMBER($C55:AS55)), COUNTA(FILTE"&amp;"R($C55:AS55, ISNUMBER($C55:AS55)))),
lastVal + 'K dynamique'!AS55 * ((SQRT('Résultats des tournois'!AS$2 + 1)/'Résultats des tournois'!AS55) - (1 / (1 + 10^((AS$103 - lastVal)/400)))))
)
))"),"")</f>
        <v/>
      </c>
      <c r="AU55" s="32" t="str">
        <f>IFERROR(__xludf.DUMMYFUNCTION("IF('Résultats des tournois'!AT$2=0,"""",LET(
lastVal, INDEX(FILTER($B55:AT55, ISNUMBER($B55:AT55)), COUNTA(FILTER($B55:AT55, ISNUMBER($B55:AT55)))),
IFERROR(
IF('Résultats des tournois'!AT55="""", INDEX(FILTER($C55:AT55, ISNUMBER($C55:AT55)), COUNTA(FILTE"&amp;"R($C55:AT55, ISNUMBER($C55:AT55)))),
lastVal + 'K dynamique'!AT55 * ((SQRT('Résultats des tournois'!AT$2 + 1)/'Résultats des tournois'!AT55) - (1 / (1 + 10^((AT$103 - lastVal)/400)))))
)
))"),"")</f>
        <v/>
      </c>
      <c r="AV55" s="32" t="str">
        <f>IFERROR(__xludf.DUMMYFUNCTION("IF('Résultats des tournois'!AU$2=0,"""",LET(
lastVal, INDEX(FILTER($B55:AU55, ISNUMBER($B55:AU55)), COUNTA(FILTER($B55:AU55, ISNUMBER($B55:AU55)))),
IFERROR(
IF('Résultats des tournois'!AU55="""", INDEX(FILTER($C55:AU55, ISNUMBER($C55:AU55)), COUNTA(FILTE"&amp;"R($C55:AU55, ISNUMBER($C55:AU55)))),
lastVal + 'K dynamique'!AU55 * ((SQRT('Résultats des tournois'!AU$2 + 1)/'Résultats des tournois'!AU55) - (1 / (1 + 10^((AU$103 - lastVal)/400)))))
)
))"),"")</f>
        <v/>
      </c>
      <c r="AW55" s="32" t="str">
        <f>IFERROR(__xludf.DUMMYFUNCTION("IF('Résultats des tournois'!AV$2=0,"""",LET(
lastVal, INDEX(FILTER($B55:AV55, ISNUMBER($B55:AV55)), COUNTA(FILTER($B55:AV55, ISNUMBER($B55:AV55)))),
IFERROR(
IF('Résultats des tournois'!AV55="""", INDEX(FILTER($C55:AV55, ISNUMBER($C55:AV55)), COUNTA(FILTE"&amp;"R($C55:AV55, ISNUMBER($C55:AV55)))),
lastVal + 'K dynamique'!AV55 * ((SQRT('Résultats des tournois'!AV$2 + 1)/'Résultats des tournois'!AV55) - (1 / (1 + 10^((AV$103 - lastVal)/400)))))
)
))"),"")</f>
        <v/>
      </c>
      <c r="AX55" s="32" t="str">
        <f>IFERROR(__xludf.DUMMYFUNCTION("IF('Résultats des tournois'!AW$2=0,"""",LET(
lastVal, INDEX(FILTER($B55:AW55, ISNUMBER($B55:AW55)), COUNTA(FILTER($B55:AW55, ISNUMBER($B55:AW55)))),
IFERROR(
IF('Résultats des tournois'!AW55="""", INDEX(FILTER($C55:AW55, ISNUMBER($C55:AW55)), COUNTA(FILTE"&amp;"R($C55:AW55, ISNUMBER($C55:AW55)))),
lastVal + 'K dynamique'!AW55 * ((SQRT('Résultats des tournois'!AW$2 + 1)/'Résultats des tournois'!AW55) - (1 / (1 + 10^((AW$103 - lastVal)/400)))))
)
))"),"")</f>
        <v/>
      </c>
      <c r="AY55" s="32" t="str">
        <f>IFERROR(__xludf.DUMMYFUNCTION("IF('Résultats des tournois'!AX$2=0,"""",LET(
lastVal, INDEX(FILTER($B55:AX55, ISNUMBER($B55:AX55)), COUNTA(FILTER($B55:AX55, ISNUMBER($B55:AX55)))),
IFERROR(
IF('Résultats des tournois'!AX55="""", INDEX(FILTER($C55:AX55, ISNUMBER($C55:AX55)), COUNTA(FILTE"&amp;"R($C55:AX55, ISNUMBER($C55:AX55)))),
lastVal + 'K dynamique'!AX55 * ((SQRT('Résultats des tournois'!AX$2 + 1)/'Résultats des tournois'!AX55) - (1 / (1 + 10^((AX$103 - lastVal)/400)))))
)
))"),"")</f>
        <v/>
      </c>
      <c r="AZ55" s="4" t="str">
        <f t="array" ref="AZ55">IF(MAX(($C55:AY55&lt;&gt;"")*COLUMN($C55:AY55))=0,"",INDEX($C55:AY55,1,MAX(($C55:AY55&lt;&gt;"")*COLUMN($C55:AY55))-COLUMN($C55)+1))</f>
        <v/>
      </c>
      <c r="BA55" s="33" t="str">
        <f t="shared" si="1"/>
        <v/>
      </c>
    </row>
    <row r="56" ht="14.25" customHeight="1">
      <c r="A56" s="32" t="str">
        <f>IF('Résultats des tournois'!A56="","",'Résultats des tournois'!A56)</f>
        <v/>
      </c>
      <c r="B56" s="32">
        <v>1500.0</v>
      </c>
      <c r="C56" s="32" t="str">
        <f>IF('Résultats des tournois'!B56="","",B56+'K dynamique'!B56*((SQRT('Résultats des tournois'!B$2+1)/'Résultats des tournois'!B56)-(1/(1+10^((B56-B56)/400)))))</f>
        <v/>
      </c>
      <c r="D56" s="32" t="str">
        <f>IFERROR(__xludf.DUMMYFUNCTION("IF('Résultats des tournois'!C$2=0,"""",LET(
lastVal, INDEX(FILTER($B56:C56, ISNUMBER($B56:C56)), COUNTA(FILTER($B56:C56, ISNUMBER($B56:C56)))),
IFERROR(
IF('Résultats des tournois'!C56="""", INDEX(FILTER($C56:C56, ISNUMBER($C56:C56)), COUNTA(FILTER($C56:C"&amp;"56, ISNUMBER($C56:C56)))),
lastVal + 'K dynamique'!C56 * ((SQRT('Résultats des tournois'!C$2 + 1)/'Résultats des tournois'!C56) - (1 / (1 + 10^((C$103 - lastVal)/400)))))
)
))"),"")</f>
        <v/>
      </c>
      <c r="E56" s="32" t="str">
        <f>IFERROR(__xludf.DUMMYFUNCTION("IF('Résultats des tournois'!D$2=0,"""",LET(
lastVal, INDEX(FILTER($B56:D56, ISNUMBER($B56:D56)), COUNTA(FILTER($B56:D56, ISNUMBER($B56:D56)))),
IFERROR(
IF('Résultats des tournois'!D56="""", INDEX(FILTER($C56:D56, ISNUMBER($C56:D56)), COUNTA(FILTER($C56:D"&amp;"56, ISNUMBER($C56:D56)))),
lastVal + 'K dynamique'!D56 * ((SQRT('Résultats des tournois'!D$2 + 1)/'Résultats des tournois'!D56) - (1 / (1 + 10^((D$103 - lastVal)/400)))))
)
))"),"")</f>
        <v/>
      </c>
      <c r="F56" s="32" t="str">
        <f>IFERROR(__xludf.DUMMYFUNCTION("IF('Résultats des tournois'!E$2=0,"""",LET(
lastVal, INDEX(FILTER($B56:E56, ISNUMBER($B56:E56)), COUNTA(FILTER($B56:E56, ISNUMBER($B56:E56)))),
IFERROR(
IF('Résultats des tournois'!E56="""", INDEX(FILTER($C56:E56, ISNUMBER($C56:E56)), COUNTA(FILTER($C56:E"&amp;"56, ISNUMBER($C56:E56)))),
lastVal + 'K dynamique'!E56 * ((SQRT('Résultats des tournois'!E$2 + 1)/'Résultats des tournois'!E56) - (1 / (1 + 10^((E$103 - lastVal)/400)))))
)
))"),"")</f>
        <v/>
      </c>
      <c r="G56" s="32" t="str">
        <f>IFERROR(__xludf.DUMMYFUNCTION("IF('Résultats des tournois'!F$2=0,"""",LET(
lastVal, INDEX(FILTER($B56:F56, ISNUMBER($B56:F56)), COUNTA(FILTER($B56:F56, ISNUMBER($B56:F56)))),
IFERROR(
IF('Résultats des tournois'!F56="""", INDEX(FILTER($C56:F56, ISNUMBER($C56:F56)), COUNTA(FILTER($C56:F"&amp;"56, ISNUMBER($C56:F56)))),
lastVal + 'K dynamique'!F56 * ((SQRT('Résultats des tournois'!F$2 + 1)/'Résultats des tournois'!F56) - (1 / (1 + 10^((F$103 - lastVal)/400)))))
)
))"),"")</f>
        <v/>
      </c>
      <c r="H56" s="32" t="str">
        <f>IFERROR(__xludf.DUMMYFUNCTION("IF('Résultats des tournois'!G$2=0,"""",LET(
lastVal, INDEX(FILTER($B56:G56, ISNUMBER($B56:G56)), COUNTA(FILTER($B56:G56, ISNUMBER($B56:G56)))),
IFERROR(
IF('Résultats des tournois'!G56="""", INDEX(FILTER($C56:G56, ISNUMBER($C56:G56)), COUNTA(FILTER($C56:G"&amp;"56, ISNUMBER($C56:G56)))),
lastVal + 'K dynamique'!G56 * ((SQRT('Résultats des tournois'!G$2 + 1)/'Résultats des tournois'!G56) - (1 / (1 + 10^((G$103 - lastVal)/400)))))
)
))"),"")</f>
        <v/>
      </c>
      <c r="I56" s="32" t="str">
        <f>IFERROR(__xludf.DUMMYFUNCTION("IF('Résultats des tournois'!H$2=0,"""",LET(
lastVal, INDEX(FILTER($B56:H56, ISNUMBER($B56:H56)), COUNTA(FILTER($B56:H56, ISNUMBER($B56:H56)))),
IFERROR(
IF('Résultats des tournois'!H56="""", INDEX(FILTER($C56:H56, ISNUMBER($C56:H56)), COUNTA(FILTER($C56:H"&amp;"56, ISNUMBER($C56:H56)))),
lastVal + 'K dynamique'!H56 * ((SQRT('Résultats des tournois'!H$2 + 1)/'Résultats des tournois'!H56) - (1 / (1 + 10^((H$103 - lastVal)/400)))))
)
))"),"")</f>
        <v/>
      </c>
      <c r="J56" s="32" t="str">
        <f>IFERROR(__xludf.DUMMYFUNCTION("IF('Résultats des tournois'!I$2=0,"""",LET(
lastVal, INDEX(FILTER($B56:I56, ISNUMBER($B56:I56)), COUNTA(FILTER($B56:I56, ISNUMBER($B56:I56)))),
IFERROR(
IF('Résultats des tournois'!I56="""", INDEX(FILTER($C56:I56, ISNUMBER($C56:I56)), COUNTA(FILTER($C56:I"&amp;"56, ISNUMBER($C56:I56)))),
lastVal + 'K dynamique'!I56 * ((SQRT('Résultats des tournois'!I$2 + 1)/'Résultats des tournois'!I56) - (1 / (1 + 10^((I$103 - lastVal)/400)))))
)
))"),"")</f>
        <v/>
      </c>
      <c r="K56" s="32" t="str">
        <f>IFERROR(__xludf.DUMMYFUNCTION("IF('Résultats des tournois'!J$2=0,"""",LET(
lastVal, INDEX(FILTER($B56:J56, ISNUMBER($B56:J56)), COUNTA(FILTER($B56:J56, ISNUMBER($B56:J56)))),
IFERROR(
IF('Résultats des tournois'!J56="""", INDEX(FILTER($C56:J56, ISNUMBER($C56:J56)), COUNTA(FILTER($C56:J"&amp;"56, ISNUMBER($C56:J56)))),
lastVal + 'K dynamique'!J56 * ((SQRT('Résultats des tournois'!J$2 + 1)/'Résultats des tournois'!J56) - (1 / (1 + 10^((J$103 - lastVal)/400)))))
)
))"),"")</f>
        <v/>
      </c>
      <c r="L56" s="32" t="str">
        <f>IFERROR(__xludf.DUMMYFUNCTION("IF('Résultats des tournois'!K$2=0,"""",LET(
lastVal, INDEX(FILTER($B56:K56, ISNUMBER($B56:K56)), COUNTA(FILTER($B56:K56, ISNUMBER($B56:K56)))),
IFERROR(
IF('Résultats des tournois'!K56="""", INDEX(FILTER($C56:K56, ISNUMBER($C56:K56)), COUNTA(FILTER($C56:K"&amp;"56, ISNUMBER($C56:K56)))),
lastVal + 'K dynamique'!K56 * ((SQRT('Résultats des tournois'!K$2 + 1)/'Résultats des tournois'!K56) - (1 / (1 + 10^((K$103 - lastVal)/400)))))
)
))"),"")</f>
        <v/>
      </c>
      <c r="M56" s="32" t="str">
        <f>IFERROR(__xludf.DUMMYFUNCTION("IF('Résultats des tournois'!L$2=0,"""",LET(
lastVal, INDEX(FILTER($B56:L56, ISNUMBER($B56:L56)), COUNTA(FILTER($B56:L56, ISNUMBER($B56:L56)))),
IFERROR(
IF('Résultats des tournois'!L56="""", INDEX(FILTER($C56:L56, ISNUMBER($C56:L56)), COUNTA(FILTER($C56:L"&amp;"56, ISNUMBER($C56:L56)))),
lastVal + 'K dynamique'!L56 * ((SQRT('Résultats des tournois'!L$2 + 1)/'Résultats des tournois'!L56) - (1 / (1 + 10^((L$103 - lastVal)/400)))))
)
))"),"")</f>
        <v/>
      </c>
      <c r="N56" s="32" t="str">
        <f>IFERROR(__xludf.DUMMYFUNCTION("IF('Résultats des tournois'!M$2=0,"""",LET(
lastVal, INDEX(FILTER($B56:M56, ISNUMBER($B56:M56)), COUNTA(FILTER($B56:M56, ISNUMBER($B56:M56)))),
IFERROR(
IF('Résultats des tournois'!M56="""", INDEX(FILTER($C56:M56, ISNUMBER($C56:M56)), COUNTA(FILTER($C56:M"&amp;"56, ISNUMBER($C56:M56)))),
lastVal + 'K dynamique'!M56 * ((SQRT('Résultats des tournois'!M$2 + 1)/'Résultats des tournois'!M56) - (1 / (1 + 10^((M$103 - lastVal)/400)))))
)
))"),"")</f>
        <v/>
      </c>
      <c r="O56" s="32" t="str">
        <f>IFERROR(__xludf.DUMMYFUNCTION("IF('Résultats des tournois'!N$2=0,"""",LET(
lastVal, INDEX(FILTER($B56:N56, ISNUMBER($B56:N56)), COUNTA(FILTER($B56:N56, ISNUMBER($B56:N56)))),
IFERROR(
IF('Résultats des tournois'!N56="""", INDEX(FILTER($C56:N56, ISNUMBER($C56:N56)), COUNTA(FILTER($C56:N"&amp;"56, ISNUMBER($C56:N56)))),
lastVal + 'K dynamique'!N56 * ((SQRT('Résultats des tournois'!N$2 + 1)/'Résultats des tournois'!N56) - (1 / (1 + 10^((N$103 - lastVal)/400)))))
)
))"),"")</f>
        <v/>
      </c>
      <c r="P56" s="32" t="str">
        <f>IFERROR(__xludf.DUMMYFUNCTION("IF('Résultats des tournois'!O$2=0,"""",LET(
lastVal, INDEX(FILTER($B56:O56, ISNUMBER($B56:O56)), COUNTA(FILTER($B56:O56, ISNUMBER($B56:O56)))),
IFERROR(
IF('Résultats des tournois'!O56="""", INDEX(FILTER($C56:O56, ISNUMBER($C56:O56)), COUNTA(FILTER($C56:O"&amp;"56, ISNUMBER($C56:O56)))),
lastVal + 'K dynamique'!O56 * ((SQRT('Résultats des tournois'!O$2 + 1)/'Résultats des tournois'!O56) - (1 / (1 + 10^((O$103 - lastVal)/400)))))
)
))"),"")</f>
        <v/>
      </c>
      <c r="Q56" s="32" t="str">
        <f>IFERROR(__xludf.DUMMYFUNCTION("IF('Résultats des tournois'!P$2=0,"""",LET(
lastVal, INDEX(FILTER($B56:P56, ISNUMBER($B56:P56)), COUNTA(FILTER($B56:P56, ISNUMBER($B56:P56)))),
IFERROR(
IF('Résultats des tournois'!P56="""", INDEX(FILTER($C56:P56, ISNUMBER($C56:P56)), COUNTA(FILTER($C56:P"&amp;"56, ISNUMBER($C56:P56)))),
lastVal + 'K dynamique'!P56 * ((SQRT('Résultats des tournois'!P$2 + 1)/'Résultats des tournois'!P56) - (1 / (1 + 10^((P$103 - lastVal)/400)))))
)
))"),"")</f>
        <v/>
      </c>
      <c r="R56" s="32" t="str">
        <f>IFERROR(__xludf.DUMMYFUNCTION("IF('Résultats des tournois'!Q$2=0,"""",LET(
lastVal, INDEX(FILTER($B56:Q56, ISNUMBER($B56:Q56)), COUNTA(FILTER($B56:Q56, ISNUMBER($B56:Q56)))),
IFERROR(
IF('Résultats des tournois'!Q56="""", INDEX(FILTER($C56:Q56, ISNUMBER($C56:Q56)), COUNTA(FILTER($C56:Q"&amp;"56, ISNUMBER($C56:Q56)))),
lastVal + 'K dynamique'!Q56 * ((SQRT('Résultats des tournois'!Q$2 + 1)/'Résultats des tournois'!Q56) - (1 / (1 + 10^((Q$103 - lastVal)/400)))))
)
))"),"")</f>
        <v/>
      </c>
      <c r="S56" s="32" t="str">
        <f>IFERROR(__xludf.DUMMYFUNCTION("IF('Résultats des tournois'!R$2=0,"""",LET(
lastVal, INDEX(FILTER($B56:R56, ISNUMBER($B56:R56)), COUNTA(FILTER($B56:R56, ISNUMBER($B56:R56)))),
IFERROR(
IF('Résultats des tournois'!R56="""", INDEX(FILTER($C56:R56, ISNUMBER($C56:R56)), COUNTA(FILTER($C56:R"&amp;"56, ISNUMBER($C56:R56)))),
lastVal + 'K dynamique'!R56 * ((SQRT('Résultats des tournois'!R$2 + 1)/'Résultats des tournois'!R56) - (1 / (1 + 10^((R$103 - lastVal)/400)))))
)
))"),"")</f>
        <v/>
      </c>
      <c r="T56" s="32" t="str">
        <f>IFERROR(__xludf.DUMMYFUNCTION("IF('Résultats des tournois'!S$2=0,"""",LET(
lastVal, INDEX(FILTER($B56:S56, ISNUMBER($B56:S56)), COUNTA(FILTER($B56:S56, ISNUMBER($B56:S56)))),
IFERROR(
IF('Résultats des tournois'!S56="""", INDEX(FILTER($C56:S56, ISNUMBER($C56:S56)), COUNTA(FILTER($C56:S"&amp;"56, ISNUMBER($C56:S56)))),
lastVal + 'K dynamique'!S56 * ((SQRT('Résultats des tournois'!S$2 + 1)/'Résultats des tournois'!S56) - (1 / (1 + 10^((S$103 - lastVal)/400)))))
)
))"),"")</f>
        <v/>
      </c>
      <c r="U56" s="32" t="str">
        <f>IFERROR(__xludf.DUMMYFUNCTION("IF('Résultats des tournois'!T$2=0,"""",LET(
lastVal, INDEX(FILTER($B56:T56, ISNUMBER($B56:T56)), COUNTA(FILTER($B56:T56, ISNUMBER($B56:T56)))),
IFERROR(
IF('Résultats des tournois'!T56="""", INDEX(FILTER($C56:T56, ISNUMBER($C56:T56)), COUNTA(FILTER($C56:T"&amp;"56, ISNUMBER($C56:T56)))),
lastVal + 'K dynamique'!T56 * ((SQRT('Résultats des tournois'!T$2 + 1)/'Résultats des tournois'!T56) - (1 / (1 + 10^((T$103 - lastVal)/400)))))
)
))"),"")</f>
        <v/>
      </c>
      <c r="V56" s="32" t="str">
        <f>IFERROR(__xludf.DUMMYFUNCTION("IF('Résultats des tournois'!U$2=0,"""",LET(
lastVal, INDEX(FILTER($B56:U56, ISNUMBER($B56:U56)), COUNTA(FILTER($B56:U56, ISNUMBER($B56:U56)))),
IFERROR(
IF('Résultats des tournois'!U56="""", INDEX(FILTER($C56:U56, ISNUMBER($C56:U56)), COUNTA(FILTER($C56:U"&amp;"56, ISNUMBER($C56:U56)))),
lastVal + 'K dynamique'!U56 * ((SQRT('Résultats des tournois'!U$2 + 1)/'Résultats des tournois'!U56) - (1 / (1 + 10^((U$103 - lastVal)/400)))))
)
))"),"")</f>
        <v/>
      </c>
      <c r="W56" s="32" t="str">
        <f>IFERROR(__xludf.DUMMYFUNCTION("IF('Résultats des tournois'!V$2=0,"""",LET(
lastVal, INDEX(FILTER($B56:V56, ISNUMBER($B56:V56)), COUNTA(FILTER($B56:V56, ISNUMBER($B56:V56)))),
IFERROR(
IF('Résultats des tournois'!V56="""", INDEX(FILTER($C56:V56, ISNUMBER($C56:V56)), COUNTA(FILTER($C56:V"&amp;"56, ISNUMBER($C56:V56)))),
lastVal + 'K dynamique'!V56 * ((SQRT('Résultats des tournois'!V$2 + 1)/'Résultats des tournois'!V56) - (1 / (1 + 10^((V$103 - lastVal)/400)))))
)
))"),"")</f>
        <v/>
      </c>
      <c r="X56" s="32" t="str">
        <f>IFERROR(__xludf.DUMMYFUNCTION("IF('Résultats des tournois'!W$2=0,"""",LET(
lastVal, INDEX(FILTER($B56:W56, ISNUMBER($B56:W56)), COUNTA(FILTER($B56:W56, ISNUMBER($B56:W56)))),
IFERROR(
IF('Résultats des tournois'!W56="""", INDEX(FILTER($C56:W56, ISNUMBER($C56:W56)), COUNTA(FILTER($C56:W"&amp;"56, ISNUMBER($C56:W56)))),
lastVal + 'K dynamique'!W56 * ((SQRT('Résultats des tournois'!W$2 + 1)/'Résultats des tournois'!W56) - (1 / (1 + 10^((W$103 - lastVal)/400)))))
)
))"),"")</f>
        <v/>
      </c>
      <c r="Y56" s="32" t="str">
        <f>IFERROR(__xludf.DUMMYFUNCTION("IF('Résultats des tournois'!X$2=0,"""",LET(
lastVal, INDEX(FILTER($B56:X56, ISNUMBER($B56:X56)), COUNTA(FILTER($B56:X56, ISNUMBER($B56:X56)))),
IFERROR(
IF('Résultats des tournois'!X56="""", INDEX(FILTER($C56:X56, ISNUMBER($C56:X56)), COUNTA(FILTER($C56:X"&amp;"56, ISNUMBER($C56:X56)))),
lastVal + 'K dynamique'!X56 * ((SQRT('Résultats des tournois'!X$2 + 1)/'Résultats des tournois'!X56) - (1 / (1 + 10^((X$103 - lastVal)/400)))))
)
))"),"")</f>
        <v/>
      </c>
      <c r="Z56" s="32" t="str">
        <f>IFERROR(__xludf.DUMMYFUNCTION("IF('Résultats des tournois'!Y$2=0,"""",LET(
lastVal, INDEX(FILTER($B56:Y56, ISNUMBER($B56:Y56)), COUNTA(FILTER($B56:Y56, ISNUMBER($B56:Y56)))),
IFERROR(
IF('Résultats des tournois'!Y56="""", INDEX(FILTER($C56:Y56, ISNUMBER($C56:Y56)), COUNTA(FILTER($C56:Y"&amp;"56, ISNUMBER($C56:Y56)))),
lastVal + 'K dynamique'!Y56 * ((SQRT('Résultats des tournois'!Y$2 + 1)/'Résultats des tournois'!Y56) - (1 / (1 + 10^((Y$103 - lastVal)/400)))))
)
))"),"")</f>
        <v/>
      </c>
      <c r="AA56" s="32" t="str">
        <f>IFERROR(__xludf.DUMMYFUNCTION("IF('Résultats des tournois'!Z$2=0,"""",LET(
lastVal, INDEX(FILTER($B56:Z56, ISNUMBER($B56:Z56)), COUNTA(FILTER($B56:Z56, ISNUMBER($B56:Z56)))),
IFERROR(
IF('Résultats des tournois'!Z56="""", INDEX(FILTER($C56:Z56, ISNUMBER($C56:Z56)), COUNTA(FILTER($C56:Z"&amp;"56, ISNUMBER($C56:Z56)))),
lastVal + 'K dynamique'!Z56 * ((SQRT('Résultats des tournois'!Z$2 + 1)/'Résultats des tournois'!Z56) - (1 / (1 + 10^((Z$103 - lastVal)/400)))))
)
))"),"")</f>
        <v/>
      </c>
      <c r="AB56" s="32" t="str">
        <f>IFERROR(__xludf.DUMMYFUNCTION("IF('Résultats des tournois'!AA$2=0,"""",LET(
lastVal, INDEX(FILTER($B56:AA56, ISNUMBER($B56:AA56)), COUNTA(FILTER($B56:AA56, ISNUMBER($B56:AA56)))),
IFERROR(
IF('Résultats des tournois'!AA56="""", INDEX(FILTER($C56:AA56, ISNUMBER($C56:AA56)), COUNTA(FILTE"&amp;"R($C56:AA56, ISNUMBER($C56:AA56)))),
lastVal + 'K dynamique'!AA56 * ((SQRT('Résultats des tournois'!AA$2 + 1)/'Résultats des tournois'!AA56) - (1 / (1 + 10^((AA$103 - lastVal)/400)))))
)
))"),"")</f>
        <v/>
      </c>
      <c r="AC56" s="32" t="str">
        <f>IFERROR(__xludf.DUMMYFUNCTION("IF('Résultats des tournois'!AB$2=0,"""",LET(
lastVal, INDEX(FILTER($B56:AB56, ISNUMBER($B56:AB56)), COUNTA(FILTER($B56:AB56, ISNUMBER($B56:AB56)))),
IFERROR(
IF('Résultats des tournois'!AB56="""", INDEX(FILTER($C56:AB56, ISNUMBER($C56:AB56)), COUNTA(FILTE"&amp;"R($C56:AB56, ISNUMBER($C56:AB56)))),
lastVal + 'K dynamique'!AB56 * ((SQRT('Résultats des tournois'!AB$2 + 1)/'Résultats des tournois'!AB56) - (1 / (1 + 10^((AB$103 - lastVal)/400)))))
)
))"),"")</f>
        <v/>
      </c>
      <c r="AD56" s="32" t="str">
        <f>IFERROR(__xludf.DUMMYFUNCTION("IF('Résultats des tournois'!AC$2=0,"""",LET(
lastVal, INDEX(FILTER($B56:AC56, ISNUMBER($B56:AC56)), COUNTA(FILTER($B56:AC56, ISNUMBER($B56:AC56)))),
IFERROR(
IF('Résultats des tournois'!AC56="""", INDEX(FILTER($C56:AC56, ISNUMBER($C56:AC56)), COUNTA(FILTE"&amp;"R($C56:AC56, ISNUMBER($C56:AC56)))),
lastVal + 'K dynamique'!AC56 * ((SQRT('Résultats des tournois'!AC$2 + 1)/'Résultats des tournois'!AC56) - (1 / (1 + 10^((AC$103 - lastVal)/400)))))
)
))"),"")</f>
        <v/>
      </c>
      <c r="AE56" s="32" t="str">
        <f>IFERROR(__xludf.DUMMYFUNCTION("IF('Résultats des tournois'!AD$2=0,"""",LET(
lastVal, INDEX(FILTER($B56:AD56, ISNUMBER($B56:AD56)), COUNTA(FILTER($B56:AD56, ISNUMBER($B56:AD56)))),
IFERROR(
IF('Résultats des tournois'!AD56="""", INDEX(FILTER($C56:AD56, ISNUMBER($C56:AD56)), COUNTA(FILTE"&amp;"R($C56:AD56, ISNUMBER($C56:AD56)))),
lastVal + 'K dynamique'!AD56 * ((SQRT('Résultats des tournois'!AD$2 + 1)/'Résultats des tournois'!AD56) - (1 / (1 + 10^((AD$103 - lastVal)/400)))))
)
))"),"")</f>
        <v/>
      </c>
      <c r="AF56" s="32" t="str">
        <f>IFERROR(__xludf.DUMMYFUNCTION("IF('Résultats des tournois'!AE$2=0,"""",LET(
lastVal, INDEX(FILTER($B56:AE56, ISNUMBER($B56:AE56)), COUNTA(FILTER($B56:AE56, ISNUMBER($B56:AE56)))),
IFERROR(
IF('Résultats des tournois'!AE56="""", INDEX(FILTER($C56:AE56, ISNUMBER($C56:AE56)), COUNTA(FILTE"&amp;"R($C56:AE56, ISNUMBER($C56:AE56)))),
lastVal + 'K dynamique'!AE56 * ((SQRT('Résultats des tournois'!AE$2 + 1)/'Résultats des tournois'!AE56) - (1 / (1 + 10^((AE$103 - lastVal)/400)))))
)
))"),"")</f>
        <v/>
      </c>
      <c r="AG56" s="32" t="str">
        <f>IFERROR(__xludf.DUMMYFUNCTION("IF('Résultats des tournois'!AF$2=0,"""",LET(
lastVal, INDEX(FILTER($B56:AF56, ISNUMBER($B56:AF56)), COUNTA(FILTER($B56:AF56, ISNUMBER($B56:AF56)))),
IFERROR(
IF('Résultats des tournois'!AF56="""", INDEX(FILTER($C56:AF56, ISNUMBER($C56:AF56)), COUNTA(FILTE"&amp;"R($C56:AF56, ISNUMBER($C56:AF56)))),
lastVal + 'K dynamique'!AF56 * ((SQRT('Résultats des tournois'!AF$2 + 1)/'Résultats des tournois'!AF56) - (1 / (1 + 10^((AF$103 - lastVal)/400)))))
)
))"),"")</f>
        <v/>
      </c>
      <c r="AH56" s="32" t="str">
        <f>IFERROR(__xludf.DUMMYFUNCTION("IF('Résultats des tournois'!AG$2=0,"""",LET(
lastVal, INDEX(FILTER($B56:AG56, ISNUMBER($B56:AG56)), COUNTA(FILTER($B56:AG56, ISNUMBER($B56:AG56)))),
IFERROR(
IF('Résultats des tournois'!AG56="""", INDEX(FILTER($C56:AG56, ISNUMBER($C56:AG56)), COUNTA(FILTE"&amp;"R($C56:AG56, ISNUMBER($C56:AG56)))),
lastVal + 'K dynamique'!AG56 * ((SQRT('Résultats des tournois'!AG$2 + 1)/'Résultats des tournois'!AG56) - (1 / (1 + 10^((AG$103 - lastVal)/400)))))
)
))"),"")</f>
        <v/>
      </c>
      <c r="AI56" s="32" t="str">
        <f>IFERROR(__xludf.DUMMYFUNCTION("IF('Résultats des tournois'!AH$2=0,"""",LET(
lastVal, INDEX(FILTER($B56:AH56, ISNUMBER($B56:AH56)), COUNTA(FILTER($B56:AH56, ISNUMBER($B56:AH56)))),
IFERROR(
IF('Résultats des tournois'!AH56="""", INDEX(FILTER($C56:AH56, ISNUMBER($C56:AH56)), COUNTA(FILTE"&amp;"R($C56:AH56, ISNUMBER($C56:AH56)))),
lastVal + 'K dynamique'!AH56 * ((SQRT('Résultats des tournois'!AH$2 + 1)/'Résultats des tournois'!AH56) - (1 / (1 + 10^((AH$103 - lastVal)/400)))))
)
))"),"")</f>
        <v/>
      </c>
      <c r="AJ56" s="32" t="str">
        <f>IFERROR(__xludf.DUMMYFUNCTION("IF('Résultats des tournois'!AI$2=0,"""",LET(
lastVal, INDEX(FILTER($B56:AI56, ISNUMBER($B56:AI56)), COUNTA(FILTER($B56:AI56, ISNUMBER($B56:AI56)))),
IFERROR(
IF('Résultats des tournois'!AI56="""", INDEX(FILTER($C56:AI56, ISNUMBER($C56:AI56)), COUNTA(FILTE"&amp;"R($C56:AI56, ISNUMBER($C56:AI56)))),
lastVal + 'K dynamique'!AI56 * ((SQRT('Résultats des tournois'!AI$2 + 1)/'Résultats des tournois'!AI56) - (1 / (1 + 10^((AI$103 - lastVal)/400)))))
)
))"),"")</f>
        <v/>
      </c>
      <c r="AK56" s="32" t="str">
        <f>IFERROR(__xludf.DUMMYFUNCTION("IF('Résultats des tournois'!AJ$2=0,"""",LET(
lastVal, INDEX(FILTER($B56:AJ56, ISNUMBER($B56:AJ56)), COUNTA(FILTER($B56:AJ56, ISNUMBER($B56:AJ56)))),
IFERROR(
IF('Résultats des tournois'!AJ56="""", INDEX(FILTER($C56:AJ56, ISNUMBER($C56:AJ56)), COUNTA(FILTE"&amp;"R($C56:AJ56, ISNUMBER($C56:AJ56)))),
lastVal + 'K dynamique'!AJ56 * ((SQRT('Résultats des tournois'!AJ$2 + 1)/'Résultats des tournois'!AJ56) - (1 / (1 + 10^((AJ$103 - lastVal)/400)))))
)
))"),"")</f>
        <v/>
      </c>
      <c r="AL56" s="32" t="str">
        <f>IFERROR(__xludf.DUMMYFUNCTION("IF('Résultats des tournois'!AK$2=0,"""",LET(
lastVal, INDEX(FILTER($B56:AK56, ISNUMBER($B56:AK56)), COUNTA(FILTER($B56:AK56, ISNUMBER($B56:AK56)))),
IFERROR(
IF('Résultats des tournois'!AK56="""", INDEX(FILTER($C56:AK56, ISNUMBER($C56:AK56)), COUNTA(FILTE"&amp;"R($C56:AK56, ISNUMBER($C56:AK56)))),
lastVal + 'K dynamique'!AK56 * ((SQRT('Résultats des tournois'!AK$2 + 1)/'Résultats des tournois'!AK56) - (1 / (1 + 10^((AK$103 - lastVal)/400)))))
)
))"),"")</f>
        <v/>
      </c>
      <c r="AM56" s="32" t="str">
        <f>IFERROR(__xludf.DUMMYFUNCTION("IF('Résultats des tournois'!AL$2=0,"""",LET(
lastVal, INDEX(FILTER($B56:AL56, ISNUMBER($B56:AL56)), COUNTA(FILTER($B56:AL56, ISNUMBER($B56:AL56)))),
IFERROR(
IF('Résultats des tournois'!AL56="""", INDEX(FILTER($C56:AL56, ISNUMBER($C56:AL56)), COUNTA(FILTE"&amp;"R($C56:AL56, ISNUMBER($C56:AL56)))),
lastVal + 'K dynamique'!AL56 * ((SQRT('Résultats des tournois'!AL$2 + 1)/'Résultats des tournois'!AL56) - (1 / (1 + 10^((AL$103 - lastVal)/400)))))
)
))"),"")</f>
        <v/>
      </c>
      <c r="AN56" s="32" t="str">
        <f>IFERROR(__xludf.DUMMYFUNCTION("IF('Résultats des tournois'!AM$2=0,"""",LET(
lastVal, INDEX(FILTER($B56:AM56, ISNUMBER($B56:AM56)), COUNTA(FILTER($B56:AM56, ISNUMBER($B56:AM56)))),
IFERROR(
IF('Résultats des tournois'!AM56="""", INDEX(FILTER($C56:AM56, ISNUMBER($C56:AM56)), COUNTA(FILTE"&amp;"R($C56:AM56, ISNUMBER($C56:AM56)))),
lastVal + 'K dynamique'!AM56 * ((SQRT('Résultats des tournois'!AM$2 + 1)/'Résultats des tournois'!AM56) - (1 / (1 + 10^((AM$103 - lastVal)/400)))))
)
))"),"")</f>
        <v/>
      </c>
      <c r="AO56" s="32" t="str">
        <f>IFERROR(__xludf.DUMMYFUNCTION("IF('Résultats des tournois'!AN$2=0,"""",LET(
lastVal, INDEX(FILTER($B56:AN56, ISNUMBER($B56:AN56)), COUNTA(FILTER($B56:AN56, ISNUMBER($B56:AN56)))),
IFERROR(
IF('Résultats des tournois'!AN56="""", INDEX(FILTER($C56:AN56, ISNUMBER($C56:AN56)), COUNTA(FILTE"&amp;"R($C56:AN56, ISNUMBER($C56:AN56)))),
lastVal + 'K dynamique'!AN56 * ((SQRT('Résultats des tournois'!AN$2 + 1)/'Résultats des tournois'!AN56) - (1 / (1 + 10^((AN$103 - lastVal)/400)))))
)
))"),"")</f>
        <v/>
      </c>
      <c r="AP56" s="32" t="str">
        <f>IFERROR(__xludf.DUMMYFUNCTION("IF('Résultats des tournois'!AO$2=0,"""",LET(
lastVal, INDEX(FILTER($B56:AO56, ISNUMBER($B56:AO56)), COUNTA(FILTER($B56:AO56, ISNUMBER($B56:AO56)))),
IFERROR(
IF('Résultats des tournois'!AO56="""", INDEX(FILTER($C56:AO56, ISNUMBER($C56:AO56)), COUNTA(FILTE"&amp;"R($C56:AO56, ISNUMBER($C56:AO56)))),
lastVal + 'K dynamique'!AO56 * ((SQRT('Résultats des tournois'!AO$2 + 1)/'Résultats des tournois'!AO56) - (1 / (1 + 10^((AO$103 - lastVal)/400)))))
)
))"),"")</f>
        <v/>
      </c>
      <c r="AQ56" s="32" t="str">
        <f>IFERROR(__xludf.DUMMYFUNCTION("IF('Résultats des tournois'!AP$2=0,"""",LET(
lastVal, INDEX(FILTER($B56:AP56, ISNUMBER($B56:AP56)), COUNTA(FILTER($B56:AP56, ISNUMBER($B56:AP56)))),
IFERROR(
IF('Résultats des tournois'!AP56="""", INDEX(FILTER($C56:AP56, ISNUMBER($C56:AP56)), COUNTA(FILTE"&amp;"R($C56:AP56, ISNUMBER($C56:AP56)))),
lastVal + 'K dynamique'!AP56 * ((SQRT('Résultats des tournois'!AP$2 + 1)/'Résultats des tournois'!AP56) - (1 / (1 + 10^((AP$103 - lastVal)/400)))))
)
))"),"")</f>
        <v/>
      </c>
      <c r="AR56" s="32" t="str">
        <f>IFERROR(__xludf.DUMMYFUNCTION("IF('Résultats des tournois'!AQ$2=0,"""",LET(
lastVal, INDEX(FILTER($B56:AQ56, ISNUMBER($B56:AQ56)), COUNTA(FILTER($B56:AQ56, ISNUMBER($B56:AQ56)))),
IFERROR(
IF('Résultats des tournois'!AQ56="""", INDEX(FILTER($C56:AQ56, ISNUMBER($C56:AQ56)), COUNTA(FILTE"&amp;"R($C56:AQ56, ISNUMBER($C56:AQ56)))),
lastVal + 'K dynamique'!AQ56 * ((SQRT('Résultats des tournois'!AQ$2 + 1)/'Résultats des tournois'!AQ56) - (1 / (1 + 10^((AQ$103 - lastVal)/400)))))
)
))"),"")</f>
        <v/>
      </c>
      <c r="AS56" s="32" t="str">
        <f>IFERROR(__xludf.DUMMYFUNCTION("IF('Résultats des tournois'!AR$2=0,"""",LET(
lastVal, INDEX(FILTER($B56:AR56, ISNUMBER($B56:AR56)), COUNTA(FILTER($B56:AR56, ISNUMBER($B56:AR56)))),
IFERROR(
IF('Résultats des tournois'!AR56="""", INDEX(FILTER($C56:AR56, ISNUMBER($C56:AR56)), COUNTA(FILTE"&amp;"R($C56:AR56, ISNUMBER($C56:AR56)))),
lastVal + 'K dynamique'!AR56 * ((SQRT('Résultats des tournois'!AR$2 + 1)/'Résultats des tournois'!AR56) - (1 / (1 + 10^((AR$103 - lastVal)/400)))))
)
))"),"")</f>
        <v/>
      </c>
      <c r="AT56" s="32" t="str">
        <f>IFERROR(__xludf.DUMMYFUNCTION("IF('Résultats des tournois'!AS$2=0,"""",LET(
lastVal, INDEX(FILTER($B56:AS56, ISNUMBER($B56:AS56)), COUNTA(FILTER($B56:AS56, ISNUMBER($B56:AS56)))),
IFERROR(
IF('Résultats des tournois'!AS56="""", INDEX(FILTER($C56:AS56, ISNUMBER($C56:AS56)), COUNTA(FILTE"&amp;"R($C56:AS56, ISNUMBER($C56:AS56)))),
lastVal + 'K dynamique'!AS56 * ((SQRT('Résultats des tournois'!AS$2 + 1)/'Résultats des tournois'!AS56) - (1 / (1 + 10^((AS$103 - lastVal)/400)))))
)
))"),"")</f>
        <v/>
      </c>
      <c r="AU56" s="32" t="str">
        <f>IFERROR(__xludf.DUMMYFUNCTION("IF('Résultats des tournois'!AT$2=0,"""",LET(
lastVal, INDEX(FILTER($B56:AT56, ISNUMBER($B56:AT56)), COUNTA(FILTER($B56:AT56, ISNUMBER($B56:AT56)))),
IFERROR(
IF('Résultats des tournois'!AT56="""", INDEX(FILTER($C56:AT56, ISNUMBER($C56:AT56)), COUNTA(FILTE"&amp;"R($C56:AT56, ISNUMBER($C56:AT56)))),
lastVal + 'K dynamique'!AT56 * ((SQRT('Résultats des tournois'!AT$2 + 1)/'Résultats des tournois'!AT56) - (1 / (1 + 10^((AT$103 - lastVal)/400)))))
)
))"),"")</f>
        <v/>
      </c>
      <c r="AV56" s="32" t="str">
        <f>IFERROR(__xludf.DUMMYFUNCTION("IF('Résultats des tournois'!AU$2=0,"""",LET(
lastVal, INDEX(FILTER($B56:AU56, ISNUMBER($B56:AU56)), COUNTA(FILTER($B56:AU56, ISNUMBER($B56:AU56)))),
IFERROR(
IF('Résultats des tournois'!AU56="""", INDEX(FILTER($C56:AU56, ISNUMBER($C56:AU56)), COUNTA(FILTE"&amp;"R($C56:AU56, ISNUMBER($C56:AU56)))),
lastVal + 'K dynamique'!AU56 * ((SQRT('Résultats des tournois'!AU$2 + 1)/'Résultats des tournois'!AU56) - (1 / (1 + 10^((AU$103 - lastVal)/400)))))
)
))"),"")</f>
        <v/>
      </c>
      <c r="AW56" s="32" t="str">
        <f>IFERROR(__xludf.DUMMYFUNCTION("IF('Résultats des tournois'!AV$2=0,"""",LET(
lastVal, INDEX(FILTER($B56:AV56, ISNUMBER($B56:AV56)), COUNTA(FILTER($B56:AV56, ISNUMBER($B56:AV56)))),
IFERROR(
IF('Résultats des tournois'!AV56="""", INDEX(FILTER($C56:AV56, ISNUMBER($C56:AV56)), COUNTA(FILTE"&amp;"R($C56:AV56, ISNUMBER($C56:AV56)))),
lastVal + 'K dynamique'!AV56 * ((SQRT('Résultats des tournois'!AV$2 + 1)/'Résultats des tournois'!AV56) - (1 / (1 + 10^((AV$103 - lastVal)/400)))))
)
))"),"")</f>
        <v/>
      </c>
      <c r="AX56" s="32" t="str">
        <f>IFERROR(__xludf.DUMMYFUNCTION("IF('Résultats des tournois'!AW$2=0,"""",LET(
lastVal, INDEX(FILTER($B56:AW56, ISNUMBER($B56:AW56)), COUNTA(FILTER($B56:AW56, ISNUMBER($B56:AW56)))),
IFERROR(
IF('Résultats des tournois'!AW56="""", INDEX(FILTER($C56:AW56, ISNUMBER($C56:AW56)), COUNTA(FILTE"&amp;"R($C56:AW56, ISNUMBER($C56:AW56)))),
lastVal + 'K dynamique'!AW56 * ((SQRT('Résultats des tournois'!AW$2 + 1)/'Résultats des tournois'!AW56) - (1 / (1 + 10^((AW$103 - lastVal)/400)))))
)
))"),"")</f>
        <v/>
      </c>
      <c r="AY56" s="32" t="str">
        <f>IFERROR(__xludf.DUMMYFUNCTION("IF('Résultats des tournois'!AX$2=0,"""",LET(
lastVal, INDEX(FILTER($B56:AX56, ISNUMBER($B56:AX56)), COUNTA(FILTER($B56:AX56, ISNUMBER($B56:AX56)))),
IFERROR(
IF('Résultats des tournois'!AX56="""", INDEX(FILTER($C56:AX56, ISNUMBER($C56:AX56)), COUNTA(FILTE"&amp;"R($C56:AX56, ISNUMBER($C56:AX56)))),
lastVal + 'K dynamique'!AX56 * ((SQRT('Résultats des tournois'!AX$2 + 1)/'Résultats des tournois'!AX56) - (1 / (1 + 10^((AX$103 - lastVal)/400)))))
)
))"),"")</f>
        <v/>
      </c>
      <c r="AZ56" s="4" t="str">
        <f t="array" ref="AZ56">IF(MAX(($C56:AY56&lt;&gt;"")*COLUMN($C56:AY56))=0,"",INDEX($C56:AY56,1,MAX(($C56:AY56&lt;&gt;"")*COLUMN($C56:AY56))-COLUMN($C56)+1))</f>
        <v/>
      </c>
      <c r="BA56" s="33" t="str">
        <f t="shared" si="1"/>
        <v/>
      </c>
    </row>
    <row r="57" ht="14.25" customHeight="1">
      <c r="A57" s="32" t="str">
        <f>IF('Résultats des tournois'!A57="","",'Résultats des tournois'!A57)</f>
        <v/>
      </c>
      <c r="B57" s="32">
        <v>1500.0</v>
      </c>
      <c r="C57" s="32" t="str">
        <f>IF('Résultats des tournois'!B57="","",B57+'K dynamique'!B57*((SQRT('Résultats des tournois'!B$2+1)/'Résultats des tournois'!B57)-(1/(1+10^((B57-B57)/400)))))</f>
        <v/>
      </c>
      <c r="D57" s="32" t="str">
        <f>IFERROR(__xludf.DUMMYFUNCTION("IF('Résultats des tournois'!C$2=0,"""",LET(
lastVal, INDEX(FILTER($B57:C57, ISNUMBER($B57:C57)), COUNTA(FILTER($B57:C57, ISNUMBER($B57:C57)))),
IFERROR(
IF('Résultats des tournois'!C57="""", INDEX(FILTER($C57:C57, ISNUMBER($C57:C57)), COUNTA(FILTER($C57:C"&amp;"57, ISNUMBER($C57:C57)))),
lastVal + 'K dynamique'!C57 * ((SQRT('Résultats des tournois'!C$2 + 1)/'Résultats des tournois'!C57) - (1 / (1 + 10^((C$103 - lastVal)/400)))))
)
))"),"")</f>
        <v/>
      </c>
      <c r="E57" s="32" t="str">
        <f>IFERROR(__xludf.DUMMYFUNCTION("IF('Résultats des tournois'!D$2=0,"""",LET(
lastVal, INDEX(FILTER($B57:D57, ISNUMBER($B57:D57)), COUNTA(FILTER($B57:D57, ISNUMBER($B57:D57)))),
IFERROR(
IF('Résultats des tournois'!D57="""", INDEX(FILTER($C57:D57, ISNUMBER($C57:D57)), COUNTA(FILTER($C57:D"&amp;"57, ISNUMBER($C57:D57)))),
lastVal + 'K dynamique'!D57 * ((SQRT('Résultats des tournois'!D$2 + 1)/'Résultats des tournois'!D57) - (1 / (1 + 10^((D$103 - lastVal)/400)))))
)
))"),"")</f>
        <v/>
      </c>
      <c r="F57" s="32" t="str">
        <f>IFERROR(__xludf.DUMMYFUNCTION("IF('Résultats des tournois'!E$2=0,"""",LET(
lastVal, INDEX(FILTER($B57:E57, ISNUMBER($B57:E57)), COUNTA(FILTER($B57:E57, ISNUMBER($B57:E57)))),
IFERROR(
IF('Résultats des tournois'!E57="""", INDEX(FILTER($C57:E57, ISNUMBER($C57:E57)), COUNTA(FILTER($C57:E"&amp;"57, ISNUMBER($C57:E57)))),
lastVal + 'K dynamique'!E57 * ((SQRT('Résultats des tournois'!E$2 + 1)/'Résultats des tournois'!E57) - (1 / (1 + 10^((E$103 - lastVal)/400)))))
)
))"),"")</f>
        <v/>
      </c>
      <c r="G57" s="32" t="str">
        <f>IFERROR(__xludf.DUMMYFUNCTION("IF('Résultats des tournois'!F$2=0,"""",LET(
lastVal, INDEX(FILTER($B57:F57, ISNUMBER($B57:F57)), COUNTA(FILTER($B57:F57, ISNUMBER($B57:F57)))),
IFERROR(
IF('Résultats des tournois'!F57="""", INDEX(FILTER($C57:F57, ISNUMBER($C57:F57)), COUNTA(FILTER($C57:F"&amp;"57, ISNUMBER($C57:F57)))),
lastVal + 'K dynamique'!F57 * ((SQRT('Résultats des tournois'!F$2 + 1)/'Résultats des tournois'!F57) - (1 / (1 + 10^((F$103 - lastVal)/400)))))
)
))"),"")</f>
        <v/>
      </c>
      <c r="H57" s="32" t="str">
        <f>IFERROR(__xludf.DUMMYFUNCTION("IF('Résultats des tournois'!G$2=0,"""",LET(
lastVal, INDEX(FILTER($B57:G57, ISNUMBER($B57:G57)), COUNTA(FILTER($B57:G57, ISNUMBER($B57:G57)))),
IFERROR(
IF('Résultats des tournois'!G57="""", INDEX(FILTER($C57:G57, ISNUMBER($C57:G57)), COUNTA(FILTER($C57:G"&amp;"57, ISNUMBER($C57:G57)))),
lastVal + 'K dynamique'!G57 * ((SQRT('Résultats des tournois'!G$2 + 1)/'Résultats des tournois'!G57) - (1 / (1 + 10^((G$103 - lastVal)/400)))))
)
))"),"")</f>
        <v/>
      </c>
      <c r="I57" s="32" t="str">
        <f>IFERROR(__xludf.DUMMYFUNCTION("IF('Résultats des tournois'!H$2=0,"""",LET(
lastVal, INDEX(FILTER($B57:H57, ISNUMBER($B57:H57)), COUNTA(FILTER($B57:H57, ISNUMBER($B57:H57)))),
IFERROR(
IF('Résultats des tournois'!H57="""", INDEX(FILTER($C57:H57, ISNUMBER($C57:H57)), COUNTA(FILTER($C57:H"&amp;"57, ISNUMBER($C57:H57)))),
lastVal + 'K dynamique'!H57 * ((SQRT('Résultats des tournois'!H$2 + 1)/'Résultats des tournois'!H57) - (1 / (1 + 10^((H$103 - lastVal)/400)))))
)
))"),"")</f>
        <v/>
      </c>
      <c r="J57" s="32" t="str">
        <f>IFERROR(__xludf.DUMMYFUNCTION("IF('Résultats des tournois'!I$2=0,"""",LET(
lastVal, INDEX(FILTER($B57:I57, ISNUMBER($B57:I57)), COUNTA(FILTER($B57:I57, ISNUMBER($B57:I57)))),
IFERROR(
IF('Résultats des tournois'!I57="""", INDEX(FILTER($C57:I57, ISNUMBER($C57:I57)), COUNTA(FILTER($C57:I"&amp;"57, ISNUMBER($C57:I57)))),
lastVal + 'K dynamique'!I57 * ((SQRT('Résultats des tournois'!I$2 + 1)/'Résultats des tournois'!I57) - (1 / (1 + 10^((I$103 - lastVal)/400)))))
)
))"),"")</f>
        <v/>
      </c>
      <c r="K57" s="32" t="str">
        <f>IFERROR(__xludf.DUMMYFUNCTION("IF('Résultats des tournois'!J$2=0,"""",LET(
lastVal, INDEX(FILTER($B57:J57, ISNUMBER($B57:J57)), COUNTA(FILTER($B57:J57, ISNUMBER($B57:J57)))),
IFERROR(
IF('Résultats des tournois'!J57="""", INDEX(FILTER($C57:J57, ISNUMBER($C57:J57)), COUNTA(FILTER($C57:J"&amp;"57, ISNUMBER($C57:J57)))),
lastVal + 'K dynamique'!J57 * ((SQRT('Résultats des tournois'!J$2 + 1)/'Résultats des tournois'!J57) - (1 / (1 + 10^((J$103 - lastVal)/400)))))
)
))"),"")</f>
        <v/>
      </c>
      <c r="L57" s="32" t="str">
        <f>IFERROR(__xludf.DUMMYFUNCTION("IF('Résultats des tournois'!K$2=0,"""",LET(
lastVal, INDEX(FILTER($B57:K57, ISNUMBER($B57:K57)), COUNTA(FILTER($B57:K57, ISNUMBER($B57:K57)))),
IFERROR(
IF('Résultats des tournois'!K57="""", INDEX(FILTER($C57:K57, ISNUMBER($C57:K57)), COUNTA(FILTER($C57:K"&amp;"57, ISNUMBER($C57:K57)))),
lastVal + 'K dynamique'!K57 * ((SQRT('Résultats des tournois'!K$2 + 1)/'Résultats des tournois'!K57) - (1 / (1 + 10^((K$103 - lastVal)/400)))))
)
))"),"")</f>
        <v/>
      </c>
      <c r="M57" s="32" t="str">
        <f>IFERROR(__xludf.DUMMYFUNCTION("IF('Résultats des tournois'!L$2=0,"""",LET(
lastVal, INDEX(FILTER($B57:L57, ISNUMBER($B57:L57)), COUNTA(FILTER($B57:L57, ISNUMBER($B57:L57)))),
IFERROR(
IF('Résultats des tournois'!L57="""", INDEX(FILTER($C57:L57, ISNUMBER($C57:L57)), COUNTA(FILTER($C57:L"&amp;"57, ISNUMBER($C57:L57)))),
lastVal + 'K dynamique'!L57 * ((SQRT('Résultats des tournois'!L$2 + 1)/'Résultats des tournois'!L57) - (1 / (1 + 10^((L$103 - lastVal)/400)))))
)
))"),"")</f>
        <v/>
      </c>
      <c r="N57" s="32" t="str">
        <f>IFERROR(__xludf.DUMMYFUNCTION("IF('Résultats des tournois'!M$2=0,"""",LET(
lastVal, INDEX(FILTER($B57:M57, ISNUMBER($B57:M57)), COUNTA(FILTER($B57:M57, ISNUMBER($B57:M57)))),
IFERROR(
IF('Résultats des tournois'!M57="""", INDEX(FILTER($C57:M57, ISNUMBER($C57:M57)), COUNTA(FILTER($C57:M"&amp;"57, ISNUMBER($C57:M57)))),
lastVal + 'K dynamique'!M57 * ((SQRT('Résultats des tournois'!M$2 + 1)/'Résultats des tournois'!M57) - (1 / (1 + 10^((M$103 - lastVal)/400)))))
)
))"),"")</f>
        <v/>
      </c>
      <c r="O57" s="32" t="str">
        <f>IFERROR(__xludf.DUMMYFUNCTION("IF('Résultats des tournois'!N$2=0,"""",LET(
lastVal, INDEX(FILTER($B57:N57, ISNUMBER($B57:N57)), COUNTA(FILTER($B57:N57, ISNUMBER($B57:N57)))),
IFERROR(
IF('Résultats des tournois'!N57="""", INDEX(FILTER($C57:N57, ISNUMBER($C57:N57)), COUNTA(FILTER($C57:N"&amp;"57, ISNUMBER($C57:N57)))),
lastVal + 'K dynamique'!N57 * ((SQRT('Résultats des tournois'!N$2 + 1)/'Résultats des tournois'!N57) - (1 / (1 + 10^((N$103 - lastVal)/400)))))
)
))"),"")</f>
        <v/>
      </c>
      <c r="P57" s="32" t="str">
        <f>IFERROR(__xludf.DUMMYFUNCTION("IF('Résultats des tournois'!O$2=0,"""",LET(
lastVal, INDEX(FILTER($B57:O57, ISNUMBER($B57:O57)), COUNTA(FILTER($B57:O57, ISNUMBER($B57:O57)))),
IFERROR(
IF('Résultats des tournois'!O57="""", INDEX(FILTER($C57:O57, ISNUMBER($C57:O57)), COUNTA(FILTER($C57:O"&amp;"57, ISNUMBER($C57:O57)))),
lastVal + 'K dynamique'!O57 * ((SQRT('Résultats des tournois'!O$2 + 1)/'Résultats des tournois'!O57) - (1 / (1 + 10^((O$103 - lastVal)/400)))))
)
))"),"")</f>
        <v/>
      </c>
      <c r="Q57" s="32" t="str">
        <f>IFERROR(__xludf.DUMMYFUNCTION("IF('Résultats des tournois'!P$2=0,"""",LET(
lastVal, INDEX(FILTER($B57:P57, ISNUMBER($B57:P57)), COUNTA(FILTER($B57:P57, ISNUMBER($B57:P57)))),
IFERROR(
IF('Résultats des tournois'!P57="""", INDEX(FILTER($C57:P57, ISNUMBER($C57:P57)), COUNTA(FILTER($C57:P"&amp;"57, ISNUMBER($C57:P57)))),
lastVal + 'K dynamique'!P57 * ((SQRT('Résultats des tournois'!P$2 + 1)/'Résultats des tournois'!P57) - (1 / (1 + 10^((P$103 - lastVal)/400)))))
)
))"),"")</f>
        <v/>
      </c>
      <c r="R57" s="32" t="str">
        <f>IFERROR(__xludf.DUMMYFUNCTION("IF('Résultats des tournois'!Q$2=0,"""",LET(
lastVal, INDEX(FILTER($B57:Q57, ISNUMBER($B57:Q57)), COUNTA(FILTER($B57:Q57, ISNUMBER($B57:Q57)))),
IFERROR(
IF('Résultats des tournois'!Q57="""", INDEX(FILTER($C57:Q57, ISNUMBER($C57:Q57)), COUNTA(FILTER($C57:Q"&amp;"57, ISNUMBER($C57:Q57)))),
lastVal + 'K dynamique'!Q57 * ((SQRT('Résultats des tournois'!Q$2 + 1)/'Résultats des tournois'!Q57) - (1 / (1 + 10^((Q$103 - lastVal)/400)))))
)
))"),"")</f>
        <v/>
      </c>
      <c r="S57" s="32" t="str">
        <f>IFERROR(__xludf.DUMMYFUNCTION("IF('Résultats des tournois'!R$2=0,"""",LET(
lastVal, INDEX(FILTER($B57:R57, ISNUMBER($B57:R57)), COUNTA(FILTER($B57:R57, ISNUMBER($B57:R57)))),
IFERROR(
IF('Résultats des tournois'!R57="""", INDEX(FILTER($C57:R57, ISNUMBER($C57:R57)), COUNTA(FILTER($C57:R"&amp;"57, ISNUMBER($C57:R57)))),
lastVal + 'K dynamique'!R57 * ((SQRT('Résultats des tournois'!R$2 + 1)/'Résultats des tournois'!R57) - (1 / (1 + 10^((R$103 - lastVal)/400)))))
)
))"),"")</f>
        <v/>
      </c>
      <c r="T57" s="32" t="str">
        <f>IFERROR(__xludf.DUMMYFUNCTION("IF('Résultats des tournois'!S$2=0,"""",LET(
lastVal, INDEX(FILTER($B57:S57, ISNUMBER($B57:S57)), COUNTA(FILTER($B57:S57, ISNUMBER($B57:S57)))),
IFERROR(
IF('Résultats des tournois'!S57="""", INDEX(FILTER($C57:S57, ISNUMBER($C57:S57)), COUNTA(FILTER($C57:S"&amp;"57, ISNUMBER($C57:S57)))),
lastVal + 'K dynamique'!S57 * ((SQRT('Résultats des tournois'!S$2 + 1)/'Résultats des tournois'!S57) - (1 / (1 + 10^((S$103 - lastVal)/400)))))
)
))"),"")</f>
        <v/>
      </c>
      <c r="U57" s="32" t="str">
        <f>IFERROR(__xludf.DUMMYFUNCTION("IF('Résultats des tournois'!T$2=0,"""",LET(
lastVal, INDEX(FILTER($B57:T57, ISNUMBER($B57:T57)), COUNTA(FILTER($B57:T57, ISNUMBER($B57:T57)))),
IFERROR(
IF('Résultats des tournois'!T57="""", INDEX(FILTER($C57:T57, ISNUMBER($C57:T57)), COUNTA(FILTER($C57:T"&amp;"57, ISNUMBER($C57:T57)))),
lastVal + 'K dynamique'!T57 * ((SQRT('Résultats des tournois'!T$2 + 1)/'Résultats des tournois'!T57) - (1 / (1 + 10^((T$103 - lastVal)/400)))))
)
))"),"")</f>
        <v/>
      </c>
      <c r="V57" s="32" t="str">
        <f>IFERROR(__xludf.DUMMYFUNCTION("IF('Résultats des tournois'!U$2=0,"""",LET(
lastVal, INDEX(FILTER($B57:U57, ISNUMBER($B57:U57)), COUNTA(FILTER($B57:U57, ISNUMBER($B57:U57)))),
IFERROR(
IF('Résultats des tournois'!U57="""", INDEX(FILTER($C57:U57, ISNUMBER($C57:U57)), COUNTA(FILTER($C57:U"&amp;"57, ISNUMBER($C57:U57)))),
lastVal + 'K dynamique'!U57 * ((SQRT('Résultats des tournois'!U$2 + 1)/'Résultats des tournois'!U57) - (1 / (1 + 10^((U$103 - lastVal)/400)))))
)
))"),"")</f>
        <v/>
      </c>
      <c r="W57" s="32" t="str">
        <f>IFERROR(__xludf.DUMMYFUNCTION("IF('Résultats des tournois'!V$2=0,"""",LET(
lastVal, INDEX(FILTER($B57:V57, ISNUMBER($B57:V57)), COUNTA(FILTER($B57:V57, ISNUMBER($B57:V57)))),
IFERROR(
IF('Résultats des tournois'!V57="""", INDEX(FILTER($C57:V57, ISNUMBER($C57:V57)), COUNTA(FILTER($C57:V"&amp;"57, ISNUMBER($C57:V57)))),
lastVal + 'K dynamique'!V57 * ((SQRT('Résultats des tournois'!V$2 + 1)/'Résultats des tournois'!V57) - (1 / (1 + 10^((V$103 - lastVal)/400)))))
)
))"),"")</f>
        <v/>
      </c>
      <c r="X57" s="32" t="str">
        <f>IFERROR(__xludf.DUMMYFUNCTION("IF('Résultats des tournois'!W$2=0,"""",LET(
lastVal, INDEX(FILTER($B57:W57, ISNUMBER($B57:W57)), COUNTA(FILTER($B57:W57, ISNUMBER($B57:W57)))),
IFERROR(
IF('Résultats des tournois'!W57="""", INDEX(FILTER($C57:W57, ISNUMBER($C57:W57)), COUNTA(FILTER($C57:W"&amp;"57, ISNUMBER($C57:W57)))),
lastVal + 'K dynamique'!W57 * ((SQRT('Résultats des tournois'!W$2 + 1)/'Résultats des tournois'!W57) - (1 / (1 + 10^((W$103 - lastVal)/400)))))
)
))"),"")</f>
        <v/>
      </c>
      <c r="Y57" s="32" t="str">
        <f>IFERROR(__xludf.DUMMYFUNCTION("IF('Résultats des tournois'!X$2=0,"""",LET(
lastVal, INDEX(FILTER($B57:X57, ISNUMBER($B57:X57)), COUNTA(FILTER($B57:X57, ISNUMBER($B57:X57)))),
IFERROR(
IF('Résultats des tournois'!X57="""", INDEX(FILTER($C57:X57, ISNUMBER($C57:X57)), COUNTA(FILTER($C57:X"&amp;"57, ISNUMBER($C57:X57)))),
lastVal + 'K dynamique'!X57 * ((SQRT('Résultats des tournois'!X$2 + 1)/'Résultats des tournois'!X57) - (1 / (1 + 10^((X$103 - lastVal)/400)))))
)
))"),"")</f>
        <v/>
      </c>
      <c r="Z57" s="32" t="str">
        <f>IFERROR(__xludf.DUMMYFUNCTION("IF('Résultats des tournois'!Y$2=0,"""",LET(
lastVal, INDEX(FILTER($B57:Y57, ISNUMBER($B57:Y57)), COUNTA(FILTER($B57:Y57, ISNUMBER($B57:Y57)))),
IFERROR(
IF('Résultats des tournois'!Y57="""", INDEX(FILTER($C57:Y57, ISNUMBER($C57:Y57)), COUNTA(FILTER($C57:Y"&amp;"57, ISNUMBER($C57:Y57)))),
lastVal + 'K dynamique'!Y57 * ((SQRT('Résultats des tournois'!Y$2 + 1)/'Résultats des tournois'!Y57) - (1 / (1 + 10^((Y$103 - lastVal)/400)))))
)
))"),"")</f>
        <v/>
      </c>
      <c r="AA57" s="32" t="str">
        <f>IFERROR(__xludf.DUMMYFUNCTION("IF('Résultats des tournois'!Z$2=0,"""",LET(
lastVal, INDEX(FILTER($B57:Z57, ISNUMBER($B57:Z57)), COUNTA(FILTER($B57:Z57, ISNUMBER($B57:Z57)))),
IFERROR(
IF('Résultats des tournois'!Z57="""", INDEX(FILTER($C57:Z57, ISNUMBER($C57:Z57)), COUNTA(FILTER($C57:Z"&amp;"57, ISNUMBER($C57:Z57)))),
lastVal + 'K dynamique'!Z57 * ((SQRT('Résultats des tournois'!Z$2 + 1)/'Résultats des tournois'!Z57) - (1 / (1 + 10^((Z$103 - lastVal)/400)))))
)
))"),"")</f>
        <v/>
      </c>
      <c r="AB57" s="32" t="str">
        <f>IFERROR(__xludf.DUMMYFUNCTION("IF('Résultats des tournois'!AA$2=0,"""",LET(
lastVal, INDEX(FILTER($B57:AA57, ISNUMBER($B57:AA57)), COUNTA(FILTER($B57:AA57, ISNUMBER($B57:AA57)))),
IFERROR(
IF('Résultats des tournois'!AA57="""", INDEX(FILTER($C57:AA57, ISNUMBER($C57:AA57)), COUNTA(FILTE"&amp;"R($C57:AA57, ISNUMBER($C57:AA57)))),
lastVal + 'K dynamique'!AA57 * ((SQRT('Résultats des tournois'!AA$2 + 1)/'Résultats des tournois'!AA57) - (1 / (1 + 10^((AA$103 - lastVal)/400)))))
)
))"),"")</f>
        <v/>
      </c>
      <c r="AC57" s="32" t="str">
        <f>IFERROR(__xludf.DUMMYFUNCTION("IF('Résultats des tournois'!AB$2=0,"""",LET(
lastVal, INDEX(FILTER($B57:AB57, ISNUMBER($B57:AB57)), COUNTA(FILTER($B57:AB57, ISNUMBER($B57:AB57)))),
IFERROR(
IF('Résultats des tournois'!AB57="""", INDEX(FILTER($C57:AB57, ISNUMBER($C57:AB57)), COUNTA(FILTE"&amp;"R($C57:AB57, ISNUMBER($C57:AB57)))),
lastVal + 'K dynamique'!AB57 * ((SQRT('Résultats des tournois'!AB$2 + 1)/'Résultats des tournois'!AB57) - (1 / (1 + 10^((AB$103 - lastVal)/400)))))
)
))"),"")</f>
        <v/>
      </c>
      <c r="AD57" s="32" t="str">
        <f>IFERROR(__xludf.DUMMYFUNCTION("IF('Résultats des tournois'!AC$2=0,"""",LET(
lastVal, INDEX(FILTER($B57:AC57, ISNUMBER($B57:AC57)), COUNTA(FILTER($B57:AC57, ISNUMBER($B57:AC57)))),
IFERROR(
IF('Résultats des tournois'!AC57="""", INDEX(FILTER($C57:AC57, ISNUMBER($C57:AC57)), COUNTA(FILTE"&amp;"R($C57:AC57, ISNUMBER($C57:AC57)))),
lastVal + 'K dynamique'!AC57 * ((SQRT('Résultats des tournois'!AC$2 + 1)/'Résultats des tournois'!AC57) - (1 / (1 + 10^((AC$103 - lastVal)/400)))))
)
))"),"")</f>
        <v/>
      </c>
      <c r="AE57" s="32" t="str">
        <f>IFERROR(__xludf.DUMMYFUNCTION("IF('Résultats des tournois'!AD$2=0,"""",LET(
lastVal, INDEX(FILTER($B57:AD57, ISNUMBER($B57:AD57)), COUNTA(FILTER($B57:AD57, ISNUMBER($B57:AD57)))),
IFERROR(
IF('Résultats des tournois'!AD57="""", INDEX(FILTER($C57:AD57, ISNUMBER($C57:AD57)), COUNTA(FILTE"&amp;"R($C57:AD57, ISNUMBER($C57:AD57)))),
lastVal + 'K dynamique'!AD57 * ((SQRT('Résultats des tournois'!AD$2 + 1)/'Résultats des tournois'!AD57) - (1 / (1 + 10^((AD$103 - lastVal)/400)))))
)
))"),"")</f>
        <v/>
      </c>
      <c r="AF57" s="32" t="str">
        <f>IFERROR(__xludf.DUMMYFUNCTION("IF('Résultats des tournois'!AE$2=0,"""",LET(
lastVal, INDEX(FILTER($B57:AE57, ISNUMBER($B57:AE57)), COUNTA(FILTER($B57:AE57, ISNUMBER($B57:AE57)))),
IFERROR(
IF('Résultats des tournois'!AE57="""", INDEX(FILTER($C57:AE57, ISNUMBER($C57:AE57)), COUNTA(FILTE"&amp;"R($C57:AE57, ISNUMBER($C57:AE57)))),
lastVal + 'K dynamique'!AE57 * ((SQRT('Résultats des tournois'!AE$2 + 1)/'Résultats des tournois'!AE57) - (1 / (1 + 10^((AE$103 - lastVal)/400)))))
)
))"),"")</f>
        <v/>
      </c>
      <c r="AG57" s="32" t="str">
        <f>IFERROR(__xludf.DUMMYFUNCTION("IF('Résultats des tournois'!AF$2=0,"""",LET(
lastVal, INDEX(FILTER($B57:AF57, ISNUMBER($B57:AF57)), COUNTA(FILTER($B57:AF57, ISNUMBER($B57:AF57)))),
IFERROR(
IF('Résultats des tournois'!AF57="""", INDEX(FILTER($C57:AF57, ISNUMBER($C57:AF57)), COUNTA(FILTE"&amp;"R($C57:AF57, ISNUMBER($C57:AF57)))),
lastVal + 'K dynamique'!AF57 * ((SQRT('Résultats des tournois'!AF$2 + 1)/'Résultats des tournois'!AF57) - (1 / (1 + 10^((AF$103 - lastVal)/400)))))
)
))"),"")</f>
        <v/>
      </c>
      <c r="AH57" s="32" t="str">
        <f>IFERROR(__xludf.DUMMYFUNCTION("IF('Résultats des tournois'!AG$2=0,"""",LET(
lastVal, INDEX(FILTER($B57:AG57, ISNUMBER($B57:AG57)), COUNTA(FILTER($B57:AG57, ISNUMBER($B57:AG57)))),
IFERROR(
IF('Résultats des tournois'!AG57="""", INDEX(FILTER($C57:AG57, ISNUMBER($C57:AG57)), COUNTA(FILTE"&amp;"R($C57:AG57, ISNUMBER($C57:AG57)))),
lastVal + 'K dynamique'!AG57 * ((SQRT('Résultats des tournois'!AG$2 + 1)/'Résultats des tournois'!AG57) - (1 / (1 + 10^((AG$103 - lastVal)/400)))))
)
))"),"")</f>
        <v/>
      </c>
      <c r="AI57" s="32" t="str">
        <f>IFERROR(__xludf.DUMMYFUNCTION("IF('Résultats des tournois'!AH$2=0,"""",LET(
lastVal, INDEX(FILTER($B57:AH57, ISNUMBER($B57:AH57)), COUNTA(FILTER($B57:AH57, ISNUMBER($B57:AH57)))),
IFERROR(
IF('Résultats des tournois'!AH57="""", INDEX(FILTER($C57:AH57, ISNUMBER($C57:AH57)), COUNTA(FILTE"&amp;"R($C57:AH57, ISNUMBER($C57:AH57)))),
lastVal + 'K dynamique'!AH57 * ((SQRT('Résultats des tournois'!AH$2 + 1)/'Résultats des tournois'!AH57) - (1 / (1 + 10^((AH$103 - lastVal)/400)))))
)
))"),"")</f>
        <v/>
      </c>
      <c r="AJ57" s="32" t="str">
        <f>IFERROR(__xludf.DUMMYFUNCTION("IF('Résultats des tournois'!AI$2=0,"""",LET(
lastVal, INDEX(FILTER($B57:AI57, ISNUMBER($B57:AI57)), COUNTA(FILTER($B57:AI57, ISNUMBER($B57:AI57)))),
IFERROR(
IF('Résultats des tournois'!AI57="""", INDEX(FILTER($C57:AI57, ISNUMBER($C57:AI57)), COUNTA(FILTE"&amp;"R($C57:AI57, ISNUMBER($C57:AI57)))),
lastVal + 'K dynamique'!AI57 * ((SQRT('Résultats des tournois'!AI$2 + 1)/'Résultats des tournois'!AI57) - (1 / (1 + 10^((AI$103 - lastVal)/400)))))
)
))"),"")</f>
        <v/>
      </c>
      <c r="AK57" s="32" t="str">
        <f>IFERROR(__xludf.DUMMYFUNCTION("IF('Résultats des tournois'!AJ$2=0,"""",LET(
lastVal, INDEX(FILTER($B57:AJ57, ISNUMBER($B57:AJ57)), COUNTA(FILTER($B57:AJ57, ISNUMBER($B57:AJ57)))),
IFERROR(
IF('Résultats des tournois'!AJ57="""", INDEX(FILTER($C57:AJ57, ISNUMBER($C57:AJ57)), COUNTA(FILTE"&amp;"R($C57:AJ57, ISNUMBER($C57:AJ57)))),
lastVal + 'K dynamique'!AJ57 * ((SQRT('Résultats des tournois'!AJ$2 + 1)/'Résultats des tournois'!AJ57) - (1 / (1 + 10^((AJ$103 - lastVal)/400)))))
)
))"),"")</f>
        <v/>
      </c>
      <c r="AL57" s="32" t="str">
        <f>IFERROR(__xludf.DUMMYFUNCTION("IF('Résultats des tournois'!AK$2=0,"""",LET(
lastVal, INDEX(FILTER($B57:AK57, ISNUMBER($B57:AK57)), COUNTA(FILTER($B57:AK57, ISNUMBER($B57:AK57)))),
IFERROR(
IF('Résultats des tournois'!AK57="""", INDEX(FILTER($C57:AK57, ISNUMBER($C57:AK57)), COUNTA(FILTE"&amp;"R($C57:AK57, ISNUMBER($C57:AK57)))),
lastVal + 'K dynamique'!AK57 * ((SQRT('Résultats des tournois'!AK$2 + 1)/'Résultats des tournois'!AK57) - (1 / (1 + 10^((AK$103 - lastVal)/400)))))
)
))"),"")</f>
        <v/>
      </c>
      <c r="AM57" s="32" t="str">
        <f>IFERROR(__xludf.DUMMYFUNCTION("IF('Résultats des tournois'!AL$2=0,"""",LET(
lastVal, INDEX(FILTER($B57:AL57, ISNUMBER($B57:AL57)), COUNTA(FILTER($B57:AL57, ISNUMBER($B57:AL57)))),
IFERROR(
IF('Résultats des tournois'!AL57="""", INDEX(FILTER($C57:AL57, ISNUMBER($C57:AL57)), COUNTA(FILTE"&amp;"R($C57:AL57, ISNUMBER($C57:AL57)))),
lastVal + 'K dynamique'!AL57 * ((SQRT('Résultats des tournois'!AL$2 + 1)/'Résultats des tournois'!AL57) - (1 / (1 + 10^((AL$103 - lastVal)/400)))))
)
))"),"")</f>
        <v/>
      </c>
      <c r="AN57" s="32" t="str">
        <f>IFERROR(__xludf.DUMMYFUNCTION("IF('Résultats des tournois'!AM$2=0,"""",LET(
lastVal, INDEX(FILTER($B57:AM57, ISNUMBER($B57:AM57)), COUNTA(FILTER($B57:AM57, ISNUMBER($B57:AM57)))),
IFERROR(
IF('Résultats des tournois'!AM57="""", INDEX(FILTER($C57:AM57, ISNUMBER($C57:AM57)), COUNTA(FILTE"&amp;"R($C57:AM57, ISNUMBER($C57:AM57)))),
lastVal + 'K dynamique'!AM57 * ((SQRT('Résultats des tournois'!AM$2 + 1)/'Résultats des tournois'!AM57) - (1 / (1 + 10^((AM$103 - lastVal)/400)))))
)
))"),"")</f>
        <v/>
      </c>
      <c r="AO57" s="32" t="str">
        <f>IFERROR(__xludf.DUMMYFUNCTION("IF('Résultats des tournois'!AN$2=0,"""",LET(
lastVal, INDEX(FILTER($B57:AN57, ISNUMBER($B57:AN57)), COUNTA(FILTER($B57:AN57, ISNUMBER($B57:AN57)))),
IFERROR(
IF('Résultats des tournois'!AN57="""", INDEX(FILTER($C57:AN57, ISNUMBER($C57:AN57)), COUNTA(FILTE"&amp;"R($C57:AN57, ISNUMBER($C57:AN57)))),
lastVal + 'K dynamique'!AN57 * ((SQRT('Résultats des tournois'!AN$2 + 1)/'Résultats des tournois'!AN57) - (1 / (1 + 10^((AN$103 - lastVal)/400)))))
)
))"),"")</f>
        <v/>
      </c>
      <c r="AP57" s="32" t="str">
        <f>IFERROR(__xludf.DUMMYFUNCTION("IF('Résultats des tournois'!AO$2=0,"""",LET(
lastVal, INDEX(FILTER($B57:AO57, ISNUMBER($B57:AO57)), COUNTA(FILTER($B57:AO57, ISNUMBER($B57:AO57)))),
IFERROR(
IF('Résultats des tournois'!AO57="""", INDEX(FILTER($C57:AO57, ISNUMBER($C57:AO57)), COUNTA(FILTE"&amp;"R($C57:AO57, ISNUMBER($C57:AO57)))),
lastVal + 'K dynamique'!AO57 * ((SQRT('Résultats des tournois'!AO$2 + 1)/'Résultats des tournois'!AO57) - (1 / (1 + 10^((AO$103 - lastVal)/400)))))
)
))"),"")</f>
        <v/>
      </c>
      <c r="AQ57" s="32" t="str">
        <f>IFERROR(__xludf.DUMMYFUNCTION("IF('Résultats des tournois'!AP$2=0,"""",LET(
lastVal, INDEX(FILTER($B57:AP57, ISNUMBER($B57:AP57)), COUNTA(FILTER($B57:AP57, ISNUMBER($B57:AP57)))),
IFERROR(
IF('Résultats des tournois'!AP57="""", INDEX(FILTER($C57:AP57, ISNUMBER($C57:AP57)), COUNTA(FILTE"&amp;"R($C57:AP57, ISNUMBER($C57:AP57)))),
lastVal + 'K dynamique'!AP57 * ((SQRT('Résultats des tournois'!AP$2 + 1)/'Résultats des tournois'!AP57) - (1 / (1 + 10^((AP$103 - lastVal)/400)))))
)
))"),"")</f>
        <v/>
      </c>
      <c r="AR57" s="32" t="str">
        <f>IFERROR(__xludf.DUMMYFUNCTION("IF('Résultats des tournois'!AQ$2=0,"""",LET(
lastVal, INDEX(FILTER($B57:AQ57, ISNUMBER($B57:AQ57)), COUNTA(FILTER($B57:AQ57, ISNUMBER($B57:AQ57)))),
IFERROR(
IF('Résultats des tournois'!AQ57="""", INDEX(FILTER($C57:AQ57, ISNUMBER($C57:AQ57)), COUNTA(FILTE"&amp;"R($C57:AQ57, ISNUMBER($C57:AQ57)))),
lastVal + 'K dynamique'!AQ57 * ((SQRT('Résultats des tournois'!AQ$2 + 1)/'Résultats des tournois'!AQ57) - (1 / (1 + 10^((AQ$103 - lastVal)/400)))))
)
))"),"")</f>
        <v/>
      </c>
      <c r="AS57" s="32" t="str">
        <f>IFERROR(__xludf.DUMMYFUNCTION("IF('Résultats des tournois'!AR$2=0,"""",LET(
lastVal, INDEX(FILTER($B57:AR57, ISNUMBER($B57:AR57)), COUNTA(FILTER($B57:AR57, ISNUMBER($B57:AR57)))),
IFERROR(
IF('Résultats des tournois'!AR57="""", INDEX(FILTER($C57:AR57, ISNUMBER($C57:AR57)), COUNTA(FILTE"&amp;"R($C57:AR57, ISNUMBER($C57:AR57)))),
lastVal + 'K dynamique'!AR57 * ((SQRT('Résultats des tournois'!AR$2 + 1)/'Résultats des tournois'!AR57) - (1 / (1 + 10^((AR$103 - lastVal)/400)))))
)
))"),"")</f>
        <v/>
      </c>
      <c r="AT57" s="32" t="str">
        <f>IFERROR(__xludf.DUMMYFUNCTION("IF('Résultats des tournois'!AS$2=0,"""",LET(
lastVal, INDEX(FILTER($B57:AS57, ISNUMBER($B57:AS57)), COUNTA(FILTER($B57:AS57, ISNUMBER($B57:AS57)))),
IFERROR(
IF('Résultats des tournois'!AS57="""", INDEX(FILTER($C57:AS57, ISNUMBER($C57:AS57)), COUNTA(FILTE"&amp;"R($C57:AS57, ISNUMBER($C57:AS57)))),
lastVal + 'K dynamique'!AS57 * ((SQRT('Résultats des tournois'!AS$2 + 1)/'Résultats des tournois'!AS57) - (1 / (1 + 10^((AS$103 - lastVal)/400)))))
)
))"),"")</f>
        <v/>
      </c>
      <c r="AU57" s="32" t="str">
        <f>IFERROR(__xludf.DUMMYFUNCTION("IF('Résultats des tournois'!AT$2=0,"""",LET(
lastVal, INDEX(FILTER($B57:AT57, ISNUMBER($B57:AT57)), COUNTA(FILTER($B57:AT57, ISNUMBER($B57:AT57)))),
IFERROR(
IF('Résultats des tournois'!AT57="""", INDEX(FILTER($C57:AT57, ISNUMBER($C57:AT57)), COUNTA(FILTE"&amp;"R($C57:AT57, ISNUMBER($C57:AT57)))),
lastVal + 'K dynamique'!AT57 * ((SQRT('Résultats des tournois'!AT$2 + 1)/'Résultats des tournois'!AT57) - (1 / (1 + 10^((AT$103 - lastVal)/400)))))
)
))"),"")</f>
        <v/>
      </c>
      <c r="AV57" s="32" t="str">
        <f>IFERROR(__xludf.DUMMYFUNCTION("IF('Résultats des tournois'!AU$2=0,"""",LET(
lastVal, INDEX(FILTER($B57:AU57, ISNUMBER($B57:AU57)), COUNTA(FILTER($B57:AU57, ISNUMBER($B57:AU57)))),
IFERROR(
IF('Résultats des tournois'!AU57="""", INDEX(FILTER($C57:AU57, ISNUMBER($C57:AU57)), COUNTA(FILTE"&amp;"R($C57:AU57, ISNUMBER($C57:AU57)))),
lastVal + 'K dynamique'!AU57 * ((SQRT('Résultats des tournois'!AU$2 + 1)/'Résultats des tournois'!AU57) - (1 / (1 + 10^((AU$103 - lastVal)/400)))))
)
))"),"")</f>
        <v/>
      </c>
      <c r="AW57" s="32" t="str">
        <f>IFERROR(__xludf.DUMMYFUNCTION("IF('Résultats des tournois'!AV$2=0,"""",LET(
lastVal, INDEX(FILTER($B57:AV57, ISNUMBER($B57:AV57)), COUNTA(FILTER($B57:AV57, ISNUMBER($B57:AV57)))),
IFERROR(
IF('Résultats des tournois'!AV57="""", INDEX(FILTER($C57:AV57, ISNUMBER($C57:AV57)), COUNTA(FILTE"&amp;"R($C57:AV57, ISNUMBER($C57:AV57)))),
lastVal + 'K dynamique'!AV57 * ((SQRT('Résultats des tournois'!AV$2 + 1)/'Résultats des tournois'!AV57) - (1 / (1 + 10^((AV$103 - lastVal)/400)))))
)
))"),"")</f>
        <v/>
      </c>
      <c r="AX57" s="32" t="str">
        <f>IFERROR(__xludf.DUMMYFUNCTION("IF('Résultats des tournois'!AW$2=0,"""",LET(
lastVal, INDEX(FILTER($B57:AW57, ISNUMBER($B57:AW57)), COUNTA(FILTER($B57:AW57, ISNUMBER($B57:AW57)))),
IFERROR(
IF('Résultats des tournois'!AW57="""", INDEX(FILTER($C57:AW57, ISNUMBER($C57:AW57)), COUNTA(FILTE"&amp;"R($C57:AW57, ISNUMBER($C57:AW57)))),
lastVal + 'K dynamique'!AW57 * ((SQRT('Résultats des tournois'!AW$2 + 1)/'Résultats des tournois'!AW57) - (1 / (1 + 10^((AW$103 - lastVal)/400)))))
)
))"),"")</f>
        <v/>
      </c>
      <c r="AY57" s="32" t="str">
        <f>IFERROR(__xludf.DUMMYFUNCTION("IF('Résultats des tournois'!AX$2=0,"""",LET(
lastVal, INDEX(FILTER($B57:AX57, ISNUMBER($B57:AX57)), COUNTA(FILTER($B57:AX57, ISNUMBER($B57:AX57)))),
IFERROR(
IF('Résultats des tournois'!AX57="""", INDEX(FILTER($C57:AX57, ISNUMBER($C57:AX57)), COUNTA(FILTE"&amp;"R($C57:AX57, ISNUMBER($C57:AX57)))),
lastVal + 'K dynamique'!AX57 * ((SQRT('Résultats des tournois'!AX$2 + 1)/'Résultats des tournois'!AX57) - (1 / (1 + 10^((AX$103 - lastVal)/400)))))
)
))"),"")</f>
        <v/>
      </c>
      <c r="AZ57" s="4" t="str">
        <f t="array" ref="AZ57">IF(MAX(($C57:AY57&lt;&gt;"")*COLUMN($C57:AY57))=0,"",INDEX($C57:AY57,1,MAX(($C57:AY57&lt;&gt;"")*COLUMN($C57:AY57))-COLUMN($C57)+1))</f>
        <v/>
      </c>
      <c r="BA57" s="33" t="str">
        <f t="shared" si="1"/>
        <v/>
      </c>
    </row>
    <row r="58" ht="14.25" customHeight="1">
      <c r="A58" s="32" t="str">
        <f>IF('Résultats des tournois'!A58="","",'Résultats des tournois'!A58)</f>
        <v/>
      </c>
      <c r="B58" s="32">
        <v>1500.0</v>
      </c>
      <c r="C58" s="32" t="str">
        <f>IF('Résultats des tournois'!B58="","",B58+'K dynamique'!B58*((SQRT('Résultats des tournois'!B$2+1)/'Résultats des tournois'!B58)-(1/(1+10^((B58-B58)/400)))))</f>
        <v/>
      </c>
      <c r="D58" s="32" t="str">
        <f>IFERROR(__xludf.DUMMYFUNCTION("IF('Résultats des tournois'!C$2=0,"""",LET(
lastVal, INDEX(FILTER($B58:C58, ISNUMBER($B58:C58)), COUNTA(FILTER($B58:C58, ISNUMBER($B58:C58)))),
IFERROR(
IF('Résultats des tournois'!C58="""", INDEX(FILTER($C58:C58, ISNUMBER($C58:C58)), COUNTA(FILTER($C58:C"&amp;"58, ISNUMBER($C58:C58)))),
lastVal + 'K dynamique'!C58 * ((SQRT('Résultats des tournois'!C$2 + 1)/'Résultats des tournois'!C58) - (1 / (1 + 10^((C$103 - lastVal)/400)))))
)
))"),"")</f>
        <v/>
      </c>
      <c r="E58" s="32" t="str">
        <f>IFERROR(__xludf.DUMMYFUNCTION("IF('Résultats des tournois'!D$2=0,"""",LET(
lastVal, INDEX(FILTER($B58:D58, ISNUMBER($B58:D58)), COUNTA(FILTER($B58:D58, ISNUMBER($B58:D58)))),
IFERROR(
IF('Résultats des tournois'!D58="""", INDEX(FILTER($C58:D58, ISNUMBER($C58:D58)), COUNTA(FILTER($C58:D"&amp;"58, ISNUMBER($C58:D58)))),
lastVal + 'K dynamique'!D58 * ((SQRT('Résultats des tournois'!D$2 + 1)/'Résultats des tournois'!D58) - (1 / (1 + 10^((D$103 - lastVal)/400)))))
)
))"),"")</f>
        <v/>
      </c>
      <c r="F58" s="32" t="str">
        <f>IFERROR(__xludf.DUMMYFUNCTION("IF('Résultats des tournois'!E$2=0,"""",LET(
lastVal, INDEX(FILTER($B58:E58, ISNUMBER($B58:E58)), COUNTA(FILTER($B58:E58, ISNUMBER($B58:E58)))),
IFERROR(
IF('Résultats des tournois'!E58="""", INDEX(FILTER($C58:E58, ISNUMBER($C58:E58)), COUNTA(FILTER($C58:E"&amp;"58, ISNUMBER($C58:E58)))),
lastVal + 'K dynamique'!E58 * ((SQRT('Résultats des tournois'!E$2 + 1)/'Résultats des tournois'!E58) - (1 / (1 + 10^((E$103 - lastVal)/400)))))
)
))"),"")</f>
        <v/>
      </c>
      <c r="G58" s="32" t="str">
        <f>IFERROR(__xludf.DUMMYFUNCTION("IF('Résultats des tournois'!F$2=0,"""",LET(
lastVal, INDEX(FILTER($B58:F58, ISNUMBER($B58:F58)), COUNTA(FILTER($B58:F58, ISNUMBER($B58:F58)))),
IFERROR(
IF('Résultats des tournois'!F58="""", INDEX(FILTER($C58:F58, ISNUMBER($C58:F58)), COUNTA(FILTER($C58:F"&amp;"58, ISNUMBER($C58:F58)))),
lastVal + 'K dynamique'!F58 * ((SQRT('Résultats des tournois'!F$2 + 1)/'Résultats des tournois'!F58) - (1 / (1 + 10^((F$103 - lastVal)/400)))))
)
))"),"")</f>
        <v/>
      </c>
      <c r="H58" s="32" t="str">
        <f>IFERROR(__xludf.DUMMYFUNCTION("IF('Résultats des tournois'!G$2=0,"""",LET(
lastVal, INDEX(FILTER($B58:G58, ISNUMBER($B58:G58)), COUNTA(FILTER($B58:G58, ISNUMBER($B58:G58)))),
IFERROR(
IF('Résultats des tournois'!G58="""", INDEX(FILTER($C58:G58, ISNUMBER($C58:G58)), COUNTA(FILTER($C58:G"&amp;"58, ISNUMBER($C58:G58)))),
lastVal + 'K dynamique'!G58 * ((SQRT('Résultats des tournois'!G$2 + 1)/'Résultats des tournois'!G58) - (1 / (1 + 10^((G$103 - lastVal)/400)))))
)
))"),"")</f>
        <v/>
      </c>
      <c r="I58" s="32" t="str">
        <f>IFERROR(__xludf.DUMMYFUNCTION("IF('Résultats des tournois'!H$2=0,"""",LET(
lastVal, INDEX(FILTER($B58:H58, ISNUMBER($B58:H58)), COUNTA(FILTER($B58:H58, ISNUMBER($B58:H58)))),
IFERROR(
IF('Résultats des tournois'!H58="""", INDEX(FILTER($C58:H58, ISNUMBER($C58:H58)), COUNTA(FILTER($C58:H"&amp;"58, ISNUMBER($C58:H58)))),
lastVal + 'K dynamique'!H58 * ((SQRT('Résultats des tournois'!H$2 + 1)/'Résultats des tournois'!H58) - (1 / (1 + 10^((H$103 - lastVal)/400)))))
)
))"),"")</f>
        <v/>
      </c>
      <c r="J58" s="32" t="str">
        <f>IFERROR(__xludf.DUMMYFUNCTION("IF('Résultats des tournois'!I$2=0,"""",LET(
lastVal, INDEX(FILTER($B58:I58, ISNUMBER($B58:I58)), COUNTA(FILTER($B58:I58, ISNUMBER($B58:I58)))),
IFERROR(
IF('Résultats des tournois'!I58="""", INDEX(FILTER($C58:I58, ISNUMBER($C58:I58)), COUNTA(FILTER($C58:I"&amp;"58, ISNUMBER($C58:I58)))),
lastVal + 'K dynamique'!I58 * ((SQRT('Résultats des tournois'!I$2 + 1)/'Résultats des tournois'!I58) - (1 / (1 + 10^((I$103 - lastVal)/400)))))
)
))"),"")</f>
        <v/>
      </c>
      <c r="K58" s="32" t="str">
        <f>IFERROR(__xludf.DUMMYFUNCTION("IF('Résultats des tournois'!J$2=0,"""",LET(
lastVal, INDEX(FILTER($B58:J58, ISNUMBER($B58:J58)), COUNTA(FILTER($B58:J58, ISNUMBER($B58:J58)))),
IFERROR(
IF('Résultats des tournois'!J58="""", INDEX(FILTER($C58:J58, ISNUMBER($C58:J58)), COUNTA(FILTER($C58:J"&amp;"58, ISNUMBER($C58:J58)))),
lastVal + 'K dynamique'!J58 * ((SQRT('Résultats des tournois'!J$2 + 1)/'Résultats des tournois'!J58) - (1 / (1 + 10^((J$103 - lastVal)/400)))))
)
))"),"")</f>
        <v/>
      </c>
      <c r="L58" s="32" t="str">
        <f>IFERROR(__xludf.DUMMYFUNCTION("IF('Résultats des tournois'!K$2=0,"""",LET(
lastVal, INDEX(FILTER($B58:K58, ISNUMBER($B58:K58)), COUNTA(FILTER($B58:K58, ISNUMBER($B58:K58)))),
IFERROR(
IF('Résultats des tournois'!K58="""", INDEX(FILTER($C58:K58, ISNUMBER($C58:K58)), COUNTA(FILTER($C58:K"&amp;"58, ISNUMBER($C58:K58)))),
lastVal + 'K dynamique'!K58 * ((SQRT('Résultats des tournois'!K$2 + 1)/'Résultats des tournois'!K58) - (1 / (1 + 10^((K$103 - lastVal)/400)))))
)
))"),"")</f>
        <v/>
      </c>
      <c r="M58" s="32" t="str">
        <f>IFERROR(__xludf.DUMMYFUNCTION("IF('Résultats des tournois'!L$2=0,"""",LET(
lastVal, INDEX(FILTER($B58:L58, ISNUMBER($B58:L58)), COUNTA(FILTER($B58:L58, ISNUMBER($B58:L58)))),
IFERROR(
IF('Résultats des tournois'!L58="""", INDEX(FILTER($C58:L58, ISNUMBER($C58:L58)), COUNTA(FILTER($C58:L"&amp;"58, ISNUMBER($C58:L58)))),
lastVal + 'K dynamique'!L58 * ((SQRT('Résultats des tournois'!L$2 + 1)/'Résultats des tournois'!L58) - (1 / (1 + 10^((L$103 - lastVal)/400)))))
)
))"),"")</f>
        <v/>
      </c>
      <c r="N58" s="32" t="str">
        <f>IFERROR(__xludf.DUMMYFUNCTION("IF('Résultats des tournois'!M$2=0,"""",LET(
lastVal, INDEX(FILTER($B58:M58, ISNUMBER($B58:M58)), COUNTA(FILTER($B58:M58, ISNUMBER($B58:M58)))),
IFERROR(
IF('Résultats des tournois'!M58="""", INDEX(FILTER($C58:M58, ISNUMBER($C58:M58)), COUNTA(FILTER($C58:M"&amp;"58, ISNUMBER($C58:M58)))),
lastVal + 'K dynamique'!M58 * ((SQRT('Résultats des tournois'!M$2 + 1)/'Résultats des tournois'!M58) - (1 / (1 + 10^((M$103 - lastVal)/400)))))
)
))"),"")</f>
        <v/>
      </c>
      <c r="O58" s="32" t="str">
        <f>IFERROR(__xludf.DUMMYFUNCTION("IF('Résultats des tournois'!N$2=0,"""",LET(
lastVal, INDEX(FILTER($B58:N58, ISNUMBER($B58:N58)), COUNTA(FILTER($B58:N58, ISNUMBER($B58:N58)))),
IFERROR(
IF('Résultats des tournois'!N58="""", INDEX(FILTER($C58:N58, ISNUMBER($C58:N58)), COUNTA(FILTER($C58:N"&amp;"58, ISNUMBER($C58:N58)))),
lastVal + 'K dynamique'!N58 * ((SQRT('Résultats des tournois'!N$2 + 1)/'Résultats des tournois'!N58) - (1 / (1 + 10^((N$103 - lastVal)/400)))))
)
))"),"")</f>
        <v/>
      </c>
      <c r="P58" s="32" t="str">
        <f>IFERROR(__xludf.DUMMYFUNCTION("IF('Résultats des tournois'!O$2=0,"""",LET(
lastVal, INDEX(FILTER($B58:O58, ISNUMBER($B58:O58)), COUNTA(FILTER($B58:O58, ISNUMBER($B58:O58)))),
IFERROR(
IF('Résultats des tournois'!O58="""", INDEX(FILTER($C58:O58, ISNUMBER($C58:O58)), COUNTA(FILTER($C58:O"&amp;"58, ISNUMBER($C58:O58)))),
lastVal + 'K dynamique'!O58 * ((SQRT('Résultats des tournois'!O$2 + 1)/'Résultats des tournois'!O58) - (1 / (1 + 10^((O$103 - lastVal)/400)))))
)
))"),"")</f>
        <v/>
      </c>
      <c r="Q58" s="32" t="str">
        <f>IFERROR(__xludf.DUMMYFUNCTION("IF('Résultats des tournois'!P$2=0,"""",LET(
lastVal, INDEX(FILTER($B58:P58, ISNUMBER($B58:P58)), COUNTA(FILTER($B58:P58, ISNUMBER($B58:P58)))),
IFERROR(
IF('Résultats des tournois'!P58="""", INDEX(FILTER($C58:P58, ISNUMBER($C58:P58)), COUNTA(FILTER($C58:P"&amp;"58, ISNUMBER($C58:P58)))),
lastVal + 'K dynamique'!P58 * ((SQRT('Résultats des tournois'!P$2 + 1)/'Résultats des tournois'!P58) - (1 / (1 + 10^((P$103 - lastVal)/400)))))
)
))"),"")</f>
        <v/>
      </c>
      <c r="R58" s="32" t="str">
        <f>IFERROR(__xludf.DUMMYFUNCTION("IF('Résultats des tournois'!Q$2=0,"""",LET(
lastVal, INDEX(FILTER($B58:Q58, ISNUMBER($B58:Q58)), COUNTA(FILTER($B58:Q58, ISNUMBER($B58:Q58)))),
IFERROR(
IF('Résultats des tournois'!Q58="""", INDEX(FILTER($C58:Q58, ISNUMBER($C58:Q58)), COUNTA(FILTER($C58:Q"&amp;"58, ISNUMBER($C58:Q58)))),
lastVal + 'K dynamique'!Q58 * ((SQRT('Résultats des tournois'!Q$2 + 1)/'Résultats des tournois'!Q58) - (1 / (1 + 10^((Q$103 - lastVal)/400)))))
)
))"),"")</f>
        <v/>
      </c>
      <c r="S58" s="32" t="str">
        <f>IFERROR(__xludf.DUMMYFUNCTION("IF('Résultats des tournois'!R$2=0,"""",LET(
lastVal, INDEX(FILTER($B58:R58, ISNUMBER($B58:R58)), COUNTA(FILTER($B58:R58, ISNUMBER($B58:R58)))),
IFERROR(
IF('Résultats des tournois'!R58="""", INDEX(FILTER($C58:R58, ISNUMBER($C58:R58)), COUNTA(FILTER($C58:R"&amp;"58, ISNUMBER($C58:R58)))),
lastVal + 'K dynamique'!R58 * ((SQRT('Résultats des tournois'!R$2 + 1)/'Résultats des tournois'!R58) - (1 / (1 + 10^((R$103 - lastVal)/400)))))
)
))"),"")</f>
        <v/>
      </c>
      <c r="T58" s="32" t="str">
        <f>IFERROR(__xludf.DUMMYFUNCTION("IF('Résultats des tournois'!S$2=0,"""",LET(
lastVal, INDEX(FILTER($B58:S58, ISNUMBER($B58:S58)), COUNTA(FILTER($B58:S58, ISNUMBER($B58:S58)))),
IFERROR(
IF('Résultats des tournois'!S58="""", INDEX(FILTER($C58:S58, ISNUMBER($C58:S58)), COUNTA(FILTER($C58:S"&amp;"58, ISNUMBER($C58:S58)))),
lastVal + 'K dynamique'!S58 * ((SQRT('Résultats des tournois'!S$2 + 1)/'Résultats des tournois'!S58) - (1 / (1 + 10^((S$103 - lastVal)/400)))))
)
))"),"")</f>
        <v/>
      </c>
      <c r="U58" s="32" t="str">
        <f>IFERROR(__xludf.DUMMYFUNCTION("IF('Résultats des tournois'!T$2=0,"""",LET(
lastVal, INDEX(FILTER($B58:T58, ISNUMBER($B58:T58)), COUNTA(FILTER($B58:T58, ISNUMBER($B58:T58)))),
IFERROR(
IF('Résultats des tournois'!T58="""", INDEX(FILTER($C58:T58, ISNUMBER($C58:T58)), COUNTA(FILTER($C58:T"&amp;"58, ISNUMBER($C58:T58)))),
lastVal + 'K dynamique'!T58 * ((SQRT('Résultats des tournois'!T$2 + 1)/'Résultats des tournois'!T58) - (1 / (1 + 10^((T$103 - lastVal)/400)))))
)
))"),"")</f>
        <v/>
      </c>
      <c r="V58" s="32" t="str">
        <f>IFERROR(__xludf.DUMMYFUNCTION("IF('Résultats des tournois'!U$2=0,"""",LET(
lastVal, INDEX(FILTER($B58:U58, ISNUMBER($B58:U58)), COUNTA(FILTER($B58:U58, ISNUMBER($B58:U58)))),
IFERROR(
IF('Résultats des tournois'!U58="""", INDEX(FILTER($C58:U58, ISNUMBER($C58:U58)), COUNTA(FILTER($C58:U"&amp;"58, ISNUMBER($C58:U58)))),
lastVal + 'K dynamique'!U58 * ((SQRT('Résultats des tournois'!U$2 + 1)/'Résultats des tournois'!U58) - (1 / (1 + 10^((U$103 - lastVal)/400)))))
)
))"),"")</f>
        <v/>
      </c>
      <c r="W58" s="32" t="str">
        <f>IFERROR(__xludf.DUMMYFUNCTION("IF('Résultats des tournois'!V$2=0,"""",LET(
lastVal, INDEX(FILTER($B58:V58, ISNUMBER($B58:V58)), COUNTA(FILTER($B58:V58, ISNUMBER($B58:V58)))),
IFERROR(
IF('Résultats des tournois'!V58="""", INDEX(FILTER($C58:V58, ISNUMBER($C58:V58)), COUNTA(FILTER($C58:V"&amp;"58, ISNUMBER($C58:V58)))),
lastVal + 'K dynamique'!V58 * ((SQRT('Résultats des tournois'!V$2 + 1)/'Résultats des tournois'!V58) - (1 / (1 + 10^((V$103 - lastVal)/400)))))
)
))"),"")</f>
        <v/>
      </c>
      <c r="X58" s="32" t="str">
        <f>IFERROR(__xludf.DUMMYFUNCTION("IF('Résultats des tournois'!W$2=0,"""",LET(
lastVal, INDEX(FILTER($B58:W58, ISNUMBER($B58:W58)), COUNTA(FILTER($B58:W58, ISNUMBER($B58:W58)))),
IFERROR(
IF('Résultats des tournois'!W58="""", INDEX(FILTER($C58:W58, ISNUMBER($C58:W58)), COUNTA(FILTER($C58:W"&amp;"58, ISNUMBER($C58:W58)))),
lastVal + 'K dynamique'!W58 * ((SQRT('Résultats des tournois'!W$2 + 1)/'Résultats des tournois'!W58) - (1 / (1 + 10^((W$103 - lastVal)/400)))))
)
))"),"")</f>
        <v/>
      </c>
      <c r="Y58" s="32" t="str">
        <f>IFERROR(__xludf.DUMMYFUNCTION("IF('Résultats des tournois'!X$2=0,"""",LET(
lastVal, INDEX(FILTER($B58:X58, ISNUMBER($B58:X58)), COUNTA(FILTER($B58:X58, ISNUMBER($B58:X58)))),
IFERROR(
IF('Résultats des tournois'!X58="""", INDEX(FILTER($C58:X58, ISNUMBER($C58:X58)), COUNTA(FILTER($C58:X"&amp;"58, ISNUMBER($C58:X58)))),
lastVal + 'K dynamique'!X58 * ((SQRT('Résultats des tournois'!X$2 + 1)/'Résultats des tournois'!X58) - (1 / (1 + 10^((X$103 - lastVal)/400)))))
)
))"),"")</f>
        <v/>
      </c>
      <c r="Z58" s="32" t="str">
        <f>IFERROR(__xludf.DUMMYFUNCTION("IF('Résultats des tournois'!Y$2=0,"""",LET(
lastVal, INDEX(FILTER($B58:Y58, ISNUMBER($B58:Y58)), COUNTA(FILTER($B58:Y58, ISNUMBER($B58:Y58)))),
IFERROR(
IF('Résultats des tournois'!Y58="""", INDEX(FILTER($C58:Y58, ISNUMBER($C58:Y58)), COUNTA(FILTER($C58:Y"&amp;"58, ISNUMBER($C58:Y58)))),
lastVal + 'K dynamique'!Y58 * ((SQRT('Résultats des tournois'!Y$2 + 1)/'Résultats des tournois'!Y58) - (1 / (1 + 10^((Y$103 - lastVal)/400)))))
)
))"),"")</f>
        <v/>
      </c>
      <c r="AA58" s="32" t="str">
        <f>IFERROR(__xludf.DUMMYFUNCTION("IF('Résultats des tournois'!Z$2=0,"""",LET(
lastVal, INDEX(FILTER($B58:Z58, ISNUMBER($B58:Z58)), COUNTA(FILTER($B58:Z58, ISNUMBER($B58:Z58)))),
IFERROR(
IF('Résultats des tournois'!Z58="""", INDEX(FILTER($C58:Z58, ISNUMBER($C58:Z58)), COUNTA(FILTER($C58:Z"&amp;"58, ISNUMBER($C58:Z58)))),
lastVal + 'K dynamique'!Z58 * ((SQRT('Résultats des tournois'!Z$2 + 1)/'Résultats des tournois'!Z58) - (1 / (1 + 10^((Z$103 - lastVal)/400)))))
)
))"),"")</f>
        <v/>
      </c>
      <c r="AB58" s="32" t="str">
        <f>IFERROR(__xludf.DUMMYFUNCTION("IF('Résultats des tournois'!AA$2=0,"""",LET(
lastVal, INDEX(FILTER($B58:AA58, ISNUMBER($B58:AA58)), COUNTA(FILTER($B58:AA58, ISNUMBER($B58:AA58)))),
IFERROR(
IF('Résultats des tournois'!AA58="""", INDEX(FILTER($C58:AA58, ISNUMBER($C58:AA58)), COUNTA(FILTE"&amp;"R($C58:AA58, ISNUMBER($C58:AA58)))),
lastVal + 'K dynamique'!AA58 * ((SQRT('Résultats des tournois'!AA$2 + 1)/'Résultats des tournois'!AA58) - (1 / (1 + 10^((AA$103 - lastVal)/400)))))
)
))"),"")</f>
        <v/>
      </c>
      <c r="AC58" s="32" t="str">
        <f>IFERROR(__xludf.DUMMYFUNCTION("IF('Résultats des tournois'!AB$2=0,"""",LET(
lastVal, INDEX(FILTER($B58:AB58, ISNUMBER($B58:AB58)), COUNTA(FILTER($B58:AB58, ISNUMBER($B58:AB58)))),
IFERROR(
IF('Résultats des tournois'!AB58="""", INDEX(FILTER($C58:AB58, ISNUMBER($C58:AB58)), COUNTA(FILTE"&amp;"R($C58:AB58, ISNUMBER($C58:AB58)))),
lastVal + 'K dynamique'!AB58 * ((SQRT('Résultats des tournois'!AB$2 + 1)/'Résultats des tournois'!AB58) - (1 / (1 + 10^((AB$103 - lastVal)/400)))))
)
))"),"")</f>
        <v/>
      </c>
      <c r="AD58" s="32" t="str">
        <f>IFERROR(__xludf.DUMMYFUNCTION("IF('Résultats des tournois'!AC$2=0,"""",LET(
lastVal, INDEX(FILTER($B58:AC58, ISNUMBER($B58:AC58)), COUNTA(FILTER($B58:AC58, ISNUMBER($B58:AC58)))),
IFERROR(
IF('Résultats des tournois'!AC58="""", INDEX(FILTER($C58:AC58, ISNUMBER($C58:AC58)), COUNTA(FILTE"&amp;"R($C58:AC58, ISNUMBER($C58:AC58)))),
lastVal + 'K dynamique'!AC58 * ((SQRT('Résultats des tournois'!AC$2 + 1)/'Résultats des tournois'!AC58) - (1 / (1 + 10^((AC$103 - lastVal)/400)))))
)
))"),"")</f>
        <v/>
      </c>
      <c r="AE58" s="32" t="str">
        <f>IFERROR(__xludf.DUMMYFUNCTION("IF('Résultats des tournois'!AD$2=0,"""",LET(
lastVal, INDEX(FILTER($B58:AD58, ISNUMBER($B58:AD58)), COUNTA(FILTER($B58:AD58, ISNUMBER($B58:AD58)))),
IFERROR(
IF('Résultats des tournois'!AD58="""", INDEX(FILTER($C58:AD58, ISNUMBER($C58:AD58)), COUNTA(FILTE"&amp;"R($C58:AD58, ISNUMBER($C58:AD58)))),
lastVal + 'K dynamique'!AD58 * ((SQRT('Résultats des tournois'!AD$2 + 1)/'Résultats des tournois'!AD58) - (1 / (1 + 10^((AD$103 - lastVal)/400)))))
)
))"),"")</f>
        <v/>
      </c>
      <c r="AF58" s="32" t="str">
        <f>IFERROR(__xludf.DUMMYFUNCTION("IF('Résultats des tournois'!AE$2=0,"""",LET(
lastVal, INDEX(FILTER($B58:AE58, ISNUMBER($B58:AE58)), COUNTA(FILTER($B58:AE58, ISNUMBER($B58:AE58)))),
IFERROR(
IF('Résultats des tournois'!AE58="""", INDEX(FILTER($C58:AE58, ISNUMBER($C58:AE58)), COUNTA(FILTE"&amp;"R($C58:AE58, ISNUMBER($C58:AE58)))),
lastVal + 'K dynamique'!AE58 * ((SQRT('Résultats des tournois'!AE$2 + 1)/'Résultats des tournois'!AE58) - (1 / (1 + 10^((AE$103 - lastVal)/400)))))
)
))"),"")</f>
        <v/>
      </c>
      <c r="AG58" s="32" t="str">
        <f>IFERROR(__xludf.DUMMYFUNCTION("IF('Résultats des tournois'!AF$2=0,"""",LET(
lastVal, INDEX(FILTER($B58:AF58, ISNUMBER($B58:AF58)), COUNTA(FILTER($B58:AF58, ISNUMBER($B58:AF58)))),
IFERROR(
IF('Résultats des tournois'!AF58="""", INDEX(FILTER($C58:AF58, ISNUMBER($C58:AF58)), COUNTA(FILTE"&amp;"R($C58:AF58, ISNUMBER($C58:AF58)))),
lastVal + 'K dynamique'!AF58 * ((SQRT('Résultats des tournois'!AF$2 + 1)/'Résultats des tournois'!AF58) - (1 / (1 + 10^((AF$103 - lastVal)/400)))))
)
))"),"")</f>
        <v/>
      </c>
      <c r="AH58" s="32" t="str">
        <f>IFERROR(__xludf.DUMMYFUNCTION("IF('Résultats des tournois'!AG$2=0,"""",LET(
lastVal, INDEX(FILTER($B58:AG58, ISNUMBER($B58:AG58)), COUNTA(FILTER($B58:AG58, ISNUMBER($B58:AG58)))),
IFERROR(
IF('Résultats des tournois'!AG58="""", INDEX(FILTER($C58:AG58, ISNUMBER($C58:AG58)), COUNTA(FILTE"&amp;"R($C58:AG58, ISNUMBER($C58:AG58)))),
lastVal + 'K dynamique'!AG58 * ((SQRT('Résultats des tournois'!AG$2 + 1)/'Résultats des tournois'!AG58) - (1 / (1 + 10^((AG$103 - lastVal)/400)))))
)
))"),"")</f>
        <v/>
      </c>
      <c r="AI58" s="32" t="str">
        <f>IFERROR(__xludf.DUMMYFUNCTION("IF('Résultats des tournois'!AH$2=0,"""",LET(
lastVal, INDEX(FILTER($B58:AH58, ISNUMBER($B58:AH58)), COUNTA(FILTER($B58:AH58, ISNUMBER($B58:AH58)))),
IFERROR(
IF('Résultats des tournois'!AH58="""", INDEX(FILTER($C58:AH58, ISNUMBER($C58:AH58)), COUNTA(FILTE"&amp;"R($C58:AH58, ISNUMBER($C58:AH58)))),
lastVal + 'K dynamique'!AH58 * ((SQRT('Résultats des tournois'!AH$2 + 1)/'Résultats des tournois'!AH58) - (1 / (1 + 10^((AH$103 - lastVal)/400)))))
)
))"),"")</f>
        <v/>
      </c>
      <c r="AJ58" s="32" t="str">
        <f>IFERROR(__xludf.DUMMYFUNCTION("IF('Résultats des tournois'!AI$2=0,"""",LET(
lastVal, INDEX(FILTER($B58:AI58, ISNUMBER($B58:AI58)), COUNTA(FILTER($B58:AI58, ISNUMBER($B58:AI58)))),
IFERROR(
IF('Résultats des tournois'!AI58="""", INDEX(FILTER($C58:AI58, ISNUMBER($C58:AI58)), COUNTA(FILTE"&amp;"R($C58:AI58, ISNUMBER($C58:AI58)))),
lastVal + 'K dynamique'!AI58 * ((SQRT('Résultats des tournois'!AI$2 + 1)/'Résultats des tournois'!AI58) - (1 / (1 + 10^((AI$103 - lastVal)/400)))))
)
))"),"")</f>
        <v/>
      </c>
      <c r="AK58" s="32" t="str">
        <f>IFERROR(__xludf.DUMMYFUNCTION("IF('Résultats des tournois'!AJ$2=0,"""",LET(
lastVal, INDEX(FILTER($B58:AJ58, ISNUMBER($B58:AJ58)), COUNTA(FILTER($B58:AJ58, ISNUMBER($B58:AJ58)))),
IFERROR(
IF('Résultats des tournois'!AJ58="""", INDEX(FILTER($C58:AJ58, ISNUMBER($C58:AJ58)), COUNTA(FILTE"&amp;"R($C58:AJ58, ISNUMBER($C58:AJ58)))),
lastVal + 'K dynamique'!AJ58 * ((SQRT('Résultats des tournois'!AJ$2 + 1)/'Résultats des tournois'!AJ58) - (1 / (1 + 10^((AJ$103 - lastVal)/400)))))
)
))"),"")</f>
        <v/>
      </c>
      <c r="AL58" s="32" t="str">
        <f>IFERROR(__xludf.DUMMYFUNCTION("IF('Résultats des tournois'!AK$2=0,"""",LET(
lastVal, INDEX(FILTER($B58:AK58, ISNUMBER($B58:AK58)), COUNTA(FILTER($B58:AK58, ISNUMBER($B58:AK58)))),
IFERROR(
IF('Résultats des tournois'!AK58="""", INDEX(FILTER($C58:AK58, ISNUMBER($C58:AK58)), COUNTA(FILTE"&amp;"R($C58:AK58, ISNUMBER($C58:AK58)))),
lastVal + 'K dynamique'!AK58 * ((SQRT('Résultats des tournois'!AK$2 + 1)/'Résultats des tournois'!AK58) - (1 / (1 + 10^((AK$103 - lastVal)/400)))))
)
))"),"")</f>
        <v/>
      </c>
      <c r="AM58" s="32" t="str">
        <f>IFERROR(__xludf.DUMMYFUNCTION("IF('Résultats des tournois'!AL$2=0,"""",LET(
lastVal, INDEX(FILTER($B58:AL58, ISNUMBER($B58:AL58)), COUNTA(FILTER($B58:AL58, ISNUMBER($B58:AL58)))),
IFERROR(
IF('Résultats des tournois'!AL58="""", INDEX(FILTER($C58:AL58, ISNUMBER($C58:AL58)), COUNTA(FILTE"&amp;"R($C58:AL58, ISNUMBER($C58:AL58)))),
lastVal + 'K dynamique'!AL58 * ((SQRT('Résultats des tournois'!AL$2 + 1)/'Résultats des tournois'!AL58) - (1 / (1 + 10^((AL$103 - lastVal)/400)))))
)
))"),"")</f>
        <v/>
      </c>
      <c r="AN58" s="32" t="str">
        <f>IFERROR(__xludf.DUMMYFUNCTION("IF('Résultats des tournois'!AM$2=0,"""",LET(
lastVal, INDEX(FILTER($B58:AM58, ISNUMBER($B58:AM58)), COUNTA(FILTER($B58:AM58, ISNUMBER($B58:AM58)))),
IFERROR(
IF('Résultats des tournois'!AM58="""", INDEX(FILTER($C58:AM58, ISNUMBER($C58:AM58)), COUNTA(FILTE"&amp;"R($C58:AM58, ISNUMBER($C58:AM58)))),
lastVal + 'K dynamique'!AM58 * ((SQRT('Résultats des tournois'!AM$2 + 1)/'Résultats des tournois'!AM58) - (1 / (1 + 10^((AM$103 - lastVal)/400)))))
)
))"),"")</f>
        <v/>
      </c>
      <c r="AO58" s="32" t="str">
        <f>IFERROR(__xludf.DUMMYFUNCTION("IF('Résultats des tournois'!AN$2=0,"""",LET(
lastVal, INDEX(FILTER($B58:AN58, ISNUMBER($B58:AN58)), COUNTA(FILTER($B58:AN58, ISNUMBER($B58:AN58)))),
IFERROR(
IF('Résultats des tournois'!AN58="""", INDEX(FILTER($C58:AN58, ISNUMBER($C58:AN58)), COUNTA(FILTE"&amp;"R($C58:AN58, ISNUMBER($C58:AN58)))),
lastVal + 'K dynamique'!AN58 * ((SQRT('Résultats des tournois'!AN$2 + 1)/'Résultats des tournois'!AN58) - (1 / (1 + 10^((AN$103 - lastVal)/400)))))
)
))"),"")</f>
        <v/>
      </c>
      <c r="AP58" s="32" t="str">
        <f>IFERROR(__xludf.DUMMYFUNCTION("IF('Résultats des tournois'!AO$2=0,"""",LET(
lastVal, INDEX(FILTER($B58:AO58, ISNUMBER($B58:AO58)), COUNTA(FILTER($B58:AO58, ISNUMBER($B58:AO58)))),
IFERROR(
IF('Résultats des tournois'!AO58="""", INDEX(FILTER($C58:AO58, ISNUMBER($C58:AO58)), COUNTA(FILTE"&amp;"R($C58:AO58, ISNUMBER($C58:AO58)))),
lastVal + 'K dynamique'!AO58 * ((SQRT('Résultats des tournois'!AO$2 + 1)/'Résultats des tournois'!AO58) - (1 / (1 + 10^((AO$103 - lastVal)/400)))))
)
))"),"")</f>
        <v/>
      </c>
      <c r="AQ58" s="32" t="str">
        <f>IFERROR(__xludf.DUMMYFUNCTION("IF('Résultats des tournois'!AP$2=0,"""",LET(
lastVal, INDEX(FILTER($B58:AP58, ISNUMBER($B58:AP58)), COUNTA(FILTER($B58:AP58, ISNUMBER($B58:AP58)))),
IFERROR(
IF('Résultats des tournois'!AP58="""", INDEX(FILTER($C58:AP58, ISNUMBER($C58:AP58)), COUNTA(FILTE"&amp;"R($C58:AP58, ISNUMBER($C58:AP58)))),
lastVal + 'K dynamique'!AP58 * ((SQRT('Résultats des tournois'!AP$2 + 1)/'Résultats des tournois'!AP58) - (1 / (1 + 10^((AP$103 - lastVal)/400)))))
)
))"),"")</f>
        <v/>
      </c>
      <c r="AR58" s="32" t="str">
        <f>IFERROR(__xludf.DUMMYFUNCTION("IF('Résultats des tournois'!AQ$2=0,"""",LET(
lastVal, INDEX(FILTER($B58:AQ58, ISNUMBER($B58:AQ58)), COUNTA(FILTER($B58:AQ58, ISNUMBER($B58:AQ58)))),
IFERROR(
IF('Résultats des tournois'!AQ58="""", INDEX(FILTER($C58:AQ58, ISNUMBER($C58:AQ58)), COUNTA(FILTE"&amp;"R($C58:AQ58, ISNUMBER($C58:AQ58)))),
lastVal + 'K dynamique'!AQ58 * ((SQRT('Résultats des tournois'!AQ$2 + 1)/'Résultats des tournois'!AQ58) - (1 / (1 + 10^((AQ$103 - lastVal)/400)))))
)
))"),"")</f>
        <v/>
      </c>
      <c r="AS58" s="32" t="str">
        <f>IFERROR(__xludf.DUMMYFUNCTION("IF('Résultats des tournois'!AR$2=0,"""",LET(
lastVal, INDEX(FILTER($B58:AR58, ISNUMBER($B58:AR58)), COUNTA(FILTER($B58:AR58, ISNUMBER($B58:AR58)))),
IFERROR(
IF('Résultats des tournois'!AR58="""", INDEX(FILTER($C58:AR58, ISNUMBER($C58:AR58)), COUNTA(FILTE"&amp;"R($C58:AR58, ISNUMBER($C58:AR58)))),
lastVal + 'K dynamique'!AR58 * ((SQRT('Résultats des tournois'!AR$2 + 1)/'Résultats des tournois'!AR58) - (1 / (1 + 10^((AR$103 - lastVal)/400)))))
)
))"),"")</f>
        <v/>
      </c>
      <c r="AT58" s="32" t="str">
        <f>IFERROR(__xludf.DUMMYFUNCTION("IF('Résultats des tournois'!AS$2=0,"""",LET(
lastVal, INDEX(FILTER($B58:AS58, ISNUMBER($B58:AS58)), COUNTA(FILTER($B58:AS58, ISNUMBER($B58:AS58)))),
IFERROR(
IF('Résultats des tournois'!AS58="""", INDEX(FILTER($C58:AS58, ISNUMBER($C58:AS58)), COUNTA(FILTE"&amp;"R($C58:AS58, ISNUMBER($C58:AS58)))),
lastVal + 'K dynamique'!AS58 * ((SQRT('Résultats des tournois'!AS$2 + 1)/'Résultats des tournois'!AS58) - (1 / (1 + 10^((AS$103 - lastVal)/400)))))
)
))"),"")</f>
        <v/>
      </c>
      <c r="AU58" s="32" t="str">
        <f>IFERROR(__xludf.DUMMYFUNCTION("IF('Résultats des tournois'!AT$2=0,"""",LET(
lastVal, INDEX(FILTER($B58:AT58, ISNUMBER($B58:AT58)), COUNTA(FILTER($B58:AT58, ISNUMBER($B58:AT58)))),
IFERROR(
IF('Résultats des tournois'!AT58="""", INDEX(FILTER($C58:AT58, ISNUMBER($C58:AT58)), COUNTA(FILTE"&amp;"R($C58:AT58, ISNUMBER($C58:AT58)))),
lastVal + 'K dynamique'!AT58 * ((SQRT('Résultats des tournois'!AT$2 + 1)/'Résultats des tournois'!AT58) - (1 / (1 + 10^((AT$103 - lastVal)/400)))))
)
))"),"")</f>
        <v/>
      </c>
      <c r="AV58" s="32" t="str">
        <f>IFERROR(__xludf.DUMMYFUNCTION("IF('Résultats des tournois'!AU$2=0,"""",LET(
lastVal, INDEX(FILTER($B58:AU58, ISNUMBER($B58:AU58)), COUNTA(FILTER($B58:AU58, ISNUMBER($B58:AU58)))),
IFERROR(
IF('Résultats des tournois'!AU58="""", INDEX(FILTER($C58:AU58, ISNUMBER($C58:AU58)), COUNTA(FILTE"&amp;"R($C58:AU58, ISNUMBER($C58:AU58)))),
lastVal + 'K dynamique'!AU58 * ((SQRT('Résultats des tournois'!AU$2 + 1)/'Résultats des tournois'!AU58) - (1 / (1 + 10^((AU$103 - lastVal)/400)))))
)
))"),"")</f>
        <v/>
      </c>
      <c r="AW58" s="32" t="str">
        <f>IFERROR(__xludf.DUMMYFUNCTION("IF('Résultats des tournois'!AV$2=0,"""",LET(
lastVal, INDEX(FILTER($B58:AV58, ISNUMBER($B58:AV58)), COUNTA(FILTER($B58:AV58, ISNUMBER($B58:AV58)))),
IFERROR(
IF('Résultats des tournois'!AV58="""", INDEX(FILTER($C58:AV58, ISNUMBER($C58:AV58)), COUNTA(FILTE"&amp;"R($C58:AV58, ISNUMBER($C58:AV58)))),
lastVal + 'K dynamique'!AV58 * ((SQRT('Résultats des tournois'!AV$2 + 1)/'Résultats des tournois'!AV58) - (1 / (1 + 10^((AV$103 - lastVal)/400)))))
)
))"),"")</f>
        <v/>
      </c>
      <c r="AX58" s="32" t="str">
        <f>IFERROR(__xludf.DUMMYFUNCTION("IF('Résultats des tournois'!AW$2=0,"""",LET(
lastVal, INDEX(FILTER($B58:AW58, ISNUMBER($B58:AW58)), COUNTA(FILTER($B58:AW58, ISNUMBER($B58:AW58)))),
IFERROR(
IF('Résultats des tournois'!AW58="""", INDEX(FILTER($C58:AW58, ISNUMBER($C58:AW58)), COUNTA(FILTE"&amp;"R($C58:AW58, ISNUMBER($C58:AW58)))),
lastVal + 'K dynamique'!AW58 * ((SQRT('Résultats des tournois'!AW$2 + 1)/'Résultats des tournois'!AW58) - (1 / (1 + 10^((AW$103 - lastVal)/400)))))
)
))"),"")</f>
        <v/>
      </c>
      <c r="AY58" s="32" t="str">
        <f>IFERROR(__xludf.DUMMYFUNCTION("IF('Résultats des tournois'!AX$2=0,"""",LET(
lastVal, INDEX(FILTER($B58:AX58, ISNUMBER($B58:AX58)), COUNTA(FILTER($B58:AX58, ISNUMBER($B58:AX58)))),
IFERROR(
IF('Résultats des tournois'!AX58="""", INDEX(FILTER($C58:AX58, ISNUMBER($C58:AX58)), COUNTA(FILTE"&amp;"R($C58:AX58, ISNUMBER($C58:AX58)))),
lastVal + 'K dynamique'!AX58 * ((SQRT('Résultats des tournois'!AX$2 + 1)/'Résultats des tournois'!AX58) - (1 / (1 + 10^((AX$103 - lastVal)/400)))))
)
))"),"")</f>
        <v/>
      </c>
      <c r="AZ58" s="4" t="str">
        <f t="array" ref="AZ58">IF(MAX(($C58:AY58&lt;&gt;"")*COLUMN($C58:AY58))=0,"",INDEX($C58:AY58,1,MAX(($C58:AY58&lt;&gt;"")*COLUMN($C58:AY58))-COLUMN($C58)+1))</f>
        <v/>
      </c>
      <c r="BA58" s="33" t="str">
        <f t="shared" si="1"/>
        <v/>
      </c>
    </row>
    <row r="59" ht="14.25" customHeight="1">
      <c r="A59" s="32" t="str">
        <f>IF('Résultats des tournois'!A59="","",'Résultats des tournois'!A59)</f>
        <v/>
      </c>
      <c r="B59" s="32">
        <v>1500.0</v>
      </c>
      <c r="C59" s="32" t="str">
        <f>IF('Résultats des tournois'!B59="","",B59+'K dynamique'!B59*((SQRT('Résultats des tournois'!B$2+1)/'Résultats des tournois'!B59)-(1/(1+10^((B59-B59)/400)))))</f>
        <v/>
      </c>
      <c r="D59" s="32" t="str">
        <f>IFERROR(__xludf.DUMMYFUNCTION("IF('Résultats des tournois'!C$2=0,"""",LET(
lastVal, INDEX(FILTER($B59:C59, ISNUMBER($B59:C59)), COUNTA(FILTER($B59:C59, ISNUMBER($B59:C59)))),
IFERROR(
IF('Résultats des tournois'!C59="""", INDEX(FILTER($C59:C59, ISNUMBER($C59:C59)), COUNTA(FILTER($C59:C"&amp;"59, ISNUMBER($C59:C59)))),
lastVal + 'K dynamique'!C59 * ((SQRT('Résultats des tournois'!C$2 + 1)/'Résultats des tournois'!C59) - (1 / (1 + 10^((C$103 - lastVal)/400)))))
)
))"),"")</f>
        <v/>
      </c>
      <c r="E59" s="32" t="str">
        <f>IFERROR(__xludf.DUMMYFUNCTION("IF('Résultats des tournois'!D$2=0,"""",LET(
lastVal, INDEX(FILTER($B59:D59, ISNUMBER($B59:D59)), COUNTA(FILTER($B59:D59, ISNUMBER($B59:D59)))),
IFERROR(
IF('Résultats des tournois'!D59="""", INDEX(FILTER($C59:D59, ISNUMBER($C59:D59)), COUNTA(FILTER($C59:D"&amp;"59, ISNUMBER($C59:D59)))),
lastVal + 'K dynamique'!D59 * ((SQRT('Résultats des tournois'!D$2 + 1)/'Résultats des tournois'!D59) - (1 / (1 + 10^((D$103 - lastVal)/400)))))
)
))"),"")</f>
        <v/>
      </c>
      <c r="F59" s="32" t="str">
        <f>IFERROR(__xludf.DUMMYFUNCTION("IF('Résultats des tournois'!E$2=0,"""",LET(
lastVal, INDEX(FILTER($B59:E59, ISNUMBER($B59:E59)), COUNTA(FILTER($B59:E59, ISNUMBER($B59:E59)))),
IFERROR(
IF('Résultats des tournois'!E59="""", INDEX(FILTER($C59:E59, ISNUMBER($C59:E59)), COUNTA(FILTER($C59:E"&amp;"59, ISNUMBER($C59:E59)))),
lastVal + 'K dynamique'!E59 * ((SQRT('Résultats des tournois'!E$2 + 1)/'Résultats des tournois'!E59) - (1 / (1 + 10^((E$103 - lastVal)/400)))))
)
))"),"")</f>
        <v/>
      </c>
      <c r="G59" s="32" t="str">
        <f>IFERROR(__xludf.DUMMYFUNCTION("IF('Résultats des tournois'!F$2=0,"""",LET(
lastVal, INDEX(FILTER($B59:F59, ISNUMBER($B59:F59)), COUNTA(FILTER($B59:F59, ISNUMBER($B59:F59)))),
IFERROR(
IF('Résultats des tournois'!F59="""", INDEX(FILTER($C59:F59, ISNUMBER($C59:F59)), COUNTA(FILTER($C59:F"&amp;"59, ISNUMBER($C59:F59)))),
lastVal + 'K dynamique'!F59 * ((SQRT('Résultats des tournois'!F$2 + 1)/'Résultats des tournois'!F59) - (1 / (1 + 10^((F$103 - lastVal)/400)))))
)
))"),"")</f>
        <v/>
      </c>
      <c r="H59" s="32" t="str">
        <f>IFERROR(__xludf.DUMMYFUNCTION("IF('Résultats des tournois'!G$2=0,"""",LET(
lastVal, INDEX(FILTER($B59:G59, ISNUMBER($B59:G59)), COUNTA(FILTER($B59:G59, ISNUMBER($B59:G59)))),
IFERROR(
IF('Résultats des tournois'!G59="""", INDEX(FILTER($C59:G59, ISNUMBER($C59:G59)), COUNTA(FILTER($C59:G"&amp;"59, ISNUMBER($C59:G59)))),
lastVal + 'K dynamique'!G59 * ((SQRT('Résultats des tournois'!G$2 + 1)/'Résultats des tournois'!G59) - (1 / (1 + 10^((G$103 - lastVal)/400)))))
)
))"),"")</f>
        <v/>
      </c>
      <c r="I59" s="32" t="str">
        <f>IFERROR(__xludf.DUMMYFUNCTION("IF('Résultats des tournois'!H$2=0,"""",LET(
lastVal, INDEX(FILTER($B59:H59, ISNUMBER($B59:H59)), COUNTA(FILTER($B59:H59, ISNUMBER($B59:H59)))),
IFERROR(
IF('Résultats des tournois'!H59="""", INDEX(FILTER($C59:H59, ISNUMBER($C59:H59)), COUNTA(FILTER($C59:H"&amp;"59, ISNUMBER($C59:H59)))),
lastVal + 'K dynamique'!H59 * ((SQRT('Résultats des tournois'!H$2 + 1)/'Résultats des tournois'!H59) - (1 / (1 + 10^((H$103 - lastVal)/400)))))
)
))"),"")</f>
        <v/>
      </c>
      <c r="J59" s="32" t="str">
        <f>IFERROR(__xludf.DUMMYFUNCTION("IF('Résultats des tournois'!I$2=0,"""",LET(
lastVal, INDEX(FILTER($B59:I59, ISNUMBER($B59:I59)), COUNTA(FILTER($B59:I59, ISNUMBER($B59:I59)))),
IFERROR(
IF('Résultats des tournois'!I59="""", INDEX(FILTER($C59:I59, ISNUMBER($C59:I59)), COUNTA(FILTER($C59:I"&amp;"59, ISNUMBER($C59:I59)))),
lastVal + 'K dynamique'!I59 * ((SQRT('Résultats des tournois'!I$2 + 1)/'Résultats des tournois'!I59) - (1 / (1 + 10^((I$103 - lastVal)/400)))))
)
))"),"")</f>
        <v/>
      </c>
      <c r="K59" s="32" t="str">
        <f>IFERROR(__xludf.DUMMYFUNCTION("IF('Résultats des tournois'!J$2=0,"""",LET(
lastVal, INDEX(FILTER($B59:J59, ISNUMBER($B59:J59)), COUNTA(FILTER($B59:J59, ISNUMBER($B59:J59)))),
IFERROR(
IF('Résultats des tournois'!J59="""", INDEX(FILTER($C59:J59, ISNUMBER($C59:J59)), COUNTA(FILTER($C59:J"&amp;"59, ISNUMBER($C59:J59)))),
lastVal + 'K dynamique'!J59 * ((SQRT('Résultats des tournois'!J$2 + 1)/'Résultats des tournois'!J59) - (1 / (1 + 10^((J$103 - lastVal)/400)))))
)
))"),"")</f>
        <v/>
      </c>
      <c r="L59" s="32" t="str">
        <f>IFERROR(__xludf.DUMMYFUNCTION("IF('Résultats des tournois'!K$2=0,"""",LET(
lastVal, INDEX(FILTER($B59:K59, ISNUMBER($B59:K59)), COUNTA(FILTER($B59:K59, ISNUMBER($B59:K59)))),
IFERROR(
IF('Résultats des tournois'!K59="""", INDEX(FILTER($C59:K59, ISNUMBER($C59:K59)), COUNTA(FILTER($C59:K"&amp;"59, ISNUMBER($C59:K59)))),
lastVal + 'K dynamique'!K59 * ((SQRT('Résultats des tournois'!K$2 + 1)/'Résultats des tournois'!K59) - (1 / (1 + 10^((K$103 - lastVal)/400)))))
)
))"),"")</f>
        <v/>
      </c>
      <c r="M59" s="32" t="str">
        <f>IFERROR(__xludf.DUMMYFUNCTION("IF('Résultats des tournois'!L$2=0,"""",LET(
lastVal, INDEX(FILTER($B59:L59, ISNUMBER($B59:L59)), COUNTA(FILTER($B59:L59, ISNUMBER($B59:L59)))),
IFERROR(
IF('Résultats des tournois'!L59="""", INDEX(FILTER($C59:L59, ISNUMBER($C59:L59)), COUNTA(FILTER($C59:L"&amp;"59, ISNUMBER($C59:L59)))),
lastVal + 'K dynamique'!L59 * ((SQRT('Résultats des tournois'!L$2 + 1)/'Résultats des tournois'!L59) - (1 / (1 + 10^((L$103 - lastVal)/400)))))
)
))"),"")</f>
        <v/>
      </c>
      <c r="N59" s="32" t="str">
        <f>IFERROR(__xludf.DUMMYFUNCTION("IF('Résultats des tournois'!M$2=0,"""",LET(
lastVal, INDEX(FILTER($B59:M59, ISNUMBER($B59:M59)), COUNTA(FILTER($B59:M59, ISNUMBER($B59:M59)))),
IFERROR(
IF('Résultats des tournois'!M59="""", INDEX(FILTER($C59:M59, ISNUMBER($C59:M59)), COUNTA(FILTER($C59:M"&amp;"59, ISNUMBER($C59:M59)))),
lastVal + 'K dynamique'!M59 * ((SQRT('Résultats des tournois'!M$2 + 1)/'Résultats des tournois'!M59) - (1 / (1 + 10^((M$103 - lastVal)/400)))))
)
))"),"")</f>
        <v/>
      </c>
      <c r="O59" s="32" t="str">
        <f>IFERROR(__xludf.DUMMYFUNCTION("IF('Résultats des tournois'!N$2=0,"""",LET(
lastVal, INDEX(FILTER($B59:N59, ISNUMBER($B59:N59)), COUNTA(FILTER($B59:N59, ISNUMBER($B59:N59)))),
IFERROR(
IF('Résultats des tournois'!N59="""", INDEX(FILTER($C59:N59, ISNUMBER($C59:N59)), COUNTA(FILTER($C59:N"&amp;"59, ISNUMBER($C59:N59)))),
lastVal + 'K dynamique'!N59 * ((SQRT('Résultats des tournois'!N$2 + 1)/'Résultats des tournois'!N59) - (1 / (1 + 10^((N$103 - lastVal)/400)))))
)
))"),"")</f>
        <v/>
      </c>
      <c r="P59" s="32" t="str">
        <f>IFERROR(__xludf.DUMMYFUNCTION("IF('Résultats des tournois'!O$2=0,"""",LET(
lastVal, INDEX(FILTER($B59:O59, ISNUMBER($B59:O59)), COUNTA(FILTER($B59:O59, ISNUMBER($B59:O59)))),
IFERROR(
IF('Résultats des tournois'!O59="""", INDEX(FILTER($C59:O59, ISNUMBER($C59:O59)), COUNTA(FILTER($C59:O"&amp;"59, ISNUMBER($C59:O59)))),
lastVal + 'K dynamique'!O59 * ((SQRT('Résultats des tournois'!O$2 + 1)/'Résultats des tournois'!O59) - (1 / (1 + 10^((O$103 - lastVal)/400)))))
)
))"),"")</f>
        <v/>
      </c>
      <c r="Q59" s="32" t="str">
        <f>IFERROR(__xludf.DUMMYFUNCTION("IF('Résultats des tournois'!P$2=0,"""",LET(
lastVal, INDEX(FILTER($B59:P59, ISNUMBER($B59:P59)), COUNTA(FILTER($B59:P59, ISNUMBER($B59:P59)))),
IFERROR(
IF('Résultats des tournois'!P59="""", INDEX(FILTER($C59:P59, ISNUMBER($C59:P59)), COUNTA(FILTER($C59:P"&amp;"59, ISNUMBER($C59:P59)))),
lastVal + 'K dynamique'!P59 * ((SQRT('Résultats des tournois'!P$2 + 1)/'Résultats des tournois'!P59) - (1 / (1 + 10^((P$103 - lastVal)/400)))))
)
))"),"")</f>
        <v/>
      </c>
      <c r="R59" s="32" t="str">
        <f>IFERROR(__xludf.DUMMYFUNCTION("IF('Résultats des tournois'!Q$2=0,"""",LET(
lastVal, INDEX(FILTER($B59:Q59, ISNUMBER($B59:Q59)), COUNTA(FILTER($B59:Q59, ISNUMBER($B59:Q59)))),
IFERROR(
IF('Résultats des tournois'!Q59="""", INDEX(FILTER($C59:Q59, ISNUMBER($C59:Q59)), COUNTA(FILTER($C59:Q"&amp;"59, ISNUMBER($C59:Q59)))),
lastVal + 'K dynamique'!Q59 * ((SQRT('Résultats des tournois'!Q$2 + 1)/'Résultats des tournois'!Q59) - (1 / (1 + 10^((Q$103 - lastVal)/400)))))
)
))"),"")</f>
        <v/>
      </c>
      <c r="S59" s="32" t="str">
        <f>IFERROR(__xludf.DUMMYFUNCTION("IF('Résultats des tournois'!R$2=0,"""",LET(
lastVal, INDEX(FILTER($B59:R59, ISNUMBER($B59:R59)), COUNTA(FILTER($B59:R59, ISNUMBER($B59:R59)))),
IFERROR(
IF('Résultats des tournois'!R59="""", INDEX(FILTER($C59:R59, ISNUMBER($C59:R59)), COUNTA(FILTER($C59:R"&amp;"59, ISNUMBER($C59:R59)))),
lastVal + 'K dynamique'!R59 * ((SQRT('Résultats des tournois'!R$2 + 1)/'Résultats des tournois'!R59) - (1 / (1 + 10^((R$103 - lastVal)/400)))))
)
))"),"")</f>
        <v/>
      </c>
      <c r="T59" s="32" t="str">
        <f>IFERROR(__xludf.DUMMYFUNCTION("IF('Résultats des tournois'!S$2=0,"""",LET(
lastVal, INDEX(FILTER($B59:S59, ISNUMBER($B59:S59)), COUNTA(FILTER($B59:S59, ISNUMBER($B59:S59)))),
IFERROR(
IF('Résultats des tournois'!S59="""", INDEX(FILTER($C59:S59, ISNUMBER($C59:S59)), COUNTA(FILTER($C59:S"&amp;"59, ISNUMBER($C59:S59)))),
lastVal + 'K dynamique'!S59 * ((SQRT('Résultats des tournois'!S$2 + 1)/'Résultats des tournois'!S59) - (1 / (1 + 10^((S$103 - lastVal)/400)))))
)
))"),"")</f>
        <v/>
      </c>
      <c r="U59" s="32" t="str">
        <f>IFERROR(__xludf.DUMMYFUNCTION("IF('Résultats des tournois'!T$2=0,"""",LET(
lastVal, INDEX(FILTER($B59:T59, ISNUMBER($B59:T59)), COUNTA(FILTER($B59:T59, ISNUMBER($B59:T59)))),
IFERROR(
IF('Résultats des tournois'!T59="""", INDEX(FILTER($C59:T59, ISNUMBER($C59:T59)), COUNTA(FILTER($C59:T"&amp;"59, ISNUMBER($C59:T59)))),
lastVal + 'K dynamique'!T59 * ((SQRT('Résultats des tournois'!T$2 + 1)/'Résultats des tournois'!T59) - (1 / (1 + 10^((T$103 - lastVal)/400)))))
)
))"),"")</f>
        <v/>
      </c>
      <c r="V59" s="32" t="str">
        <f>IFERROR(__xludf.DUMMYFUNCTION("IF('Résultats des tournois'!U$2=0,"""",LET(
lastVal, INDEX(FILTER($B59:U59, ISNUMBER($B59:U59)), COUNTA(FILTER($B59:U59, ISNUMBER($B59:U59)))),
IFERROR(
IF('Résultats des tournois'!U59="""", INDEX(FILTER($C59:U59, ISNUMBER($C59:U59)), COUNTA(FILTER($C59:U"&amp;"59, ISNUMBER($C59:U59)))),
lastVal + 'K dynamique'!U59 * ((SQRT('Résultats des tournois'!U$2 + 1)/'Résultats des tournois'!U59) - (1 / (1 + 10^((U$103 - lastVal)/400)))))
)
))"),"")</f>
        <v/>
      </c>
      <c r="W59" s="32" t="str">
        <f>IFERROR(__xludf.DUMMYFUNCTION("IF('Résultats des tournois'!V$2=0,"""",LET(
lastVal, INDEX(FILTER($B59:V59, ISNUMBER($B59:V59)), COUNTA(FILTER($B59:V59, ISNUMBER($B59:V59)))),
IFERROR(
IF('Résultats des tournois'!V59="""", INDEX(FILTER($C59:V59, ISNUMBER($C59:V59)), COUNTA(FILTER($C59:V"&amp;"59, ISNUMBER($C59:V59)))),
lastVal + 'K dynamique'!V59 * ((SQRT('Résultats des tournois'!V$2 + 1)/'Résultats des tournois'!V59) - (1 / (1 + 10^((V$103 - lastVal)/400)))))
)
))"),"")</f>
        <v/>
      </c>
      <c r="X59" s="32" t="str">
        <f>IFERROR(__xludf.DUMMYFUNCTION("IF('Résultats des tournois'!W$2=0,"""",LET(
lastVal, INDEX(FILTER($B59:W59, ISNUMBER($B59:W59)), COUNTA(FILTER($B59:W59, ISNUMBER($B59:W59)))),
IFERROR(
IF('Résultats des tournois'!W59="""", INDEX(FILTER($C59:W59, ISNUMBER($C59:W59)), COUNTA(FILTER($C59:W"&amp;"59, ISNUMBER($C59:W59)))),
lastVal + 'K dynamique'!W59 * ((SQRT('Résultats des tournois'!W$2 + 1)/'Résultats des tournois'!W59) - (1 / (1 + 10^((W$103 - lastVal)/400)))))
)
))"),"")</f>
        <v/>
      </c>
      <c r="Y59" s="32" t="str">
        <f>IFERROR(__xludf.DUMMYFUNCTION("IF('Résultats des tournois'!X$2=0,"""",LET(
lastVal, INDEX(FILTER($B59:X59, ISNUMBER($B59:X59)), COUNTA(FILTER($B59:X59, ISNUMBER($B59:X59)))),
IFERROR(
IF('Résultats des tournois'!X59="""", INDEX(FILTER($C59:X59, ISNUMBER($C59:X59)), COUNTA(FILTER($C59:X"&amp;"59, ISNUMBER($C59:X59)))),
lastVal + 'K dynamique'!X59 * ((SQRT('Résultats des tournois'!X$2 + 1)/'Résultats des tournois'!X59) - (1 / (1 + 10^((X$103 - lastVal)/400)))))
)
))"),"")</f>
        <v/>
      </c>
      <c r="Z59" s="32" t="str">
        <f>IFERROR(__xludf.DUMMYFUNCTION("IF('Résultats des tournois'!Y$2=0,"""",LET(
lastVal, INDEX(FILTER($B59:Y59, ISNUMBER($B59:Y59)), COUNTA(FILTER($B59:Y59, ISNUMBER($B59:Y59)))),
IFERROR(
IF('Résultats des tournois'!Y59="""", INDEX(FILTER($C59:Y59, ISNUMBER($C59:Y59)), COUNTA(FILTER($C59:Y"&amp;"59, ISNUMBER($C59:Y59)))),
lastVal + 'K dynamique'!Y59 * ((SQRT('Résultats des tournois'!Y$2 + 1)/'Résultats des tournois'!Y59) - (1 / (1 + 10^((Y$103 - lastVal)/400)))))
)
))"),"")</f>
        <v/>
      </c>
      <c r="AA59" s="32" t="str">
        <f>IFERROR(__xludf.DUMMYFUNCTION("IF('Résultats des tournois'!Z$2=0,"""",LET(
lastVal, INDEX(FILTER($B59:Z59, ISNUMBER($B59:Z59)), COUNTA(FILTER($B59:Z59, ISNUMBER($B59:Z59)))),
IFERROR(
IF('Résultats des tournois'!Z59="""", INDEX(FILTER($C59:Z59, ISNUMBER($C59:Z59)), COUNTA(FILTER($C59:Z"&amp;"59, ISNUMBER($C59:Z59)))),
lastVal + 'K dynamique'!Z59 * ((SQRT('Résultats des tournois'!Z$2 + 1)/'Résultats des tournois'!Z59) - (1 / (1 + 10^((Z$103 - lastVal)/400)))))
)
))"),"")</f>
        <v/>
      </c>
      <c r="AB59" s="32" t="str">
        <f>IFERROR(__xludf.DUMMYFUNCTION("IF('Résultats des tournois'!AA$2=0,"""",LET(
lastVal, INDEX(FILTER($B59:AA59, ISNUMBER($B59:AA59)), COUNTA(FILTER($B59:AA59, ISNUMBER($B59:AA59)))),
IFERROR(
IF('Résultats des tournois'!AA59="""", INDEX(FILTER($C59:AA59, ISNUMBER($C59:AA59)), COUNTA(FILTE"&amp;"R($C59:AA59, ISNUMBER($C59:AA59)))),
lastVal + 'K dynamique'!AA59 * ((SQRT('Résultats des tournois'!AA$2 + 1)/'Résultats des tournois'!AA59) - (1 / (1 + 10^((AA$103 - lastVal)/400)))))
)
))"),"")</f>
        <v/>
      </c>
      <c r="AC59" s="32" t="str">
        <f>IFERROR(__xludf.DUMMYFUNCTION("IF('Résultats des tournois'!AB$2=0,"""",LET(
lastVal, INDEX(FILTER($B59:AB59, ISNUMBER($B59:AB59)), COUNTA(FILTER($B59:AB59, ISNUMBER($B59:AB59)))),
IFERROR(
IF('Résultats des tournois'!AB59="""", INDEX(FILTER($C59:AB59, ISNUMBER($C59:AB59)), COUNTA(FILTE"&amp;"R($C59:AB59, ISNUMBER($C59:AB59)))),
lastVal + 'K dynamique'!AB59 * ((SQRT('Résultats des tournois'!AB$2 + 1)/'Résultats des tournois'!AB59) - (1 / (1 + 10^((AB$103 - lastVal)/400)))))
)
))"),"")</f>
        <v/>
      </c>
      <c r="AD59" s="32" t="str">
        <f>IFERROR(__xludf.DUMMYFUNCTION("IF('Résultats des tournois'!AC$2=0,"""",LET(
lastVal, INDEX(FILTER($B59:AC59, ISNUMBER($B59:AC59)), COUNTA(FILTER($B59:AC59, ISNUMBER($B59:AC59)))),
IFERROR(
IF('Résultats des tournois'!AC59="""", INDEX(FILTER($C59:AC59, ISNUMBER($C59:AC59)), COUNTA(FILTE"&amp;"R($C59:AC59, ISNUMBER($C59:AC59)))),
lastVal + 'K dynamique'!AC59 * ((SQRT('Résultats des tournois'!AC$2 + 1)/'Résultats des tournois'!AC59) - (1 / (1 + 10^((AC$103 - lastVal)/400)))))
)
))"),"")</f>
        <v/>
      </c>
      <c r="AE59" s="32" t="str">
        <f>IFERROR(__xludf.DUMMYFUNCTION("IF('Résultats des tournois'!AD$2=0,"""",LET(
lastVal, INDEX(FILTER($B59:AD59, ISNUMBER($B59:AD59)), COUNTA(FILTER($B59:AD59, ISNUMBER($B59:AD59)))),
IFERROR(
IF('Résultats des tournois'!AD59="""", INDEX(FILTER($C59:AD59, ISNUMBER($C59:AD59)), COUNTA(FILTE"&amp;"R($C59:AD59, ISNUMBER($C59:AD59)))),
lastVal + 'K dynamique'!AD59 * ((SQRT('Résultats des tournois'!AD$2 + 1)/'Résultats des tournois'!AD59) - (1 / (1 + 10^((AD$103 - lastVal)/400)))))
)
))"),"")</f>
        <v/>
      </c>
      <c r="AF59" s="32" t="str">
        <f>IFERROR(__xludf.DUMMYFUNCTION("IF('Résultats des tournois'!AE$2=0,"""",LET(
lastVal, INDEX(FILTER($B59:AE59, ISNUMBER($B59:AE59)), COUNTA(FILTER($B59:AE59, ISNUMBER($B59:AE59)))),
IFERROR(
IF('Résultats des tournois'!AE59="""", INDEX(FILTER($C59:AE59, ISNUMBER($C59:AE59)), COUNTA(FILTE"&amp;"R($C59:AE59, ISNUMBER($C59:AE59)))),
lastVal + 'K dynamique'!AE59 * ((SQRT('Résultats des tournois'!AE$2 + 1)/'Résultats des tournois'!AE59) - (1 / (1 + 10^((AE$103 - lastVal)/400)))))
)
))"),"")</f>
        <v/>
      </c>
      <c r="AG59" s="32" t="str">
        <f>IFERROR(__xludf.DUMMYFUNCTION("IF('Résultats des tournois'!AF$2=0,"""",LET(
lastVal, INDEX(FILTER($B59:AF59, ISNUMBER($B59:AF59)), COUNTA(FILTER($B59:AF59, ISNUMBER($B59:AF59)))),
IFERROR(
IF('Résultats des tournois'!AF59="""", INDEX(FILTER($C59:AF59, ISNUMBER($C59:AF59)), COUNTA(FILTE"&amp;"R($C59:AF59, ISNUMBER($C59:AF59)))),
lastVal + 'K dynamique'!AF59 * ((SQRT('Résultats des tournois'!AF$2 + 1)/'Résultats des tournois'!AF59) - (1 / (1 + 10^((AF$103 - lastVal)/400)))))
)
))"),"")</f>
        <v/>
      </c>
      <c r="AH59" s="32" t="str">
        <f>IFERROR(__xludf.DUMMYFUNCTION("IF('Résultats des tournois'!AG$2=0,"""",LET(
lastVal, INDEX(FILTER($B59:AG59, ISNUMBER($B59:AG59)), COUNTA(FILTER($B59:AG59, ISNUMBER($B59:AG59)))),
IFERROR(
IF('Résultats des tournois'!AG59="""", INDEX(FILTER($C59:AG59, ISNUMBER($C59:AG59)), COUNTA(FILTE"&amp;"R($C59:AG59, ISNUMBER($C59:AG59)))),
lastVal + 'K dynamique'!AG59 * ((SQRT('Résultats des tournois'!AG$2 + 1)/'Résultats des tournois'!AG59) - (1 / (1 + 10^((AG$103 - lastVal)/400)))))
)
))"),"")</f>
        <v/>
      </c>
      <c r="AI59" s="32" t="str">
        <f>IFERROR(__xludf.DUMMYFUNCTION("IF('Résultats des tournois'!AH$2=0,"""",LET(
lastVal, INDEX(FILTER($B59:AH59, ISNUMBER($B59:AH59)), COUNTA(FILTER($B59:AH59, ISNUMBER($B59:AH59)))),
IFERROR(
IF('Résultats des tournois'!AH59="""", INDEX(FILTER($C59:AH59, ISNUMBER($C59:AH59)), COUNTA(FILTE"&amp;"R($C59:AH59, ISNUMBER($C59:AH59)))),
lastVal + 'K dynamique'!AH59 * ((SQRT('Résultats des tournois'!AH$2 + 1)/'Résultats des tournois'!AH59) - (1 / (1 + 10^((AH$103 - lastVal)/400)))))
)
))"),"")</f>
        <v/>
      </c>
      <c r="AJ59" s="32" t="str">
        <f>IFERROR(__xludf.DUMMYFUNCTION("IF('Résultats des tournois'!AI$2=0,"""",LET(
lastVal, INDEX(FILTER($B59:AI59, ISNUMBER($B59:AI59)), COUNTA(FILTER($B59:AI59, ISNUMBER($B59:AI59)))),
IFERROR(
IF('Résultats des tournois'!AI59="""", INDEX(FILTER($C59:AI59, ISNUMBER($C59:AI59)), COUNTA(FILTE"&amp;"R($C59:AI59, ISNUMBER($C59:AI59)))),
lastVal + 'K dynamique'!AI59 * ((SQRT('Résultats des tournois'!AI$2 + 1)/'Résultats des tournois'!AI59) - (1 / (1 + 10^((AI$103 - lastVal)/400)))))
)
))"),"")</f>
        <v/>
      </c>
      <c r="AK59" s="32" t="str">
        <f>IFERROR(__xludf.DUMMYFUNCTION("IF('Résultats des tournois'!AJ$2=0,"""",LET(
lastVal, INDEX(FILTER($B59:AJ59, ISNUMBER($B59:AJ59)), COUNTA(FILTER($B59:AJ59, ISNUMBER($B59:AJ59)))),
IFERROR(
IF('Résultats des tournois'!AJ59="""", INDEX(FILTER($C59:AJ59, ISNUMBER($C59:AJ59)), COUNTA(FILTE"&amp;"R($C59:AJ59, ISNUMBER($C59:AJ59)))),
lastVal + 'K dynamique'!AJ59 * ((SQRT('Résultats des tournois'!AJ$2 + 1)/'Résultats des tournois'!AJ59) - (1 / (1 + 10^((AJ$103 - lastVal)/400)))))
)
))"),"")</f>
        <v/>
      </c>
      <c r="AL59" s="32" t="str">
        <f>IFERROR(__xludf.DUMMYFUNCTION("IF('Résultats des tournois'!AK$2=0,"""",LET(
lastVal, INDEX(FILTER($B59:AK59, ISNUMBER($B59:AK59)), COUNTA(FILTER($B59:AK59, ISNUMBER($B59:AK59)))),
IFERROR(
IF('Résultats des tournois'!AK59="""", INDEX(FILTER($C59:AK59, ISNUMBER($C59:AK59)), COUNTA(FILTE"&amp;"R($C59:AK59, ISNUMBER($C59:AK59)))),
lastVal + 'K dynamique'!AK59 * ((SQRT('Résultats des tournois'!AK$2 + 1)/'Résultats des tournois'!AK59) - (1 / (1 + 10^((AK$103 - lastVal)/400)))))
)
))"),"")</f>
        <v/>
      </c>
      <c r="AM59" s="32" t="str">
        <f>IFERROR(__xludf.DUMMYFUNCTION("IF('Résultats des tournois'!AL$2=0,"""",LET(
lastVal, INDEX(FILTER($B59:AL59, ISNUMBER($B59:AL59)), COUNTA(FILTER($B59:AL59, ISNUMBER($B59:AL59)))),
IFERROR(
IF('Résultats des tournois'!AL59="""", INDEX(FILTER($C59:AL59, ISNUMBER($C59:AL59)), COUNTA(FILTE"&amp;"R($C59:AL59, ISNUMBER($C59:AL59)))),
lastVal + 'K dynamique'!AL59 * ((SQRT('Résultats des tournois'!AL$2 + 1)/'Résultats des tournois'!AL59) - (1 / (1 + 10^((AL$103 - lastVal)/400)))))
)
))"),"")</f>
        <v/>
      </c>
      <c r="AN59" s="32" t="str">
        <f>IFERROR(__xludf.DUMMYFUNCTION("IF('Résultats des tournois'!AM$2=0,"""",LET(
lastVal, INDEX(FILTER($B59:AM59, ISNUMBER($B59:AM59)), COUNTA(FILTER($B59:AM59, ISNUMBER($B59:AM59)))),
IFERROR(
IF('Résultats des tournois'!AM59="""", INDEX(FILTER($C59:AM59, ISNUMBER($C59:AM59)), COUNTA(FILTE"&amp;"R($C59:AM59, ISNUMBER($C59:AM59)))),
lastVal + 'K dynamique'!AM59 * ((SQRT('Résultats des tournois'!AM$2 + 1)/'Résultats des tournois'!AM59) - (1 / (1 + 10^((AM$103 - lastVal)/400)))))
)
))"),"")</f>
        <v/>
      </c>
      <c r="AO59" s="32" t="str">
        <f>IFERROR(__xludf.DUMMYFUNCTION("IF('Résultats des tournois'!AN$2=0,"""",LET(
lastVal, INDEX(FILTER($B59:AN59, ISNUMBER($B59:AN59)), COUNTA(FILTER($B59:AN59, ISNUMBER($B59:AN59)))),
IFERROR(
IF('Résultats des tournois'!AN59="""", INDEX(FILTER($C59:AN59, ISNUMBER($C59:AN59)), COUNTA(FILTE"&amp;"R($C59:AN59, ISNUMBER($C59:AN59)))),
lastVal + 'K dynamique'!AN59 * ((SQRT('Résultats des tournois'!AN$2 + 1)/'Résultats des tournois'!AN59) - (1 / (1 + 10^((AN$103 - lastVal)/400)))))
)
))"),"")</f>
        <v/>
      </c>
      <c r="AP59" s="32" t="str">
        <f>IFERROR(__xludf.DUMMYFUNCTION("IF('Résultats des tournois'!AO$2=0,"""",LET(
lastVal, INDEX(FILTER($B59:AO59, ISNUMBER($B59:AO59)), COUNTA(FILTER($B59:AO59, ISNUMBER($B59:AO59)))),
IFERROR(
IF('Résultats des tournois'!AO59="""", INDEX(FILTER($C59:AO59, ISNUMBER($C59:AO59)), COUNTA(FILTE"&amp;"R($C59:AO59, ISNUMBER($C59:AO59)))),
lastVal + 'K dynamique'!AO59 * ((SQRT('Résultats des tournois'!AO$2 + 1)/'Résultats des tournois'!AO59) - (1 / (1 + 10^((AO$103 - lastVal)/400)))))
)
))"),"")</f>
        <v/>
      </c>
      <c r="AQ59" s="32" t="str">
        <f>IFERROR(__xludf.DUMMYFUNCTION("IF('Résultats des tournois'!AP$2=0,"""",LET(
lastVal, INDEX(FILTER($B59:AP59, ISNUMBER($B59:AP59)), COUNTA(FILTER($B59:AP59, ISNUMBER($B59:AP59)))),
IFERROR(
IF('Résultats des tournois'!AP59="""", INDEX(FILTER($C59:AP59, ISNUMBER($C59:AP59)), COUNTA(FILTE"&amp;"R($C59:AP59, ISNUMBER($C59:AP59)))),
lastVal + 'K dynamique'!AP59 * ((SQRT('Résultats des tournois'!AP$2 + 1)/'Résultats des tournois'!AP59) - (1 / (1 + 10^((AP$103 - lastVal)/400)))))
)
))"),"")</f>
        <v/>
      </c>
      <c r="AR59" s="32" t="str">
        <f>IFERROR(__xludf.DUMMYFUNCTION("IF('Résultats des tournois'!AQ$2=0,"""",LET(
lastVal, INDEX(FILTER($B59:AQ59, ISNUMBER($B59:AQ59)), COUNTA(FILTER($B59:AQ59, ISNUMBER($B59:AQ59)))),
IFERROR(
IF('Résultats des tournois'!AQ59="""", INDEX(FILTER($C59:AQ59, ISNUMBER($C59:AQ59)), COUNTA(FILTE"&amp;"R($C59:AQ59, ISNUMBER($C59:AQ59)))),
lastVal + 'K dynamique'!AQ59 * ((SQRT('Résultats des tournois'!AQ$2 + 1)/'Résultats des tournois'!AQ59) - (1 / (1 + 10^((AQ$103 - lastVal)/400)))))
)
))"),"")</f>
        <v/>
      </c>
      <c r="AS59" s="32" t="str">
        <f>IFERROR(__xludf.DUMMYFUNCTION("IF('Résultats des tournois'!AR$2=0,"""",LET(
lastVal, INDEX(FILTER($B59:AR59, ISNUMBER($B59:AR59)), COUNTA(FILTER($B59:AR59, ISNUMBER($B59:AR59)))),
IFERROR(
IF('Résultats des tournois'!AR59="""", INDEX(FILTER($C59:AR59, ISNUMBER($C59:AR59)), COUNTA(FILTE"&amp;"R($C59:AR59, ISNUMBER($C59:AR59)))),
lastVal + 'K dynamique'!AR59 * ((SQRT('Résultats des tournois'!AR$2 + 1)/'Résultats des tournois'!AR59) - (1 / (1 + 10^((AR$103 - lastVal)/400)))))
)
))"),"")</f>
        <v/>
      </c>
      <c r="AT59" s="32" t="str">
        <f>IFERROR(__xludf.DUMMYFUNCTION("IF('Résultats des tournois'!AS$2=0,"""",LET(
lastVal, INDEX(FILTER($B59:AS59, ISNUMBER($B59:AS59)), COUNTA(FILTER($B59:AS59, ISNUMBER($B59:AS59)))),
IFERROR(
IF('Résultats des tournois'!AS59="""", INDEX(FILTER($C59:AS59, ISNUMBER($C59:AS59)), COUNTA(FILTE"&amp;"R($C59:AS59, ISNUMBER($C59:AS59)))),
lastVal + 'K dynamique'!AS59 * ((SQRT('Résultats des tournois'!AS$2 + 1)/'Résultats des tournois'!AS59) - (1 / (1 + 10^((AS$103 - lastVal)/400)))))
)
))"),"")</f>
        <v/>
      </c>
      <c r="AU59" s="32" t="str">
        <f>IFERROR(__xludf.DUMMYFUNCTION("IF('Résultats des tournois'!AT$2=0,"""",LET(
lastVal, INDEX(FILTER($B59:AT59, ISNUMBER($B59:AT59)), COUNTA(FILTER($B59:AT59, ISNUMBER($B59:AT59)))),
IFERROR(
IF('Résultats des tournois'!AT59="""", INDEX(FILTER($C59:AT59, ISNUMBER($C59:AT59)), COUNTA(FILTE"&amp;"R($C59:AT59, ISNUMBER($C59:AT59)))),
lastVal + 'K dynamique'!AT59 * ((SQRT('Résultats des tournois'!AT$2 + 1)/'Résultats des tournois'!AT59) - (1 / (1 + 10^((AT$103 - lastVal)/400)))))
)
))"),"")</f>
        <v/>
      </c>
      <c r="AV59" s="32" t="str">
        <f>IFERROR(__xludf.DUMMYFUNCTION("IF('Résultats des tournois'!AU$2=0,"""",LET(
lastVal, INDEX(FILTER($B59:AU59, ISNUMBER($B59:AU59)), COUNTA(FILTER($B59:AU59, ISNUMBER($B59:AU59)))),
IFERROR(
IF('Résultats des tournois'!AU59="""", INDEX(FILTER($C59:AU59, ISNUMBER($C59:AU59)), COUNTA(FILTE"&amp;"R($C59:AU59, ISNUMBER($C59:AU59)))),
lastVal + 'K dynamique'!AU59 * ((SQRT('Résultats des tournois'!AU$2 + 1)/'Résultats des tournois'!AU59) - (1 / (1 + 10^((AU$103 - lastVal)/400)))))
)
))"),"")</f>
        <v/>
      </c>
      <c r="AW59" s="32" t="str">
        <f>IFERROR(__xludf.DUMMYFUNCTION("IF('Résultats des tournois'!AV$2=0,"""",LET(
lastVal, INDEX(FILTER($B59:AV59, ISNUMBER($B59:AV59)), COUNTA(FILTER($B59:AV59, ISNUMBER($B59:AV59)))),
IFERROR(
IF('Résultats des tournois'!AV59="""", INDEX(FILTER($C59:AV59, ISNUMBER($C59:AV59)), COUNTA(FILTE"&amp;"R($C59:AV59, ISNUMBER($C59:AV59)))),
lastVal + 'K dynamique'!AV59 * ((SQRT('Résultats des tournois'!AV$2 + 1)/'Résultats des tournois'!AV59) - (1 / (1 + 10^((AV$103 - lastVal)/400)))))
)
))"),"")</f>
        <v/>
      </c>
      <c r="AX59" s="32" t="str">
        <f>IFERROR(__xludf.DUMMYFUNCTION("IF('Résultats des tournois'!AW$2=0,"""",LET(
lastVal, INDEX(FILTER($B59:AW59, ISNUMBER($B59:AW59)), COUNTA(FILTER($B59:AW59, ISNUMBER($B59:AW59)))),
IFERROR(
IF('Résultats des tournois'!AW59="""", INDEX(FILTER($C59:AW59, ISNUMBER($C59:AW59)), COUNTA(FILTE"&amp;"R($C59:AW59, ISNUMBER($C59:AW59)))),
lastVal + 'K dynamique'!AW59 * ((SQRT('Résultats des tournois'!AW$2 + 1)/'Résultats des tournois'!AW59) - (1 / (1 + 10^((AW$103 - lastVal)/400)))))
)
))"),"")</f>
        <v/>
      </c>
      <c r="AY59" s="32" t="str">
        <f>IFERROR(__xludf.DUMMYFUNCTION("IF('Résultats des tournois'!AX$2=0,"""",LET(
lastVal, INDEX(FILTER($B59:AX59, ISNUMBER($B59:AX59)), COUNTA(FILTER($B59:AX59, ISNUMBER($B59:AX59)))),
IFERROR(
IF('Résultats des tournois'!AX59="""", INDEX(FILTER($C59:AX59, ISNUMBER($C59:AX59)), COUNTA(FILTE"&amp;"R($C59:AX59, ISNUMBER($C59:AX59)))),
lastVal + 'K dynamique'!AX59 * ((SQRT('Résultats des tournois'!AX$2 + 1)/'Résultats des tournois'!AX59) - (1 / (1 + 10^((AX$103 - lastVal)/400)))))
)
))"),"")</f>
        <v/>
      </c>
      <c r="AZ59" s="4" t="str">
        <f t="array" ref="AZ59">IF(MAX(($C59:AY59&lt;&gt;"")*COLUMN($C59:AY59))=0,"",INDEX($C59:AY59,1,MAX(($C59:AY59&lt;&gt;"")*COLUMN($C59:AY59))-COLUMN($C59)+1))</f>
        <v/>
      </c>
      <c r="BA59" s="33" t="str">
        <f t="shared" si="1"/>
        <v/>
      </c>
    </row>
    <row r="60" ht="14.25" customHeight="1">
      <c r="A60" s="32" t="str">
        <f>IF('Résultats des tournois'!A60="","",'Résultats des tournois'!A60)</f>
        <v/>
      </c>
      <c r="B60" s="32">
        <v>1500.0</v>
      </c>
      <c r="C60" s="32" t="str">
        <f>IF('Résultats des tournois'!B60="","",B60+'K dynamique'!B60*((SQRT('Résultats des tournois'!B$2+1)/'Résultats des tournois'!B60)-(1/(1+10^((B60-B60)/400)))))</f>
        <v/>
      </c>
      <c r="D60" s="32" t="str">
        <f>IFERROR(__xludf.DUMMYFUNCTION("IF('Résultats des tournois'!C$2=0,"""",LET(
lastVal, INDEX(FILTER($B60:C60, ISNUMBER($B60:C60)), COUNTA(FILTER($B60:C60, ISNUMBER($B60:C60)))),
IFERROR(
IF('Résultats des tournois'!C60="""", INDEX(FILTER($C60:C60, ISNUMBER($C60:C60)), COUNTA(FILTER($C60:C"&amp;"60, ISNUMBER($C60:C60)))),
lastVal + 'K dynamique'!C60 * ((SQRT('Résultats des tournois'!C$2 + 1)/'Résultats des tournois'!C60) - (1 / (1 + 10^((C$103 - lastVal)/400)))))
)
))"),"")</f>
        <v/>
      </c>
      <c r="E60" s="32" t="str">
        <f>IFERROR(__xludf.DUMMYFUNCTION("IF('Résultats des tournois'!D$2=0,"""",LET(
lastVal, INDEX(FILTER($B60:D60, ISNUMBER($B60:D60)), COUNTA(FILTER($B60:D60, ISNUMBER($B60:D60)))),
IFERROR(
IF('Résultats des tournois'!D60="""", INDEX(FILTER($C60:D60, ISNUMBER($C60:D60)), COUNTA(FILTER($C60:D"&amp;"60, ISNUMBER($C60:D60)))),
lastVal + 'K dynamique'!D60 * ((SQRT('Résultats des tournois'!D$2 + 1)/'Résultats des tournois'!D60) - (1 / (1 + 10^((D$103 - lastVal)/400)))))
)
))"),"")</f>
        <v/>
      </c>
      <c r="F60" s="32" t="str">
        <f>IFERROR(__xludf.DUMMYFUNCTION("IF('Résultats des tournois'!E$2=0,"""",LET(
lastVal, INDEX(FILTER($B60:E60, ISNUMBER($B60:E60)), COUNTA(FILTER($B60:E60, ISNUMBER($B60:E60)))),
IFERROR(
IF('Résultats des tournois'!E60="""", INDEX(FILTER($C60:E60, ISNUMBER($C60:E60)), COUNTA(FILTER($C60:E"&amp;"60, ISNUMBER($C60:E60)))),
lastVal + 'K dynamique'!E60 * ((SQRT('Résultats des tournois'!E$2 + 1)/'Résultats des tournois'!E60) - (1 / (1 + 10^((E$103 - lastVal)/400)))))
)
))"),"")</f>
        <v/>
      </c>
      <c r="G60" s="32" t="str">
        <f>IFERROR(__xludf.DUMMYFUNCTION("IF('Résultats des tournois'!F$2=0,"""",LET(
lastVal, INDEX(FILTER($B60:F60, ISNUMBER($B60:F60)), COUNTA(FILTER($B60:F60, ISNUMBER($B60:F60)))),
IFERROR(
IF('Résultats des tournois'!F60="""", INDEX(FILTER($C60:F60, ISNUMBER($C60:F60)), COUNTA(FILTER($C60:F"&amp;"60, ISNUMBER($C60:F60)))),
lastVal + 'K dynamique'!F60 * ((SQRT('Résultats des tournois'!F$2 + 1)/'Résultats des tournois'!F60) - (1 / (1 + 10^((F$103 - lastVal)/400)))))
)
))"),"")</f>
        <v/>
      </c>
      <c r="H60" s="32" t="str">
        <f>IFERROR(__xludf.DUMMYFUNCTION("IF('Résultats des tournois'!G$2=0,"""",LET(
lastVal, INDEX(FILTER($B60:G60, ISNUMBER($B60:G60)), COUNTA(FILTER($B60:G60, ISNUMBER($B60:G60)))),
IFERROR(
IF('Résultats des tournois'!G60="""", INDEX(FILTER($C60:G60, ISNUMBER($C60:G60)), COUNTA(FILTER($C60:G"&amp;"60, ISNUMBER($C60:G60)))),
lastVal + 'K dynamique'!G60 * ((SQRT('Résultats des tournois'!G$2 + 1)/'Résultats des tournois'!G60) - (1 / (1 + 10^((G$103 - lastVal)/400)))))
)
))"),"")</f>
        <v/>
      </c>
      <c r="I60" s="32" t="str">
        <f>IFERROR(__xludf.DUMMYFUNCTION("IF('Résultats des tournois'!H$2=0,"""",LET(
lastVal, INDEX(FILTER($B60:H60, ISNUMBER($B60:H60)), COUNTA(FILTER($B60:H60, ISNUMBER($B60:H60)))),
IFERROR(
IF('Résultats des tournois'!H60="""", INDEX(FILTER($C60:H60, ISNUMBER($C60:H60)), COUNTA(FILTER($C60:H"&amp;"60, ISNUMBER($C60:H60)))),
lastVal + 'K dynamique'!H60 * ((SQRT('Résultats des tournois'!H$2 + 1)/'Résultats des tournois'!H60) - (1 / (1 + 10^((H$103 - lastVal)/400)))))
)
))"),"")</f>
        <v/>
      </c>
      <c r="J60" s="32" t="str">
        <f>IFERROR(__xludf.DUMMYFUNCTION("IF('Résultats des tournois'!I$2=0,"""",LET(
lastVal, INDEX(FILTER($B60:I60, ISNUMBER($B60:I60)), COUNTA(FILTER($B60:I60, ISNUMBER($B60:I60)))),
IFERROR(
IF('Résultats des tournois'!I60="""", INDEX(FILTER($C60:I60, ISNUMBER($C60:I60)), COUNTA(FILTER($C60:I"&amp;"60, ISNUMBER($C60:I60)))),
lastVal + 'K dynamique'!I60 * ((SQRT('Résultats des tournois'!I$2 + 1)/'Résultats des tournois'!I60) - (1 / (1 + 10^((I$103 - lastVal)/400)))))
)
))"),"")</f>
        <v/>
      </c>
      <c r="K60" s="32" t="str">
        <f>IFERROR(__xludf.DUMMYFUNCTION("IF('Résultats des tournois'!J$2=0,"""",LET(
lastVal, INDEX(FILTER($B60:J60, ISNUMBER($B60:J60)), COUNTA(FILTER($B60:J60, ISNUMBER($B60:J60)))),
IFERROR(
IF('Résultats des tournois'!J60="""", INDEX(FILTER($C60:J60, ISNUMBER($C60:J60)), COUNTA(FILTER($C60:J"&amp;"60, ISNUMBER($C60:J60)))),
lastVal + 'K dynamique'!J60 * ((SQRT('Résultats des tournois'!J$2 + 1)/'Résultats des tournois'!J60) - (1 / (1 + 10^((J$103 - lastVal)/400)))))
)
))"),"")</f>
        <v/>
      </c>
      <c r="L60" s="32" t="str">
        <f>IFERROR(__xludf.DUMMYFUNCTION("IF('Résultats des tournois'!K$2=0,"""",LET(
lastVal, INDEX(FILTER($B60:K60, ISNUMBER($B60:K60)), COUNTA(FILTER($B60:K60, ISNUMBER($B60:K60)))),
IFERROR(
IF('Résultats des tournois'!K60="""", INDEX(FILTER($C60:K60, ISNUMBER($C60:K60)), COUNTA(FILTER($C60:K"&amp;"60, ISNUMBER($C60:K60)))),
lastVal + 'K dynamique'!K60 * ((SQRT('Résultats des tournois'!K$2 + 1)/'Résultats des tournois'!K60) - (1 / (1 + 10^((K$103 - lastVal)/400)))))
)
))"),"")</f>
        <v/>
      </c>
      <c r="M60" s="32" t="str">
        <f>IFERROR(__xludf.DUMMYFUNCTION("IF('Résultats des tournois'!L$2=0,"""",LET(
lastVal, INDEX(FILTER($B60:L60, ISNUMBER($B60:L60)), COUNTA(FILTER($B60:L60, ISNUMBER($B60:L60)))),
IFERROR(
IF('Résultats des tournois'!L60="""", INDEX(FILTER($C60:L60, ISNUMBER($C60:L60)), COUNTA(FILTER($C60:L"&amp;"60, ISNUMBER($C60:L60)))),
lastVal + 'K dynamique'!L60 * ((SQRT('Résultats des tournois'!L$2 + 1)/'Résultats des tournois'!L60) - (1 / (1 + 10^((L$103 - lastVal)/400)))))
)
))"),"")</f>
        <v/>
      </c>
      <c r="N60" s="32" t="str">
        <f>IFERROR(__xludf.DUMMYFUNCTION("IF('Résultats des tournois'!M$2=0,"""",LET(
lastVal, INDEX(FILTER($B60:M60, ISNUMBER($B60:M60)), COUNTA(FILTER($B60:M60, ISNUMBER($B60:M60)))),
IFERROR(
IF('Résultats des tournois'!M60="""", INDEX(FILTER($C60:M60, ISNUMBER($C60:M60)), COUNTA(FILTER($C60:M"&amp;"60, ISNUMBER($C60:M60)))),
lastVal + 'K dynamique'!M60 * ((SQRT('Résultats des tournois'!M$2 + 1)/'Résultats des tournois'!M60) - (1 / (1 + 10^((M$103 - lastVal)/400)))))
)
))"),"")</f>
        <v/>
      </c>
      <c r="O60" s="32" t="str">
        <f>IFERROR(__xludf.DUMMYFUNCTION("IF('Résultats des tournois'!N$2=0,"""",LET(
lastVal, INDEX(FILTER($B60:N60, ISNUMBER($B60:N60)), COUNTA(FILTER($B60:N60, ISNUMBER($B60:N60)))),
IFERROR(
IF('Résultats des tournois'!N60="""", INDEX(FILTER($C60:N60, ISNUMBER($C60:N60)), COUNTA(FILTER($C60:N"&amp;"60, ISNUMBER($C60:N60)))),
lastVal + 'K dynamique'!N60 * ((SQRT('Résultats des tournois'!N$2 + 1)/'Résultats des tournois'!N60) - (1 / (1 + 10^((N$103 - lastVal)/400)))))
)
))"),"")</f>
        <v/>
      </c>
      <c r="P60" s="32" t="str">
        <f>IFERROR(__xludf.DUMMYFUNCTION("IF('Résultats des tournois'!O$2=0,"""",LET(
lastVal, INDEX(FILTER($B60:O60, ISNUMBER($B60:O60)), COUNTA(FILTER($B60:O60, ISNUMBER($B60:O60)))),
IFERROR(
IF('Résultats des tournois'!O60="""", INDEX(FILTER($C60:O60, ISNUMBER($C60:O60)), COUNTA(FILTER($C60:O"&amp;"60, ISNUMBER($C60:O60)))),
lastVal + 'K dynamique'!O60 * ((SQRT('Résultats des tournois'!O$2 + 1)/'Résultats des tournois'!O60) - (1 / (1 + 10^((O$103 - lastVal)/400)))))
)
))"),"")</f>
        <v/>
      </c>
      <c r="Q60" s="32" t="str">
        <f>IFERROR(__xludf.DUMMYFUNCTION("IF('Résultats des tournois'!P$2=0,"""",LET(
lastVal, INDEX(FILTER($B60:P60, ISNUMBER($B60:P60)), COUNTA(FILTER($B60:P60, ISNUMBER($B60:P60)))),
IFERROR(
IF('Résultats des tournois'!P60="""", INDEX(FILTER($C60:P60, ISNUMBER($C60:P60)), COUNTA(FILTER($C60:P"&amp;"60, ISNUMBER($C60:P60)))),
lastVal + 'K dynamique'!P60 * ((SQRT('Résultats des tournois'!P$2 + 1)/'Résultats des tournois'!P60) - (1 / (1 + 10^((P$103 - lastVal)/400)))))
)
))"),"")</f>
        <v/>
      </c>
      <c r="R60" s="32" t="str">
        <f>IFERROR(__xludf.DUMMYFUNCTION("IF('Résultats des tournois'!Q$2=0,"""",LET(
lastVal, INDEX(FILTER($B60:Q60, ISNUMBER($B60:Q60)), COUNTA(FILTER($B60:Q60, ISNUMBER($B60:Q60)))),
IFERROR(
IF('Résultats des tournois'!Q60="""", INDEX(FILTER($C60:Q60, ISNUMBER($C60:Q60)), COUNTA(FILTER($C60:Q"&amp;"60, ISNUMBER($C60:Q60)))),
lastVal + 'K dynamique'!Q60 * ((SQRT('Résultats des tournois'!Q$2 + 1)/'Résultats des tournois'!Q60) - (1 / (1 + 10^((Q$103 - lastVal)/400)))))
)
))"),"")</f>
        <v/>
      </c>
      <c r="S60" s="32" t="str">
        <f>IFERROR(__xludf.DUMMYFUNCTION("IF('Résultats des tournois'!R$2=0,"""",LET(
lastVal, INDEX(FILTER($B60:R60, ISNUMBER($B60:R60)), COUNTA(FILTER($B60:R60, ISNUMBER($B60:R60)))),
IFERROR(
IF('Résultats des tournois'!R60="""", INDEX(FILTER($C60:R60, ISNUMBER($C60:R60)), COUNTA(FILTER($C60:R"&amp;"60, ISNUMBER($C60:R60)))),
lastVal + 'K dynamique'!R60 * ((SQRT('Résultats des tournois'!R$2 + 1)/'Résultats des tournois'!R60) - (1 / (1 + 10^((R$103 - lastVal)/400)))))
)
))"),"")</f>
        <v/>
      </c>
      <c r="T60" s="32" t="str">
        <f>IFERROR(__xludf.DUMMYFUNCTION("IF('Résultats des tournois'!S$2=0,"""",LET(
lastVal, INDEX(FILTER($B60:S60, ISNUMBER($B60:S60)), COUNTA(FILTER($B60:S60, ISNUMBER($B60:S60)))),
IFERROR(
IF('Résultats des tournois'!S60="""", INDEX(FILTER($C60:S60, ISNUMBER($C60:S60)), COUNTA(FILTER($C60:S"&amp;"60, ISNUMBER($C60:S60)))),
lastVal + 'K dynamique'!S60 * ((SQRT('Résultats des tournois'!S$2 + 1)/'Résultats des tournois'!S60) - (1 / (1 + 10^((S$103 - lastVal)/400)))))
)
))"),"")</f>
        <v/>
      </c>
      <c r="U60" s="32" t="str">
        <f>IFERROR(__xludf.DUMMYFUNCTION("IF('Résultats des tournois'!T$2=0,"""",LET(
lastVal, INDEX(FILTER($B60:T60, ISNUMBER($B60:T60)), COUNTA(FILTER($B60:T60, ISNUMBER($B60:T60)))),
IFERROR(
IF('Résultats des tournois'!T60="""", INDEX(FILTER($C60:T60, ISNUMBER($C60:T60)), COUNTA(FILTER($C60:T"&amp;"60, ISNUMBER($C60:T60)))),
lastVal + 'K dynamique'!T60 * ((SQRT('Résultats des tournois'!T$2 + 1)/'Résultats des tournois'!T60) - (1 / (1 + 10^((T$103 - lastVal)/400)))))
)
))"),"")</f>
        <v/>
      </c>
      <c r="V60" s="32" t="str">
        <f>IFERROR(__xludf.DUMMYFUNCTION("IF('Résultats des tournois'!U$2=0,"""",LET(
lastVal, INDEX(FILTER($B60:U60, ISNUMBER($B60:U60)), COUNTA(FILTER($B60:U60, ISNUMBER($B60:U60)))),
IFERROR(
IF('Résultats des tournois'!U60="""", INDEX(FILTER($C60:U60, ISNUMBER($C60:U60)), COUNTA(FILTER($C60:U"&amp;"60, ISNUMBER($C60:U60)))),
lastVal + 'K dynamique'!U60 * ((SQRT('Résultats des tournois'!U$2 + 1)/'Résultats des tournois'!U60) - (1 / (1 + 10^((U$103 - lastVal)/400)))))
)
))"),"")</f>
        <v/>
      </c>
      <c r="W60" s="32" t="str">
        <f>IFERROR(__xludf.DUMMYFUNCTION("IF('Résultats des tournois'!V$2=0,"""",LET(
lastVal, INDEX(FILTER($B60:V60, ISNUMBER($B60:V60)), COUNTA(FILTER($B60:V60, ISNUMBER($B60:V60)))),
IFERROR(
IF('Résultats des tournois'!V60="""", INDEX(FILTER($C60:V60, ISNUMBER($C60:V60)), COUNTA(FILTER($C60:V"&amp;"60, ISNUMBER($C60:V60)))),
lastVal + 'K dynamique'!V60 * ((SQRT('Résultats des tournois'!V$2 + 1)/'Résultats des tournois'!V60) - (1 / (1 + 10^((V$103 - lastVal)/400)))))
)
))"),"")</f>
        <v/>
      </c>
      <c r="X60" s="32" t="str">
        <f>IFERROR(__xludf.DUMMYFUNCTION("IF('Résultats des tournois'!W$2=0,"""",LET(
lastVal, INDEX(FILTER($B60:W60, ISNUMBER($B60:W60)), COUNTA(FILTER($B60:W60, ISNUMBER($B60:W60)))),
IFERROR(
IF('Résultats des tournois'!W60="""", INDEX(FILTER($C60:W60, ISNUMBER($C60:W60)), COUNTA(FILTER($C60:W"&amp;"60, ISNUMBER($C60:W60)))),
lastVal + 'K dynamique'!W60 * ((SQRT('Résultats des tournois'!W$2 + 1)/'Résultats des tournois'!W60) - (1 / (1 + 10^((W$103 - lastVal)/400)))))
)
))"),"")</f>
        <v/>
      </c>
      <c r="Y60" s="32" t="str">
        <f>IFERROR(__xludf.DUMMYFUNCTION("IF('Résultats des tournois'!X$2=0,"""",LET(
lastVal, INDEX(FILTER($B60:X60, ISNUMBER($B60:X60)), COUNTA(FILTER($B60:X60, ISNUMBER($B60:X60)))),
IFERROR(
IF('Résultats des tournois'!X60="""", INDEX(FILTER($C60:X60, ISNUMBER($C60:X60)), COUNTA(FILTER($C60:X"&amp;"60, ISNUMBER($C60:X60)))),
lastVal + 'K dynamique'!X60 * ((SQRT('Résultats des tournois'!X$2 + 1)/'Résultats des tournois'!X60) - (1 / (1 + 10^((X$103 - lastVal)/400)))))
)
))"),"")</f>
        <v/>
      </c>
      <c r="Z60" s="32" t="str">
        <f>IFERROR(__xludf.DUMMYFUNCTION("IF('Résultats des tournois'!Y$2=0,"""",LET(
lastVal, INDEX(FILTER($B60:Y60, ISNUMBER($B60:Y60)), COUNTA(FILTER($B60:Y60, ISNUMBER($B60:Y60)))),
IFERROR(
IF('Résultats des tournois'!Y60="""", INDEX(FILTER($C60:Y60, ISNUMBER($C60:Y60)), COUNTA(FILTER($C60:Y"&amp;"60, ISNUMBER($C60:Y60)))),
lastVal + 'K dynamique'!Y60 * ((SQRT('Résultats des tournois'!Y$2 + 1)/'Résultats des tournois'!Y60) - (1 / (1 + 10^((Y$103 - lastVal)/400)))))
)
))"),"")</f>
        <v/>
      </c>
      <c r="AA60" s="32" t="str">
        <f>IFERROR(__xludf.DUMMYFUNCTION("IF('Résultats des tournois'!Z$2=0,"""",LET(
lastVal, INDEX(FILTER($B60:Z60, ISNUMBER($B60:Z60)), COUNTA(FILTER($B60:Z60, ISNUMBER($B60:Z60)))),
IFERROR(
IF('Résultats des tournois'!Z60="""", INDEX(FILTER($C60:Z60, ISNUMBER($C60:Z60)), COUNTA(FILTER($C60:Z"&amp;"60, ISNUMBER($C60:Z60)))),
lastVal + 'K dynamique'!Z60 * ((SQRT('Résultats des tournois'!Z$2 + 1)/'Résultats des tournois'!Z60) - (1 / (1 + 10^((Z$103 - lastVal)/400)))))
)
))"),"")</f>
        <v/>
      </c>
      <c r="AB60" s="32" t="str">
        <f>IFERROR(__xludf.DUMMYFUNCTION("IF('Résultats des tournois'!AA$2=0,"""",LET(
lastVal, INDEX(FILTER($B60:AA60, ISNUMBER($B60:AA60)), COUNTA(FILTER($B60:AA60, ISNUMBER($B60:AA60)))),
IFERROR(
IF('Résultats des tournois'!AA60="""", INDEX(FILTER($C60:AA60, ISNUMBER($C60:AA60)), COUNTA(FILTE"&amp;"R($C60:AA60, ISNUMBER($C60:AA60)))),
lastVal + 'K dynamique'!AA60 * ((SQRT('Résultats des tournois'!AA$2 + 1)/'Résultats des tournois'!AA60) - (1 / (1 + 10^((AA$103 - lastVal)/400)))))
)
))"),"")</f>
        <v/>
      </c>
      <c r="AC60" s="32" t="str">
        <f>IFERROR(__xludf.DUMMYFUNCTION("IF('Résultats des tournois'!AB$2=0,"""",LET(
lastVal, INDEX(FILTER($B60:AB60, ISNUMBER($B60:AB60)), COUNTA(FILTER($B60:AB60, ISNUMBER($B60:AB60)))),
IFERROR(
IF('Résultats des tournois'!AB60="""", INDEX(FILTER($C60:AB60, ISNUMBER($C60:AB60)), COUNTA(FILTE"&amp;"R($C60:AB60, ISNUMBER($C60:AB60)))),
lastVal + 'K dynamique'!AB60 * ((SQRT('Résultats des tournois'!AB$2 + 1)/'Résultats des tournois'!AB60) - (1 / (1 + 10^((AB$103 - lastVal)/400)))))
)
))"),"")</f>
        <v/>
      </c>
      <c r="AD60" s="32" t="str">
        <f>IFERROR(__xludf.DUMMYFUNCTION("IF('Résultats des tournois'!AC$2=0,"""",LET(
lastVal, INDEX(FILTER($B60:AC60, ISNUMBER($B60:AC60)), COUNTA(FILTER($B60:AC60, ISNUMBER($B60:AC60)))),
IFERROR(
IF('Résultats des tournois'!AC60="""", INDEX(FILTER($C60:AC60, ISNUMBER($C60:AC60)), COUNTA(FILTE"&amp;"R($C60:AC60, ISNUMBER($C60:AC60)))),
lastVal + 'K dynamique'!AC60 * ((SQRT('Résultats des tournois'!AC$2 + 1)/'Résultats des tournois'!AC60) - (1 / (1 + 10^((AC$103 - lastVal)/400)))))
)
))"),"")</f>
        <v/>
      </c>
      <c r="AE60" s="32" t="str">
        <f>IFERROR(__xludf.DUMMYFUNCTION("IF('Résultats des tournois'!AD$2=0,"""",LET(
lastVal, INDEX(FILTER($B60:AD60, ISNUMBER($B60:AD60)), COUNTA(FILTER($B60:AD60, ISNUMBER($B60:AD60)))),
IFERROR(
IF('Résultats des tournois'!AD60="""", INDEX(FILTER($C60:AD60, ISNUMBER($C60:AD60)), COUNTA(FILTE"&amp;"R($C60:AD60, ISNUMBER($C60:AD60)))),
lastVal + 'K dynamique'!AD60 * ((SQRT('Résultats des tournois'!AD$2 + 1)/'Résultats des tournois'!AD60) - (1 / (1 + 10^((AD$103 - lastVal)/400)))))
)
))"),"")</f>
        <v/>
      </c>
      <c r="AF60" s="32" t="str">
        <f>IFERROR(__xludf.DUMMYFUNCTION("IF('Résultats des tournois'!AE$2=0,"""",LET(
lastVal, INDEX(FILTER($B60:AE60, ISNUMBER($B60:AE60)), COUNTA(FILTER($B60:AE60, ISNUMBER($B60:AE60)))),
IFERROR(
IF('Résultats des tournois'!AE60="""", INDEX(FILTER($C60:AE60, ISNUMBER($C60:AE60)), COUNTA(FILTE"&amp;"R($C60:AE60, ISNUMBER($C60:AE60)))),
lastVal + 'K dynamique'!AE60 * ((SQRT('Résultats des tournois'!AE$2 + 1)/'Résultats des tournois'!AE60) - (1 / (1 + 10^((AE$103 - lastVal)/400)))))
)
))"),"")</f>
        <v/>
      </c>
      <c r="AG60" s="32" t="str">
        <f>IFERROR(__xludf.DUMMYFUNCTION("IF('Résultats des tournois'!AF$2=0,"""",LET(
lastVal, INDEX(FILTER($B60:AF60, ISNUMBER($B60:AF60)), COUNTA(FILTER($B60:AF60, ISNUMBER($B60:AF60)))),
IFERROR(
IF('Résultats des tournois'!AF60="""", INDEX(FILTER($C60:AF60, ISNUMBER($C60:AF60)), COUNTA(FILTE"&amp;"R($C60:AF60, ISNUMBER($C60:AF60)))),
lastVal + 'K dynamique'!AF60 * ((SQRT('Résultats des tournois'!AF$2 + 1)/'Résultats des tournois'!AF60) - (1 / (1 + 10^((AF$103 - lastVal)/400)))))
)
))"),"")</f>
        <v/>
      </c>
      <c r="AH60" s="32" t="str">
        <f>IFERROR(__xludf.DUMMYFUNCTION("IF('Résultats des tournois'!AG$2=0,"""",LET(
lastVal, INDEX(FILTER($B60:AG60, ISNUMBER($B60:AG60)), COUNTA(FILTER($B60:AG60, ISNUMBER($B60:AG60)))),
IFERROR(
IF('Résultats des tournois'!AG60="""", INDEX(FILTER($C60:AG60, ISNUMBER($C60:AG60)), COUNTA(FILTE"&amp;"R($C60:AG60, ISNUMBER($C60:AG60)))),
lastVal + 'K dynamique'!AG60 * ((SQRT('Résultats des tournois'!AG$2 + 1)/'Résultats des tournois'!AG60) - (1 / (1 + 10^((AG$103 - lastVal)/400)))))
)
))"),"")</f>
        <v/>
      </c>
      <c r="AI60" s="32" t="str">
        <f>IFERROR(__xludf.DUMMYFUNCTION("IF('Résultats des tournois'!AH$2=0,"""",LET(
lastVal, INDEX(FILTER($B60:AH60, ISNUMBER($B60:AH60)), COUNTA(FILTER($B60:AH60, ISNUMBER($B60:AH60)))),
IFERROR(
IF('Résultats des tournois'!AH60="""", INDEX(FILTER($C60:AH60, ISNUMBER($C60:AH60)), COUNTA(FILTE"&amp;"R($C60:AH60, ISNUMBER($C60:AH60)))),
lastVal + 'K dynamique'!AH60 * ((SQRT('Résultats des tournois'!AH$2 + 1)/'Résultats des tournois'!AH60) - (1 / (1 + 10^((AH$103 - lastVal)/400)))))
)
))"),"")</f>
        <v/>
      </c>
      <c r="AJ60" s="32" t="str">
        <f>IFERROR(__xludf.DUMMYFUNCTION("IF('Résultats des tournois'!AI$2=0,"""",LET(
lastVal, INDEX(FILTER($B60:AI60, ISNUMBER($B60:AI60)), COUNTA(FILTER($B60:AI60, ISNUMBER($B60:AI60)))),
IFERROR(
IF('Résultats des tournois'!AI60="""", INDEX(FILTER($C60:AI60, ISNUMBER($C60:AI60)), COUNTA(FILTE"&amp;"R($C60:AI60, ISNUMBER($C60:AI60)))),
lastVal + 'K dynamique'!AI60 * ((SQRT('Résultats des tournois'!AI$2 + 1)/'Résultats des tournois'!AI60) - (1 / (1 + 10^((AI$103 - lastVal)/400)))))
)
))"),"")</f>
        <v/>
      </c>
      <c r="AK60" s="32" t="str">
        <f>IFERROR(__xludf.DUMMYFUNCTION("IF('Résultats des tournois'!AJ$2=0,"""",LET(
lastVal, INDEX(FILTER($B60:AJ60, ISNUMBER($B60:AJ60)), COUNTA(FILTER($B60:AJ60, ISNUMBER($B60:AJ60)))),
IFERROR(
IF('Résultats des tournois'!AJ60="""", INDEX(FILTER($C60:AJ60, ISNUMBER($C60:AJ60)), COUNTA(FILTE"&amp;"R($C60:AJ60, ISNUMBER($C60:AJ60)))),
lastVal + 'K dynamique'!AJ60 * ((SQRT('Résultats des tournois'!AJ$2 + 1)/'Résultats des tournois'!AJ60) - (1 / (1 + 10^((AJ$103 - lastVal)/400)))))
)
))"),"")</f>
        <v/>
      </c>
      <c r="AL60" s="32" t="str">
        <f>IFERROR(__xludf.DUMMYFUNCTION("IF('Résultats des tournois'!AK$2=0,"""",LET(
lastVal, INDEX(FILTER($B60:AK60, ISNUMBER($B60:AK60)), COUNTA(FILTER($B60:AK60, ISNUMBER($B60:AK60)))),
IFERROR(
IF('Résultats des tournois'!AK60="""", INDEX(FILTER($C60:AK60, ISNUMBER($C60:AK60)), COUNTA(FILTE"&amp;"R($C60:AK60, ISNUMBER($C60:AK60)))),
lastVal + 'K dynamique'!AK60 * ((SQRT('Résultats des tournois'!AK$2 + 1)/'Résultats des tournois'!AK60) - (1 / (1 + 10^((AK$103 - lastVal)/400)))))
)
))"),"")</f>
        <v/>
      </c>
      <c r="AM60" s="32" t="str">
        <f>IFERROR(__xludf.DUMMYFUNCTION("IF('Résultats des tournois'!AL$2=0,"""",LET(
lastVal, INDEX(FILTER($B60:AL60, ISNUMBER($B60:AL60)), COUNTA(FILTER($B60:AL60, ISNUMBER($B60:AL60)))),
IFERROR(
IF('Résultats des tournois'!AL60="""", INDEX(FILTER($C60:AL60, ISNUMBER($C60:AL60)), COUNTA(FILTE"&amp;"R($C60:AL60, ISNUMBER($C60:AL60)))),
lastVal + 'K dynamique'!AL60 * ((SQRT('Résultats des tournois'!AL$2 + 1)/'Résultats des tournois'!AL60) - (1 / (1 + 10^((AL$103 - lastVal)/400)))))
)
))"),"")</f>
        <v/>
      </c>
      <c r="AN60" s="32" t="str">
        <f>IFERROR(__xludf.DUMMYFUNCTION("IF('Résultats des tournois'!AM$2=0,"""",LET(
lastVal, INDEX(FILTER($B60:AM60, ISNUMBER($B60:AM60)), COUNTA(FILTER($B60:AM60, ISNUMBER($B60:AM60)))),
IFERROR(
IF('Résultats des tournois'!AM60="""", INDEX(FILTER($C60:AM60, ISNUMBER($C60:AM60)), COUNTA(FILTE"&amp;"R($C60:AM60, ISNUMBER($C60:AM60)))),
lastVal + 'K dynamique'!AM60 * ((SQRT('Résultats des tournois'!AM$2 + 1)/'Résultats des tournois'!AM60) - (1 / (1 + 10^((AM$103 - lastVal)/400)))))
)
))"),"")</f>
        <v/>
      </c>
      <c r="AO60" s="32" t="str">
        <f>IFERROR(__xludf.DUMMYFUNCTION("IF('Résultats des tournois'!AN$2=0,"""",LET(
lastVal, INDEX(FILTER($B60:AN60, ISNUMBER($B60:AN60)), COUNTA(FILTER($B60:AN60, ISNUMBER($B60:AN60)))),
IFERROR(
IF('Résultats des tournois'!AN60="""", INDEX(FILTER($C60:AN60, ISNUMBER($C60:AN60)), COUNTA(FILTE"&amp;"R($C60:AN60, ISNUMBER($C60:AN60)))),
lastVal + 'K dynamique'!AN60 * ((SQRT('Résultats des tournois'!AN$2 + 1)/'Résultats des tournois'!AN60) - (1 / (1 + 10^((AN$103 - lastVal)/400)))))
)
))"),"")</f>
        <v/>
      </c>
      <c r="AP60" s="32" t="str">
        <f>IFERROR(__xludf.DUMMYFUNCTION("IF('Résultats des tournois'!AO$2=0,"""",LET(
lastVal, INDEX(FILTER($B60:AO60, ISNUMBER($B60:AO60)), COUNTA(FILTER($B60:AO60, ISNUMBER($B60:AO60)))),
IFERROR(
IF('Résultats des tournois'!AO60="""", INDEX(FILTER($C60:AO60, ISNUMBER($C60:AO60)), COUNTA(FILTE"&amp;"R($C60:AO60, ISNUMBER($C60:AO60)))),
lastVal + 'K dynamique'!AO60 * ((SQRT('Résultats des tournois'!AO$2 + 1)/'Résultats des tournois'!AO60) - (1 / (1 + 10^((AO$103 - lastVal)/400)))))
)
))"),"")</f>
        <v/>
      </c>
      <c r="AQ60" s="32" t="str">
        <f>IFERROR(__xludf.DUMMYFUNCTION("IF('Résultats des tournois'!AP$2=0,"""",LET(
lastVal, INDEX(FILTER($B60:AP60, ISNUMBER($B60:AP60)), COUNTA(FILTER($B60:AP60, ISNUMBER($B60:AP60)))),
IFERROR(
IF('Résultats des tournois'!AP60="""", INDEX(FILTER($C60:AP60, ISNUMBER($C60:AP60)), COUNTA(FILTE"&amp;"R($C60:AP60, ISNUMBER($C60:AP60)))),
lastVal + 'K dynamique'!AP60 * ((SQRT('Résultats des tournois'!AP$2 + 1)/'Résultats des tournois'!AP60) - (1 / (1 + 10^((AP$103 - lastVal)/400)))))
)
))"),"")</f>
        <v/>
      </c>
      <c r="AR60" s="32" t="str">
        <f>IFERROR(__xludf.DUMMYFUNCTION("IF('Résultats des tournois'!AQ$2=0,"""",LET(
lastVal, INDEX(FILTER($B60:AQ60, ISNUMBER($B60:AQ60)), COUNTA(FILTER($B60:AQ60, ISNUMBER($B60:AQ60)))),
IFERROR(
IF('Résultats des tournois'!AQ60="""", INDEX(FILTER($C60:AQ60, ISNUMBER($C60:AQ60)), COUNTA(FILTE"&amp;"R($C60:AQ60, ISNUMBER($C60:AQ60)))),
lastVal + 'K dynamique'!AQ60 * ((SQRT('Résultats des tournois'!AQ$2 + 1)/'Résultats des tournois'!AQ60) - (1 / (1 + 10^((AQ$103 - lastVal)/400)))))
)
))"),"")</f>
        <v/>
      </c>
      <c r="AS60" s="32" t="str">
        <f>IFERROR(__xludf.DUMMYFUNCTION("IF('Résultats des tournois'!AR$2=0,"""",LET(
lastVal, INDEX(FILTER($B60:AR60, ISNUMBER($B60:AR60)), COUNTA(FILTER($B60:AR60, ISNUMBER($B60:AR60)))),
IFERROR(
IF('Résultats des tournois'!AR60="""", INDEX(FILTER($C60:AR60, ISNUMBER($C60:AR60)), COUNTA(FILTE"&amp;"R($C60:AR60, ISNUMBER($C60:AR60)))),
lastVal + 'K dynamique'!AR60 * ((SQRT('Résultats des tournois'!AR$2 + 1)/'Résultats des tournois'!AR60) - (1 / (1 + 10^((AR$103 - lastVal)/400)))))
)
))"),"")</f>
        <v/>
      </c>
      <c r="AT60" s="32" t="str">
        <f>IFERROR(__xludf.DUMMYFUNCTION("IF('Résultats des tournois'!AS$2=0,"""",LET(
lastVal, INDEX(FILTER($B60:AS60, ISNUMBER($B60:AS60)), COUNTA(FILTER($B60:AS60, ISNUMBER($B60:AS60)))),
IFERROR(
IF('Résultats des tournois'!AS60="""", INDEX(FILTER($C60:AS60, ISNUMBER($C60:AS60)), COUNTA(FILTE"&amp;"R($C60:AS60, ISNUMBER($C60:AS60)))),
lastVal + 'K dynamique'!AS60 * ((SQRT('Résultats des tournois'!AS$2 + 1)/'Résultats des tournois'!AS60) - (1 / (1 + 10^((AS$103 - lastVal)/400)))))
)
))"),"")</f>
        <v/>
      </c>
      <c r="AU60" s="32" t="str">
        <f>IFERROR(__xludf.DUMMYFUNCTION("IF('Résultats des tournois'!AT$2=0,"""",LET(
lastVal, INDEX(FILTER($B60:AT60, ISNUMBER($B60:AT60)), COUNTA(FILTER($B60:AT60, ISNUMBER($B60:AT60)))),
IFERROR(
IF('Résultats des tournois'!AT60="""", INDEX(FILTER($C60:AT60, ISNUMBER($C60:AT60)), COUNTA(FILTE"&amp;"R($C60:AT60, ISNUMBER($C60:AT60)))),
lastVal + 'K dynamique'!AT60 * ((SQRT('Résultats des tournois'!AT$2 + 1)/'Résultats des tournois'!AT60) - (1 / (1 + 10^((AT$103 - lastVal)/400)))))
)
))"),"")</f>
        <v/>
      </c>
      <c r="AV60" s="32" t="str">
        <f>IFERROR(__xludf.DUMMYFUNCTION("IF('Résultats des tournois'!AU$2=0,"""",LET(
lastVal, INDEX(FILTER($B60:AU60, ISNUMBER($B60:AU60)), COUNTA(FILTER($B60:AU60, ISNUMBER($B60:AU60)))),
IFERROR(
IF('Résultats des tournois'!AU60="""", INDEX(FILTER($C60:AU60, ISNUMBER($C60:AU60)), COUNTA(FILTE"&amp;"R($C60:AU60, ISNUMBER($C60:AU60)))),
lastVal + 'K dynamique'!AU60 * ((SQRT('Résultats des tournois'!AU$2 + 1)/'Résultats des tournois'!AU60) - (1 / (1 + 10^((AU$103 - lastVal)/400)))))
)
))"),"")</f>
        <v/>
      </c>
      <c r="AW60" s="32" t="str">
        <f>IFERROR(__xludf.DUMMYFUNCTION("IF('Résultats des tournois'!AV$2=0,"""",LET(
lastVal, INDEX(FILTER($B60:AV60, ISNUMBER($B60:AV60)), COUNTA(FILTER($B60:AV60, ISNUMBER($B60:AV60)))),
IFERROR(
IF('Résultats des tournois'!AV60="""", INDEX(FILTER($C60:AV60, ISNUMBER($C60:AV60)), COUNTA(FILTE"&amp;"R($C60:AV60, ISNUMBER($C60:AV60)))),
lastVal + 'K dynamique'!AV60 * ((SQRT('Résultats des tournois'!AV$2 + 1)/'Résultats des tournois'!AV60) - (1 / (1 + 10^((AV$103 - lastVal)/400)))))
)
))"),"")</f>
        <v/>
      </c>
      <c r="AX60" s="32" t="str">
        <f>IFERROR(__xludf.DUMMYFUNCTION("IF('Résultats des tournois'!AW$2=0,"""",LET(
lastVal, INDEX(FILTER($B60:AW60, ISNUMBER($B60:AW60)), COUNTA(FILTER($B60:AW60, ISNUMBER($B60:AW60)))),
IFERROR(
IF('Résultats des tournois'!AW60="""", INDEX(FILTER($C60:AW60, ISNUMBER($C60:AW60)), COUNTA(FILTE"&amp;"R($C60:AW60, ISNUMBER($C60:AW60)))),
lastVal + 'K dynamique'!AW60 * ((SQRT('Résultats des tournois'!AW$2 + 1)/'Résultats des tournois'!AW60) - (1 / (1 + 10^((AW$103 - lastVal)/400)))))
)
))"),"")</f>
        <v/>
      </c>
      <c r="AY60" s="32" t="str">
        <f>IFERROR(__xludf.DUMMYFUNCTION("IF('Résultats des tournois'!AX$2=0,"""",LET(
lastVal, INDEX(FILTER($B60:AX60, ISNUMBER($B60:AX60)), COUNTA(FILTER($B60:AX60, ISNUMBER($B60:AX60)))),
IFERROR(
IF('Résultats des tournois'!AX60="""", INDEX(FILTER($C60:AX60, ISNUMBER($C60:AX60)), COUNTA(FILTE"&amp;"R($C60:AX60, ISNUMBER($C60:AX60)))),
lastVal + 'K dynamique'!AX60 * ((SQRT('Résultats des tournois'!AX$2 + 1)/'Résultats des tournois'!AX60) - (1 / (1 + 10^((AX$103 - lastVal)/400)))))
)
))"),"")</f>
        <v/>
      </c>
      <c r="AZ60" s="4" t="str">
        <f t="array" ref="AZ60">IF(MAX(($C60:AY60&lt;&gt;"")*COLUMN($C60:AY60))=0,"",INDEX($C60:AY60,1,MAX(($C60:AY60&lt;&gt;"")*COLUMN($C60:AY60))-COLUMN($C60)+1))</f>
        <v/>
      </c>
      <c r="BA60" s="33" t="str">
        <f t="shared" si="1"/>
        <v/>
      </c>
    </row>
    <row r="61" ht="14.25" customHeight="1">
      <c r="A61" s="32" t="str">
        <f>IF('Résultats des tournois'!A61="","",'Résultats des tournois'!A61)</f>
        <v/>
      </c>
      <c r="B61" s="32">
        <v>1500.0</v>
      </c>
      <c r="C61" s="32" t="str">
        <f>IF('Résultats des tournois'!B61="","",B61+'K dynamique'!B61*((SQRT('Résultats des tournois'!B$2+1)/'Résultats des tournois'!B61)-(1/(1+10^((B61-B61)/400)))))</f>
        <v/>
      </c>
      <c r="D61" s="32" t="str">
        <f>IFERROR(__xludf.DUMMYFUNCTION("IF('Résultats des tournois'!C$2=0,"""",LET(
lastVal, INDEX(FILTER($B61:C61, ISNUMBER($B61:C61)), COUNTA(FILTER($B61:C61, ISNUMBER($B61:C61)))),
IFERROR(
IF('Résultats des tournois'!C61="""", INDEX(FILTER($C61:C61, ISNUMBER($C61:C61)), COUNTA(FILTER($C61:C"&amp;"61, ISNUMBER($C61:C61)))),
lastVal + 'K dynamique'!C61 * ((SQRT('Résultats des tournois'!C$2 + 1)/'Résultats des tournois'!C61) - (1 / (1 + 10^((C$103 - lastVal)/400)))))
)
))"),"")</f>
        <v/>
      </c>
      <c r="E61" s="32" t="str">
        <f>IFERROR(__xludf.DUMMYFUNCTION("IF('Résultats des tournois'!D$2=0,"""",LET(
lastVal, INDEX(FILTER($B61:D61, ISNUMBER($B61:D61)), COUNTA(FILTER($B61:D61, ISNUMBER($B61:D61)))),
IFERROR(
IF('Résultats des tournois'!D61="""", INDEX(FILTER($C61:D61, ISNUMBER($C61:D61)), COUNTA(FILTER($C61:D"&amp;"61, ISNUMBER($C61:D61)))),
lastVal + 'K dynamique'!D61 * ((SQRT('Résultats des tournois'!D$2 + 1)/'Résultats des tournois'!D61) - (1 / (1 + 10^((D$103 - lastVal)/400)))))
)
))"),"")</f>
        <v/>
      </c>
      <c r="F61" s="32" t="str">
        <f>IFERROR(__xludf.DUMMYFUNCTION("IF('Résultats des tournois'!E$2=0,"""",LET(
lastVal, INDEX(FILTER($B61:E61, ISNUMBER($B61:E61)), COUNTA(FILTER($B61:E61, ISNUMBER($B61:E61)))),
IFERROR(
IF('Résultats des tournois'!E61="""", INDEX(FILTER($C61:E61, ISNUMBER($C61:E61)), COUNTA(FILTER($C61:E"&amp;"61, ISNUMBER($C61:E61)))),
lastVal + 'K dynamique'!E61 * ((SQRT('Résultats des tournois'!E$2 + 1)/'Résultats des tournois'!E61) - (1 / (1 + 10^((E$103 - lastVal)/400)))))
)
))"),"")</f>
        <v/>
      </c>
      <c r="G61" s="32" t="str">
        <f>IFERROR(__xludf.DUMMYFUNCTION("IF('Résultats des tournois'!F$2=0,"""",LET(
lastVal, INDEX(FILTER($B61:F61, ISNUMBER($B61:F61)), COUNTA(FILTER($B61:F61, ISNUMBER($B61:F61)))),
IFERROR(
IF('Résultats des tournois'!F61="""", INDEX(FILTER($C61:F61, ISNUMBER($C61:F61)), COUNTA(FILTER($C61:F"&amp;"61, ISNUMBER($C61:F61)))),
lastVal + 'K dynamique'!F61 * ((SQRT('Résultats des tournois'!F$2 + 1)/'Résultats des tournois'!F61) - (1 / (1 + 10^((F$103 - lastVal)/400)))))
)
))"),"")</f>
        <v/>
      </c>
      <c r="H61" s="32" t="str">
        <f>IFERROR(__xludf.DUMMYFUNCTION("IF('Résultats des tournois'!G$2=0,"""",LET(
lastVal, INDEX(FILTER($B61:G61, ISNUMBER($B61:G61)), COUNTA(FILTER($B61:G61, ISNUMBER($B61:G61)))),
IFERROR(
IF('Résultats des tournois'!G61="""", INDEX(FILTER($C61:G61, ISNUMBER($C61:G61)), COUNTA(FILTER($C61:G"&amp;"61, ISNUMBER($C61:G61)))),
lastVal + 'K dynamique'!G61 * ((SQRT('Résultats des tournois'!G$2 + 1)/'Résultats des tournois'!G61) - (1 / (1 + 10^((G$103 - lastVal)/400)))))
)
))"),"")</f>
        <v/>
      </c>
      <c r="I61" s="32" t="str">
        <f>IFERROR(__xludf.DUMMYFUNCTION("IF('Résultats des tournois'!H$2=0,"""",LET(
lastVal, INDEX(FILTER($B61:H61, ISNUMBER($B61:H61)), COUNTA(FILTER($B61:H61, ISNUMBER($B61:H61)))),
IFERROR(
IF('Résultats des tournois'!H61="""", INDEX(FILTER($C61:H61, ISNUMBER($C61:H61)), COUNTA(FILTER($C61:H"&amp;"61, ISNUMBER($C61:H61)))),
lastVal + 'K dynamique'!H61 * ((SQRT('Résultats des tournois'!H$2 + 1)/'Résultats des tournois'!H61) - (1 / (1 + 10^((H$103 - lastVal)/400)))))
)
))"),"")</f>
        <v/>
      </c>
      <c r="J61" s="32" t="str">
        <f>IFERROR(__xludf.DUMMYFUNCTION("IF('Résultats des tournois'!I$2=0,"""",LET(
lastVal, INDEX(FILTER($B61:I61, ISNUMBER($B61:I61)), COUNTA(FILTER($B61:I61, ISNUMBER($B61:I61)))),
IFERROR(
IF('Résultats des tournois'!I61="""", INDEX(FILTER($C61:I61, ISNUMBER($C61:I61)), COUNTA(FILTER($C61:I"&amp;"61, ISNUMBER($C61:I61)))),
lastVal + 'K dynamique'!I61 * ((SQRT('Résultats des tournois'!I$2 + 1)/'Résultats des tournois'!I61) - (1 / (1 + 10^((I$103 - lastVal)/400)))))
)
))"),"")</f>
        <v/>
      </c>
      <c r="K61" s="32" t="str">
        <f>IFERROR(__xludf.DUMMYFUNCTION("IF('Résultats des tournois'!J$2=0,"""",LET(
lastVal, INDEX(FILTER($B61:J61, ISNUMBER($B61:J61)), COUNTA(FILTER($B61:J61, ISNUMBER($B61:J61)))),
IFERROR(
IF('Résultats des tournois'!J61="""", INDEX(FILTER($C61:J61, ISNUMBER($C61:J61)), COUNTA(FILTER($C61:J"&amp;"61, ISNUMBER($C61:J61)))),
lastVal + 'K dynamique'!J61 * ((SQRT('Résultats des tournois'!J$2 + 1)/'Résultats des tournois'!J61) - (1 / (1 + 10^((J$103 - lastVal)/400)))))
)
))"),"")</f>
        <v/>
      </c>
      <c r="L61" s="32" t="str">
        <f>IFERROR(__xludf.DUMMYFUNCTION("IF('Résultats des tournois'!K$2=0,"""",LET(
lastVal, INDEX(FILTER($B61:K61, ISNUMBER($B61:K61)), COUNTA(FILTER($B61:K61, ISNUMBER($B61:K61)))),
IFERROR(
IF('Résultats des tournois'!K61="""", INDEX(FILTER($C61:K61, ISNUMBER($C61:K61)), COUNTA(FILTER($C61:K"&amp;"61, ISNUMBER($C61:K61)))),
lastVal + 'K dynamique'!K61 * ((SQRT('Résultats des tournois'!K$2 + 1)/'Résultats des tournois'!K61) - (1 / (1 + 10^((K$103 - lastVal)/400)))))
)
))"),"")</f>
        <v/>
      </c>
      <c r="M61" s="32" t="str">
        <f>IFERROR(__xludf.DUMMYFUNCTION("IF('Résultats des tournois'!L$2=0,"""",LET(
lastVal, INDEX(FILTER($B61:L61, ISNUMBER($B61:L61)), COUNTA(FILTER($B61:L61, ISNUMBER($B61:L61)))),
IFERROR(
IF('Résultats des tournois'!L61="""", INDEX(FILTER($C61:L61, ISNUMBER($C61:L61)), COUNTA(FILTER($C61:L"&amp;"61, ISNUMBER($C61:L61)))),
lastVal + 'K dynamique'!L61 * ((SQRT('Résultats des tournois'!L$2 + 1)/'Résultats des tournois'!L61) - (1 / (1 + 10^((L$103 - lastVal)/400)))))
)
))"),"")</f>
        <v/>
      </c>
      <c r="N61" s="32" t="str">
        <f>IFERROR(__xludf.DUMMYFUNCTION("IF('Résultats des tournois'!M$2=0,"""",LET(
lastVal, INDEX(FILTER($B61:M61, ISNUMBER($B61:M61)), COUNTA(FILTER($B61:M61, ISNUMBER($B61:M61)))),
IFERROR(
IF('Résultats des tournois'!M61="""", INDEX(FILTER($C61:M61, ISNUMBER($C61:M61)), COUNTA(FILTER($C61:M"&amp;"61, ISNUMBER($C61:M61)))),
lastVal + 'K dynamique'!M61 * ((SQRT('Résultats des tournois'!M$2 + 1)/'Résultats des tournois'!M61) - (1 / (1 + 10^((M$103 - lastVal)/400)))))
)
))"),"")</f>
        <v/>
      </c>
      <c r="O61" s="32" t="str">
        <f>IFERROR(__xludf.DUMMYFUNCTION("IF('Résultats des tournois'!N$2=0,"""",LET(
lastVal, INDEX(FILTER($B61:N61, ISNUMBER($B61:N61)), COUNTA(FILTER($B61:N61, ISNUMBER($B61:N61)))),
IFERROR(
IF('Résultats des tournois'!N61="""", INDEX(FILTER($C61:N61, ISNUMBER($C61:N61)), COUNTA(FILTER($C61:N"&amp;"61, ISNUMBER($C61:N61)))),
lastVal + 'K dynamique'!N61 * ((SQRT('Résultats des tournois'!N$2 + 1)/'Résultats des tournois'!N61) - (1 / (1 + 10^((N$103 - lastVal)/400)))))
)
))"),"")</f>
        <v/>
      </c>
      <c r="P61" s="32" t="str">
        <f>IFERROR(__xludf.DUMMYFUNCTION("IF('Résultats des tournois'!O$2=0,"""",LET(
lastVal, INDEX(FILTER($B61:O61, ISNUMBER($B61:O61)), COUNTA(FILTER($B61:O61, ISNUMBER($B61:O61)))),
IFERROR(
IF('Résultats des tournois'!O61="""", INDEX(FILTER($C61:O61, ISNUMBER($C61:O61)), COUNTA(FILTER($C61:O"&amp;"61, ISNUMBER($C61:O61)))),
lastVal + 'K dynamique'!O61 * ((SQRT('Résultats des tournois'!O$2 + 1)/'Résultats des tournois'!O61) - (1 / (1 + 10^((O$103 - lastVal)/400)))))
)
))"),"")</f>
        <v/>
      </c>
      <c r="Q61" s="32" t="str">
        <f>IFERROR(__xludf.DUMMYFUNCTION("IF('Résultats des tournois'!P$2=0,"""",LET(
lastVal, INDEX(FILTER($B61:P61, ISNUMBER($B61:P61)), COUNTA(FILTER($B61:P61, ISNUMBER($B61:P61)))),
IFERROR(
IF('Résultats des tournois'!P61="""", INDEX(FILTER($C61:P61, ISNUMBER($C61:P61)), COUNTA(FILTER($C61:P"&amp;"61, ISNUMBER($C61:P61)))),
lastVal + 'K dynamique'!P61 * ((SQRT('Résultats des tournois'!P$2 + 1)/'Résultats des tournois'!P61) - (1 / (1 + 10^((P$103 - lastVal)/400)))))
)
))"),"")</f>
        <v/>
      </c>
      <c r="R61" s="32" t="str">
        <f>IFERROR(__xludf.DUMMYFUNCTION("IF('Résultats des tournois'!Q$2=0,"""",LET(
lastVal, INDEX(FILTER($B61:Q61, ISNUMBER($B61:Q61)), COUNTA(FILTER($B61:Q61, ISNUMBER($B61:Q61)))),
IFERROR(
IF('Résultats des tournois'!Q61="""", INDEX(FILTER($C61:Q61, ISNUMBER($C61:Q61)), COUNTA(FILTER($C61:Q"&amp;"61, ISNUMBER($C61:Q61)))),
lastVal + 'K dynamique'!Q61 * ((SQRT('Résultats des tournois'!Q$2 + 1)/'Résultats des tournois'!Q61) - (1 / (1 + 10^((Q$103 - lastVal)/400)))))
)
))"),"")</f>
        <v/>
      </c>
      <c r="S61" s="32" t="str">
        <f>IFERROR(__xludf.DUMMYFUNCTION("IF('Résultats des tournois'!R$2=0,"""",LET(
lastVal, INDEX(FILTER($B61:R61, ISNUMBER($B61:R61)), COUNTA(FILTER($B61:R61, ISNUMBER($B61:R61)))),
IFERROR(
IF('Résultats des tournois'!R61="""", INDEX(FILTER($C61:R61, ISNUMBER($C61:R61)), COUNTA(FILTER($C61:R"&amp;"61, ISNUMBER($C61:R61)))),
lastVal + 'K dynamique'!R61 * ((SQRT('Résultats des tournois'!R$2 + 1)/'Résultats des tournois'!R61) - (1 / (1 + 10^((R$103 - lastVal)/400)))))
)
))"),"")</f>
        <v/>
      </c>
      <c r="T61" s="32" t="str">
        <f>IFERROR(__xludf.DUMMYFUNCTION("IF('Résultats des tournois'!S$2=0,"""",LET(
lastVal, INDEX(FILTER($B61:S61, ISNUMBER($B61:S61)), COUNTA(FILTER($B61:S61, ISNUMBER($B61:S61)))),
IFERROR(
IF('Résultats des tournois'!S61="""", INDEX(FILTER($C61:S61, ISNUMBER($C61:S61)), COUNTA(FILTER($C61:S"&amp;"61, ISNUMBER($C61:S61)))),
lastVal + 'K dynamique'!S61 * ((SQRT('Résultats des tournois'!S$2 + 1)/'Résultats des tournois'!S61) - (1 / (1 + 10^((S$103 - lastVal)/400)))))
)
))"),"")</f>
        <v/>
      </c>
      <c r="U61" s="32" t="str">
        <f>IFERROR(__xludf.DUMMYFUNCTION("IF('Résultats des tournois'!T$2=0,"""",LET(
lastVal, INDEX(FILTER($B61:T61, ISNUMBER($B61:T61)), COUNTA(FILTER($B61:T61, ISNUMBER($B61:T61)))),
IFERROR(
IF('Résultats des tournois'!T61="""", INDEX(FILTER($C61:T61, ISNUMBER($C61:T61)), COUNTA(FILTER($C61:T"&amp;"61, ISNUMBER($C61:T61)))),
lastVal + 'K dynamique'!T61 * ((SQRT('Résultats des tournois'!T$2 + 1)/'Résultats des tournois'!T61) - (1 / (1 + 10^((T$103 - lastVal)/400)))))
)
))"),"")</f>
        <v/>
      </c>
      <c r="V61" s="32" t="str">
        <f>IFERROR(__xludf.DUMMYFUNCTION("IF('Résultats des tournois'!U$2=0,"""",LET(
lastVal, INDEX(FILTER($B61:U61, ISNUMBER($B61:U61)), COUNTA(FILTER($B61:U61, ISNUMBER($B61:U61)))),
IFERROR(
IF('Résultats des tournois'!U61="""", INDEX(FILTER($C61:U61, ISNUMBER($C61:U61)), COUNTA(FILTER($C61:U"&amp;"61, ISNUMBER($C61:U61)))),
lastVal + 'K dynamique'!U61 * ((SQRT('Résultats des tournois'!U$2 + 1)/'Résultats des tournois'!U61) - (1 / (1 + 10^((U$103 - lastVal)/400)))))
)
))"),"")</f>
        <v/>
      </c>
      <c r="W61" s="32" t="str">
        <f>IFERROR(__xludf.DUMMYFUNCTION("IF('Résultats des tournois'!V$2=0,"""",LET(
lastVal, INDEX(FILTER($B61:V61, ISNUMBER($B61:V61)), COUNTA(FILTER($B61:V61, ISNUMBER($B61:V61)))),
IFERROR(
IF('Résultats des tournois'!V61="""", INDEX(FILTER($C61:V61, ISNUMBER($C61:V61)), COUNTA(FILTER($C61:V"&amp;"61, ISNUMBER($C61:V61)))),
lastVal + 'K dynamique'!V61 * ((SQRT('Résultats des tournois'!V$2 + 1)/'Résultats des tournois'!V61) - (1 / (1 + 10^((V$103 - lastVal)/400)))))
)
))"),"")</f>
        <v/>
      </c>
      <c r="X61" s="32" t="str">
        <f>IFERROR(__xludf.DUMMYFUNCTION("IF('Résultats des tournois'!W$2=0,"""",LET(
lastVal, INDEX(FILTER($B61:W61, ISNUMBER($B61:W61)), COUNTA(FILTER($B61:W61, ISNUMBER($B61:W61)))),
IFERROR(
IF('Résultats des tournois'!W61="""", INDEX(FILTER($C61:W61, ISNUMBER($C61:W61)), COUNTA(FILTER($C61:W"&amp;"61, ISNUMBER($C61:W61)))),
lastVal + 'K dynamique'!W61 * ((SQRT('Résultats des tournois'!W$2 + 1)/'Résultats des tournois'!W61) - (1 / (1 + 10^((W$103 - lastVal)/400)))))
)
))"),"")</f>
        <v/>
      </c>
      <c r="Y61" s="32" t="str">
        <f>IFERROR(__xludf.DUMMYFUNCTION("IF('Résultats des tournois'!X$2=0,"""",LET(
lastVal, INDEX(FILTER($B61:X61, ISNUMBER($B61:X61)), COUNTA(FILTER($B61:X61, ISNUMBER($B61:X61)))),
IFERROR(
IF('Résultats des tournois'!X61="""", INDEX(FILTER($C61:X61, ISNUMBER($C61:X61)), COUNTA(FILTER($C61:X"&amp;"61, ISNUMBER($C61:X61)))),
lastVal + 'K dynamique'!X61 * ((SQRT('Résultats des tournois'!X$2 + 1)/'Résultats des tournois'!X61) - (1 / (1 + 10^((X$103 - lastVal)/400)))))
)
))"),"")</f>
        <v/>
      </c>
      <c r="Z61" s="32" t="str">
        <f>IFERROR(__xludf.DUMMYFUNCTION("IF('Résultats des tournois'!Y$2=0,"""",LET(
lastVal, INDEX(FILTER($B61:Y61, ISNUMBER($B61:Y61)), COUNTA(FILTER($B61:Y61, ISNUMBER($B61:Y61)))),
IFERROR(
IF('Résultats des tournois'!Y61="""", INDEX(FILTER($C61:Y61, ISNUMBER($C61:Y61)), COUNTA(FILTER($C61:Y"&amp;"61, ISNUMBER($C61:Y61)))),
lastVal + 'K dynamique'!Y61 * ((SQRT('Résultats des tournois'!Y$2 + 1)/'Résultats des tournois'!Y61) - (1 / (1 + 10^((Y$103 - lastVal)/400)))))
)
))"),"")</f>
        <v/>
      </c>
      <c r="AA61" s="32" t="str">
        <f>IFERROR(__xludf.DUMMYFUNCTION("IF('Résultats des tournois'!Z$2=0,"""",LET(
lastVal, INDEX(FILTER($B61:Z61, ISNUMBER($B61:Z61)), COUNTA(FILTER($B61:Z61, ISNUMBER($B61:Z61)))),
IFERROR(
IF('Résultats des tournois'!Z61="""", INDEX(FILTER($C61:Z61, ISNUMBER($C61:Z61)), COUNTA(FILTER($C61:Z"&amp;"61, ISNUMBER($C61:Z61)))),
lastVal + 'K dynamique'!Z61 * ((SQRT('Résultats des tournois'!Z$2 + 1)/'Résultats des tournois'!Z61) - (1 / (1 + 10^((Z$103 - lastVal)/400)))))
)
))"),"")</f>
        <v/>
      </c>
      <c r="AB61" s="32" t="str">
        <f>IFERROR(__xludf.DUMMYFUNCTION("IF('Résultats des tournois'!AA$2=0,"""",LET(
lastVal, INDEX(FILTER($B61:AA61, ISNUMBER($B61:AA61)), COUNTA(FILTER($B61:AA61, ISNUMBER($B61:AA61)))),
IFERROR(
IF('Résultats des tournois'!AA61="""", INDEX(FILTER($C61:AA61, ISNUMBER($C61:AA61)), COUNTA(FILTE"&amp;"R($C61:AA61, ISNUMBER($C61:AA61)))),
lastVal + 'K dynamique'!AA61 * ((SQRT('Résultats des tournois'!AA$2 + 1)/'Résultats des tournois'!AA61) - (1 / (1 + 10^((AA$103 - lastVal)/400)))))
)
))"),"")</f>
        <v/>
      </c>
      <c r="AC61" s="32" t="str">
        <f>IFERROR(__xludf.DUMMYFUNCTION("IF('Résultats des tournois'!AB$2=0,"""",LET(
lastVal, INDEX(FILTER($B61:AB61, ISNUMBER($B61:AB61)), COUNTA(FILTER($B61:AB61, ISNUMBER($B61:AB61)))),
IFERROR(
IF('Résultats des tournois'!AB61="""", INDEX(FILTER($C61:AB61, ISNUMBER($C61:AB61)), COUNTA(FILTE"&amp;"R($C61:AB61, ISNUMBER($C61:AB61)))),
lastVal + 'K dynamique'!AB61 * ((SQRT('Résultats des tournois'!AB$2 + 1)/'Résultats des tournois'!AB61) - (1 / (1 + 10^((AB$103 - lastVal)/400)))))
)
))"),"")</f>
        <v/>
      </c>
      <c r="AD61" s="32" t="str">
        <f>IFERROR(__xludf.DUMMYFUNCTION("IF('Résultats des tournois'!AC$2=0,"""",LET(
lastVal, INDEX(FILTER($B61:AC61, ISNUMBER($B61:AC61)), COUNTA(FILTER($B61:AC61, ISNUMBER($B61:AC61)))),
IFERROR(
IF('Résultats des tournois'!AC61="""", INDEX(FILTER($C61:AC61, ISNUMBER($C61:AC61)), COUNTA(FILTE"&amp;"R($C61:AC61, ISNUMBER($C61:AC61)))),
lastVal + 'K dynamique'!AC61 * ((SQRT('Résultats des tournois'!AC$2 + 1)/'Résultats des tournois'!AC61) - (1 / (1 + 10^((AC$103 - lastVal)/400)))))
)
))"),"")</f>
        <v/>
      </c>
      <c r="AE61" s="32" t="str">
        <f>IFERROR(__xludf.DUMMYFUNCTION("IF('Résultats des tournois'!AD$2=0,"""",LET(
lastVal, INDEX(FILTER($B61:AD61, ISNUMBER($B61:AD61)), COUNTA(FILTER($B61:AD61, ISNUMBER($B61:AD61)))),
IFERROR(
IF('Résultats des tournois'!AD61="""", INDEX(FILTER($C61:AD61, ISNUMBER($C61:AD61)), COUNTA(FILTE"&amp;"R($C61:AD61, ISNUMBER($C61:AD61)))),
lastVal + 'K dynamique'!AD61 * ((SQRT('Résultats des tournois'!AD$2 + 1)/'Résultats des tournois'!AD61) - (1 / (1 + 10^((AD$103 - lastVal)/400)))))
)
))"),"")</f>
        <v/>
      </c>
      <c r="AF61" s="32" t="str">
        <f>IFERROR(__xludf.DUMMYFUNCTION("IF('Résultats des tournois'!AE$2=0,"""",LET(
lastVal, INDEX(FILTER($B61:AE61, ISNUMBER($B61:AE61)), COUNTA(FILTER($B61:AE61, ISNUMBER($B61:AE61)))),
IFERROR(
IF('Résultats des tournois'!AE61="""", INDEX(FILTER($C61:AE61, ISNUMBER($C61:AE61)), COUNTA(FILTE"&amp;"R($C61:AE61, ISNUMBER($C61:AE61)))),
lastVal + 'K dynamique'!AE61 * ((SQRT('Résultats des tournois'!AE$2 + 1)/'Résultats des tournois'!AE61) - (1 / (1 + 10^((AE$103 - lastVal)/400)))))
)
))"),"")</f>
        <v/>
      </c>
      <c r="AG61" s="32" t="str">
        <f>IFERROR(__xludf.DUMMYFUNCTION("IF('Résultats des tournois'!AF$2=0,"""",LET(
lastVal, INDEX(FILTER($B61:AF61, ISNUMBER($B61:AF61)), COUNTA(FILTER($B61:AF61, ISNUMBER($B61:AF61)))),
IFERROR(
IF('Résultats des tournois'!AF61="""", INDEX(FILTER($C61:AF61, ISNUMBER($C61:AF61)), COUNTA(FILTE"&amp;"R($C61:AF61, ISNUMBER($C61:AF61)))),
lastVal + 'K dynamique'!AF61 * ((SQRT('Résultats des tournois'!AF$2 + 1)/'Résultats des tournois'!AF61) - (1 / (1 + 10^((AF$103 - lastVal)/400)))))
)
))"),"")</f>
        <v/>
      </c>
      <c r="AH61" s="32" t="str">
        <f>IFERROR(__xludf.DUMMYFUNCTION("IF('Résultats des tournois'!AG$2=0,"""",LET(
lastVal, INDEX(FILTER($B61:AG61, ISNUMBER($B61:AG61)), COUNTA(FILTER($B61:AG61, ISNUMBER($B61:AG61)))),
IFERROR(
IF('Résultats des tournois'!AG61="""", INDEX(FILTER($C61:AG61, ISNUMBER($C61:AG61)), COUNTA(FILTE"&amp;"R($C61:AG61, ISNUMBER($C61:AG61)))),
lastVal + 'K dynamique'!AG61 * ((SQRT('Résultats des tournois'!AG$2 + 1)/'Résultats des tournois'!AG61) - (1 / (1 + 10^((AG$103 - lastVal)/400)))))
)
))"),"")</f>
        <v/>
      </c>
      <c r="AI61" s="32" t="str">
        <f>IFERROR(__xludf.DUMMYFUNCTION("IF('Résultats des tournois'!AH$2=0,"""",LET(
lastVal, INDEX(FILTER($B61:AH61, ISNUMBER($B61:AH61)), COUNTA(FILTER($B61:AH61, ISNUMBER($B61:AH61)))),
IFERROR(
IF('Résultats des tournois'!AH61="""", INDEX(FILTER($C61:AH61, ISNUMBER($C61:AH61)), COUNTA(FILTE"&amp;"R($C61:AH61, ISNUMBER($C61:AH61)))),
lastVal + 'K dynamique'!AH61 * ((SQRT('Résultats des tournois'!AH$2 + 1)/'Résultats des tournois'!AH61) - (1 / (1 + 10^((AH$103 - lastVal)/400)))))
)
))"),"")</f>
        <v/>
      </c>
      <c r="AJ61" s="32" t="str">
        <f>IFERROR(__xludf.DUMMYFUNCTION("IF('Résultats des tournois'!AI$2=0,"""",LET(
lastVal, INDEX(FILTER($B61:AI61, ISNUMBER($B61:AI61)), COUNTA(FILTER($B61:AI61, ISNUMBER($B61:AI61)))),
IFERROR(
IF('Résultats des tournois'!AI61="""", INDEX(FILTER($C61:AI61, ISNUMBER($C61:AI61)), COUNTA(FILTE"&amp;"R($C61:AI61, ISNUMBER($C61:AI61)))),
lastVal + 'K dynamique'!AI61 * ((SQRT('Résultats des tournois'!AI$2 + 1)/'Résultats des tournois'!AI61) - (1 / (1 + 10^((AI$103 - lastVal)/400)))))
)
))"),"")</f>
        <v/>
      </c>
      <c r="AK61" s="32" t="str">
        <f>IFERROR(__xludf.DUMMYFUNCTION("IF('Résultats des tournois'!AJ$2=0,"""",LET(
lastVal, INDEX(FILTER($B61:AJ61, ISNUMBER($B61:AJ61)), COUNTA(FILTER($B61:AJ61, ISNUMBER($B61:AJ61)))),
IFERROR(
IF('Résultats des tournois'!AJ61="""", INDEX(FILTER($C61:AJ61, ISNUMBER($C61:AJ61)), COUNTA(FILTE"&amp;"R($C61:AJ61, ISNUMBER($C61:AJ61)))),
lastVal + 'K dynamique'!AJ61 * ((SQRT('Résultats des tournois'!AJ$2 + 1)/'Résultats des tournois'!AJ61) - (1 / (1 + 10^((AJ$103 - lastVal)/400)))))
)
))"),"")</f>
        <v/>
      </c>
      <c r="AL61" s="32" t="str">
        <f>IFERROR(__xludf.DUMMYFUNCTION("IF('Résultats des tournois'!AK$2=0,"""",LET(
lastVal, INDEX(FILTER($B61:AK61, ISNUMBER($B61:AK61)), COUNTA(FILTER($B61:AK61, ISNUMBER($B61:AK61)))),
IFERROR(
IF('Résultats des tournois'!AK61="""", INDEX(FILTER($C61:AK61, ISNUMBER($C61:AK61)), COUNTA(FILTE"&amp;"R($C61:AK61, ISNUMBER($C61:AK61)))),
lastVal + 'K dynamique'!AK61 * ((SQRT('Résultats des tournois'!AK$2 + 1)/'Résultats des tournois'!AK61) - (1 / (1 + 10^((AK$103 - lastVal)/400)))))
)
))"),"")</f>
        <v/>
      </c>
      <c r="AM61" s="32" t="str">
        <f>IFERROR(__xludf.DUMMYFUNCTION("IF('Résultats des tournois'!AL$2=0,"""",LET(
lastVal, INDEX(FILTER($B61:AL61, ISNUMBER($B61:AL61)), COUNTA(FILTER($B61:AL61, ISNUMBER($B61:AL61)))),
IFERROR(
IF('Résultats des tournois'!AL61="""", INDEX(FILTER($C61:AL61, ISNUMBER($C61:AL61)), COUNTA(FILTE"&amp;"R($C61:AL61, ISNUMBER($C61:AL61)))),
lastVal + 'K dynamique'!AL61 * ((SQRT('Résultats des tournois'!AL$2 + 1)/'Résultats des tournois'!AL61) - (1 / (1 + 10^((AL$103 - lastVal)/400)))))
)
))"),"")</f>
        <v/>
      </c>
      <c r="AN61" s="32" t="str">
        <f>IFERROR(__xludf.DUMMYFUNCTION("IF('Résultats des tournois'!AM$2=0,"""",LET(
lastVal, INDEX(FILTER($B61:AM61, ISNUMBER($B61:AM61)), COUNTA(FILTER($B61:AM61, ISNUMBER($B61:AM61)))),
IFERROR(
IF('Résultats des tournois'!AM61="""", INDEX(FILTER($C61:AM61, ISNUMBER($C61:AM61)), COUNTA(FILTE"&amp;"R($C61:AM61, ISNUMBER($C61:AM61)))),
lastVal + 'K dynamique'!AM61 * ((SQRT('Résultats des tournois'!AM$2 + 1)/'Résultats des tournois'!AM61) - (1 / (1 + 10^((AM$103 - lastVal)/400)))))
)
))"),"")</f>
        <v/>
      </c>
      <c r="AO61" s="32" t="str">
        <f>IFERROR(__xludf.DUMMYFUNCTION("IF('Résultats des tournois'!AN$2=0,"""",LET(
lastVal, INDEX(FILTER($B61:AN61, ISNUMBER($B61:AN61)), COUNTA(FILTER($B61:AN61, ISNUMBER($B61:AN61)))),
IFERROR(
IF('Résultats des tournois'!AN61="""", INDEX(FILTER($C61:AN61, ISNUMBER($C61:AN61)), COUNTA(FILTE"&amp;"R($C61:AN61, ISNUMBER($C61:AN61)))),
lastVal + 'K dynamique'!AN61 * ((SQRT('Résultats des tournois'!AN$2 + 1)/'Résultats des tournois'!AN61) - (1 / (1 + 10^((AN$103 - lastVal)/400)))))
)
))"),"")</f>
        <v/>
      </c>
      <c r="AP61" s="32" t="str">
        <f>IFERROR(__xludf.DUMMYFUNCTION("IF('Résultats des tournois'!AO$2=0,"""",LET(
lastVal, INDEX(FILTER($B61:AO61, ISNUMBER($B61:AO61)), COUNTA(FILTER($B61:AO61, ISNUMBER($B61:AO61)))),
IFERROR(
IF('Résultats des tournois'!AO61="""", INDEX(FILTER($C61:AO61, ISNUMBER($C61:AO61)), COUNTA(FILTE"&amp;"R($C61:AO61, ISNUMBER($C61:AO61)))),
lastVal + 'K dynamique'!AO61 * ((SQRT('Résultats des tournois'!AO$2 + 1)/'Résultats des tournois'!AO61) - (1 / (1 + 10^((AO$103 - lastVal)/400)))))
)
))"),"")</f>
        <v/>
      </c>
      <c r="AQ61" s="32" t="str">
        <f>IFERROR(__xludf.DUMMYFUNCTION("IF('Résultats des tournois'!AP$2=0,"""",LET(
lastVal, INDEX(FILTER($B61:AP61, ISNUMBER($B61:AP61)), COUNTA(FILTER($B61:AP61, ISNUMBER($B61:AP61)))),
IFERROR(
IF('Résultats des tournois'!AP61="""", INDEX(FILTER($C61:AP61, ISNUMBER($C61:AP61)), COUNTA(FILTE"&amp;"R($C61:AP61, ISNUMBER($C61:AP61)))),
lastVal + 'K dynamique'!AP61 * ((SQRT('Résultats des tournois'!AP$2 + 1)/'Résultats des tournois'!AP61) - (1 / (1 + 10^((AP$103 - lastVal)/400)))))
)
))"),"")</f>
        <v/>
      </c>
      <c r="AR61" s="32" t="str">
        <f>IFERROR(__xludf.DUMMYFUNCTION("IF('Résultats des tournois'!AQ$2=0,"""",LET(
lastVal, INDEX(FILTER($B61:AQ61, ISNUMBER($B61:AQ61)), COUNTA(FILTER($B61:AQ61, ISNUMBER($B61:AQ61)))),
IFERROR(
IF('Résultats des tournois'!AQ61="""", INDEX(FILTER($C61:AQ61, ISNUMBER($C61:AQ61)), COUNTA(FILTE"&amp;"R($C61:AQ61, ISNUMBER($C61:AQ61)))),
lastVal + 'K dynamique'!AQ61 * ((SQRT('Résultats des tournois'!AQ$2 + 1)/'Résultats des tournois'!AQ61) - (1 / (1 + 10^((AQ$103 - lastVal)/400)))))
)
))"),"")</f>
        <v/>
      </c>
      <c r="AS61" s="32" t="str">
        <f>IFERROR(__xludf.DUMMYFUNCTION("IF('Résultats des tournois'!AR$2=0,"""",LET(
lastVal, INDEX(FILTER($B61:AR61, ISNUMBER($B61:AR61)), COUNTA(FILTER($B61:AR61, ISNUMBER($B61:AR61)))),
IFERROR(
IF('Résultats des tournois'!AR61="""", INDEX(FILTER($C61:AR61, ISNUMBER($C61:AR61)), COUNTA(FILTE"&amp;"R($C61:AR61, ISNUMBER($C61:AR61)))),
lastVal + 'K dynamique'!AR61 * ((SQRT('Résultats des tournois'!AR$2 + 1)/'Résultats des tournois'!AR61) - (1 / (1 + 10^((AR$103 - lastVal)/400)))))
)
))"),"")</f>
        <v/>
      </c>
      <c r="AT61" s="32" t="str">
        <f>IFERROR(__xludf.DUMMYFUNCTION("IF('Résultats des tournois'!AS$2=0,"""",LET(
lastVal, INDEX(FILTER($B61:AS61, ISNUMBER($B61:AS61)), COUNTA(FILTER($B61:AS61, ISNUMBER($B61:AS61)))),
IFERROR(
IF('Résultats des tournois'!AS61="""", INDEX(FILTER($C61:AS61, ISNUMBER($C61:AS61)), COUNTA(FILTE"&amp;"R($C61:AS61, ISNUMBER($C61:AS61)))),
lastVal + 'K dynamique'!AS61 * ((SQRT('Résultats des tournois'!AS$2 + 1)/'Résultats des tournois'!AS61) - (1 / (1 + 10^((AS$103 - lastVal)/400)))))
)
))"),"")</f>
        <v/>
      </c>
      <c r="AU61" s="32" t="str">
        <f>IFERROR(__xludf.DUMMYFUNCTION("IF('Résultats des tournois'!AT$2=0,"""",LET(
lastVal, INDEX(FILTER($B61:AT61, ISNUMBER($B61:AT61)), COUNTA(FILTER($B61:AT61, ISNUMBER($B61:AT61)))),
IFERROR(
IF('Résultats des tournois'!AT61="""", INDEX(FILTER($C61:AT61, ISNUMBER($C61:AT61)), COUNTA(FILTE"&amp;"R($C61:AT61, ISNUMBER($C61:AT61)))),
lastVal + 'K dynamique'!AT61 * ((SQRT('Résultats des tournois'!AT$2 + 1)/'Résultats des tournois'!AT61) - (1 / (1 + 10^((AT$103 - lastVal)/400)))))
)
))"),"")</f>
        <v/>
      </c>
      <c r="AV61" s="32" t="str">
        <f>IFERROR(__xludf.DUMMYFUNCTION("IF('Résultats des tournois'!AU$2=0,"""",LET(
lastVal, INDEX(FILTER($B61:AU61, ISNUMBER($B61:AU61)), COUNTA(FILTER($B61:AU61, ISNUMBER($B61:AU61)))),
IFERROR(
IF('Résultats des tournois'!AU61="""", INDEX(FILTER($C61:AU61, ISNUMBER($C61:AU61)), COUNTA(FILTE"&amp;"R($C61:AU61, ISNUMBER($C61:AU61)))),
lastVal + 'K dynamique'!AU61 * ((SQRT('Résultats des tournois'!AU$2 + 1)/'Résultats des tournois'!AU61) - (1 / (1 + 10^((AU$103 - lastVal)/400)))))
)
))"),"")</f>
        <v/>
      </c>
      <c r="AW61" s="32" t="str">
        <f>IFERROR(__xludf.DUMMYFUNCTION("IF('Résultats des tournois'!AV$2=0,"""",LET(
lastVal, INDEX(FILTER($B61:AV61, ISNUMBER($B61:AV61)), COUNTA(FILTER($B61:AV61, ISNUMBER($B61:AV61)))),
IFERROR(
IF('Résultats des tournois'!AV61="""", INDEX(FILTER($C61:AV61, ISNUMBER($C61:AV61)), COUNTA(FILTE"&amp;"R($C61:AV61, ISNUMBER($C61:AV61)))),
lastVal + 'K dynamique'!AV61 * ((SQRT('Résultats des tournois'!AV$2 + 1)/'Résultats des tournois'!AV61) - (1 / (1 + 10^((AV$103 - lastVal)/400)))))
)
))"),"")</f>
        <v/>
      </c>
      <c r="AX61" s="32" t="str">
        <f>IFERROR(__xludf.DUMMYFUNCTION("IF('Résultats des tournois'!AW$2=0,"""",LET(
lastVal, INDEX(FILTER($B61:AW61, ISNUMBER($B61:AW61)), COUNTA(FILTER($B61:AW61, ISNUMBER($B61:AW61)))),
IFERROR(
IF('Résultats des tournois'!AW61="""", INDEX(FILTER($C61:AW61, ISNUMBER($C61:AW61)), COUNTA(FILTE"&amp;"R($C61:AW61, ISNUMBER($C61:AW61)))),
lastVal + 'K dynamique'!AW61 * ((SQRT('Résultats des tournois'!AW$2 + 1)/'Résultats des tournois'!AW61) - (1 / (1 + 10^((AW$103 - lastVal)/400)))))
)
))"),"")</f>
        <v/>
      </c>
      <c r="AY61" s="32" t="str">
        <f>IFERROR(__xludf.DUMMYFUNCTION("IF('Résultats des tournois'!AX$2=0,"""",LET(
lastVal, INDEX(FILTER($B61:AX61, ISNUMBER($B61:AX61)), COUNTA(FILTER($B61:AX61, ISNUMBER($B61:AX61)))),
IFERROR(
IF('Résultats des tournois'!AX61="""", INDEX(FILTER($C61:AX61, ISNUMBER($C61:AX61)), COUNTA(FILTE"&amp;"R($C61:AX61, ISNUMBER($C61:AX61)))),
lastVal + 'K dynamique'!AX61 * ((SQRT('Résultats des tournois'!AX$2 + 1)/'Résultats des tournois'!AX61) - (1 / (1 + 10^((AX$103 - lastVal)/400)))))
)
))"),"")</f>
        <v/>
      </c>
      <c r="AZ61" s="4" t="str">
        <f t="array" ref="AZ61">IF(MAX(($C61:AY61&lt;&gt;"")*COLUMN($C61:AY61))=0,"",INDEX($C61:AY61,1,MAX(($C61:AY61&lt;&gt;"")*COLUMN($C61:AY61))-COLUMN($C61)+1))</f>
        <v/>
      </c>
      <c r="BA61" s="33" t="str">
        <f t="shared" si="1"/>
        <v/>
      </c>
    </row>
    <row r="62" ht="14.25" customHeight="1">
      <c r="A62" s="32" t="str">
        <f>IF('Résultats des tournois'!A62="","",'Résultats des tournois'!A62)</f>
        <v/>
      </c>
      <c r="B62" s="32">
        <v>1500.0</v>
      </c>
      <c r="C62" s="32" t="str">
        <f>IF('Résultats des tournois'!B62="","",B62+'K dynamique'!B62*((SQRT('Résultats des tournois'!B$2+1)/'Résultats des tournois'!B62)-(1/(1+10^((B62-B62)/400)))))</f>
        <v/>
      </c>
      <c r="D62" s="32" t="str">
        <f>IFERROR(__xludf.DUMMYFUNCTION("IF('Résultats des tournois'!C$2=0,"""",LET(
lastVal, INDEX(FILTER($B62:C62, ISNUMBER($B62:C62)), COUNTA(FILTER($B62:C62, ISNUMBER($B62:C62)))),
IFERROR(
IF('Résultats des tournois'!C62="""", INDEX(FILTER($C62:C62, ISNUMBER($C62:C62)), COUNTA(FILTER($C62:C"&amp;"62, ISNUMBER($C62:C62)))),
lastVal + 'K dynamique'!C62 * ((SQRT('Résultats des tournois'!C$2 + 1)/'Résultats des tournois'!C62) - (1 / (1 + 10^((C$103 - lastVal)/400)))))
)
))"),"")</f>
        <v/>
      </c>
      <c r="E62" s="32" t="str">
        <f>IFERROR(__xludf.DUMMYFUNCTION("IF('Résultats des tournois'!D$2=0,"""",LET(
lastVal, INDEX(FILTER($B62:D62, ISNUMBER($B62:D62)), COUNTA(FILTER($B62:D62, ISNUMBER($B62:D62)))),
IFERROR(
IF('Résultats des tournois'!D62="""", INDEX(FILTER($C62:D62, ISNUMBER($C62:D62)), COUNTA(FILTER($C62:D"&amp;"62, ISNUMBER($C62:D62)))),
lastVal + 'K dynamique'!D62 * ((SQRT('Résultats des tournois'!D$2 + 1)/'Résultats des tournois'!D62) - (1 / (1 + 10^((D$103 - lastVal)/400)))))
)
))"),"")</f>
        <v/>
      </c>
      <c r="F62" s="32" t="str">
        <f>IFERROR(__xludf.DUMMYFUNCTION("IF('Résultats des tournois'!E$2=0,"""",LET(
lastVal, INDEX(FILTER($B62:E62, ISNUMBER($B62:E62)), COUNTA(FILTER($B62:E62, ISNUMBER($B62:E62)))),
IFERROR(
IF('Résultats des tournois'!E62="""", INDEX(FILTER($C62:E62, ISNUMBER($C62:E62)), COUNTA(FILTER($C62:E"&amp;"62, ISNUMBER($C62:E62)))),
lastVal + 'K dynamique'!E62 * ((SQRT('Résultats des tournois'!E$2 + 1)/'Résultats des tournois'!E62) - (1 / (1 + 10^((E$103 - lastVal)/400)))))
)
))"),"")</f>
        <v/>
      </c>
      <c r="G62" s="32" t="str">
        <f>IFERROR(__xludf.DUMMYFUNCTION("IF('Résultats des tournois'!F$2=0,"""",LET(
lastVal, INDEX(FILTER($B62:F62, ISNUMBER($B62:F62)), COUNTA(FILTER($B62:F62, ISNUMBER($B62:F62)))),
IFERROR(
IF('Résultats des tournois'!F62="""", INDEX(FILTER($C62:F62, ISNUMBER($C62:F62)), COUNTA(FILTER($C62:F"&amp;"62, ISNUMBER($C62:F62)))),
lastVal + 'K dynamique'!F62 * ((SQRT('Résultats des tournois'!F$2 + 1)/'Résultats des tournois'!F62) - (1 / (1 + 10^((F$103 - lastVal)/400)))))
)
))"),"")</f>
        <v/>
      </c>
      <c r="H62" s="32" t="str">
        <f>IFERROR(__xludf.DUMMYFUNCTION("IF('Résultats des tournois'!G$2=0,"""",LET(
lastVal, INDEX(FILTER($B62:G62, ISNUMBER($B62:G62)), COUNTA(FILTER($B62:G62, ISNUMBER($B62:G62)))),
IFERROR(
IF('Résultats des tournois'!G62="""", INDEX(FILTER($C62:G62, ISNUMBER($C62:G62)), COUNTA(FILTER($C62:G"&amp;"62, ISNUMBER($C62:G62)))),
lastVal + 'K dynamique'!G62 * ((SQRT('Résultats des tournois'!G$2 + 1)/'Résultats des tournois'!G62) - (1 / (1 + 10^((G$103 - lastVal)/400)))))
)
))"),"")</f>
        <v/>
      </c>
      <c r="I62" s="32" t="str">
        <f>IFERROR(__xludf.DUMMYFUNCTION("IF('Résultats des tournois'!H$2=0,"""",LET(
lastVal, INDEX(FILTER($B62:H62, ISNUMBER($B62:H62)), COUNTA(FILTER($B62:H62, ISNUMBER($B62:H62)))),
IFERROR(
IF('Résultats des tournois'!H62="""", INDEX(FILTER($C62:H62, ISNUMBER($C62:H62)), COUNTA(FILTER($C62:H"&amp;"62, ISNUMBER($C62:H62)))),
lastVal + 'K dynamique'!H62 * ((SQRT('Résultats des tournois'!H$2 + 1)/'Résultats des tournois'!H62) - (1 / (1 + 10^((H$103 - lastVal)/400)))))
)
))"),"")</f>
        <v/>
      </c>
      <c r="J62" s="32" t="str">
        <f>IFERROR(__xludf.DUMMYFUNCTION("IF('Résultats des tournois'!I$2=0,"""",LET(
lastVal, INDEX(FILTER($B62:I62, ISNUMBER($B62:I62)), COUNTA(FILTER($B62:I62, ISNUMBER($B62:I62)))),
IFERROR(
IF('Résultats des tournois'!I62="""", INDEX(FILTER($C62:I62, ISNUMBER($C62:I62)), COUNTA(FILTER($C62:I"&amp;"62, ISNUMBER($C62:I62)))),
lastVal + 'K dynamique'!I62 * ((SQRT('Résultats des tournois'!I$2 + 1)/'Résultats des tournois'!I62) - (1 / (1 + 10^((I$103 - lastVal)/400)))))
)
))"),"")</f>
        <v/>
      </c>
      <c r="K62" s="32" t="str">
        <f>IFERROR(__xludf.DUMMYFUNCTION("IF('Résultats des tournois'!J$2=0,"""",LET(
lastVal, INDEX(FILTER($B62:J62, ISNUMBER($B62:J62)), COUNTA(FILTER($B62:J62, ISNUMBER($B62:J62)))),
IFERROR(
IF('Résultats des tournois'!J62="""", INDEX(FILTER($C62:J62, ISNUMBER($C62:J62)), COUNTA(FILTER($C62:J"&amp;"62, ISNUMBER($C62:J62)))),
lastVal + 'K dynamique'!J62 * ((SQRT('Résultats des tournois'!J$2 + 1)/'Résultats des tournois'!J62) - (1 / (1 + 10^((J$103 - lastVal)/400)))))
)
))"),"")</f>
        <v/>
      </c>
      <c r="L62" s="32" t="str">
        <f>IFERROR(__xludf.DUMMYFUNCTION("IF('Résultats des tournois'!K$2=0,"""",LET(
lastVal, INDEX(FILTER($B62:K62, ISNUMBER($B62:K62)), COUNTA(FILTER($B62:K62, ISNUMBER($B62:K62)))),
IFERROR(
IF('Résultats des tournois'!K62="""", INDEX(FILTER($C62:K62, ISNUMBER($C62:K62)), COUNTA(FILTER($C62:K"&amp;"62, ISNUMBER($C62:K62)))),
lastVal + 'K dynamique'!K62 * ((SQRT('Résultats des tournois'!K$2 + 1)/'Résultats des tournois'!K62) - (1 / (1 + 10^((K$103 - lastVal)/400)))))
)
))"),"")</f>
        <v/>
      </c>
      <c r="M62" s="32" t="str">
        <f>IFERROR(__xludf.DUMMYFUNCTION("IF('Résultats des tournois'!L$2=0,"""",LET(
lastVal, INDEX(FILTER($B62:L62, ISNUMBER($B62:L62)), COUNTA(FILTER($B62:L62, ISNUMBER($B62:L62)))),
IFERROR(
IF('Résultats des tournois'!L62="""", INDEX(FILTER($C62:L62, ISNUMBER($C62:L62)), COUNTA(FILTER($C62:L"&amp;"62, ISNUMBER($C62:L62)))),
lastVal + 'K dynamique'!L62 * ((SQRT('Résultats des tournois'!L$2 + 1)/'Résultats des tournois'!L62) - (1 / (1 + 10^((L$103 - lastVal)/400)))))
)
))"),"")</f>
        <v/>
      </c>
      <c r="N62" s="32" t="str">
        <f>IFERROR(__xludf.DUMMYFUNCTION("IF('Résultats des tournois'!M$2=0,"""",LET(
lastVal, INDEX(FILTER($B62:M62, ISNUMBER($B62:M62)), COUNTA(FILTER($B62:M62, ISNUMBER($B62:M62)))),
IFERROR(
IF('Résultats des tournois'!M62="""", INDEX(FILTER($C62:M62, ISNUMBER($C62:M62)), COUNTA(FILTER($C62:M"&amp;"62, ISNUMBER($C62:M62)))),
lastVal + 'K dynamique'!M62 * ((SQRT('Résultats des tournois'!M$2 + 1)/'Résultats des tournois'!M62) - (1 / (1 + 10^((M$103 - lastVal)/400)))))
)
))"),"")</f>
        <v/>
      </c>
      <c r="O62" s="32" t="str">
        <f>IFERROR(__xludf.DUMMYFUNCTION("IF('Résultats des tournois'!N$2=0,"""",LET(
lastVal, INDEX(FILTER($B62:N62, ISNUMBER($B62:N62)), COUNTA(FILTER($B62:N62, ISNUMBER($B62:N62)))),
IFERROR(
IF('Résultats des tournois'!N62="""", INDEX(FILTER($C62:N62, ISNUMBER($C62:N62)), COUNTA(FILTER($C62:N"&amp;"62, ISNUMBER($C62:N62)))),
lastVal + 'K dynamique'!N62 * ((SQRT('Résultats des tournois'!N$2 + 1)/'Résultats des tournois'!N62) - (1 / (1 + 10^((N$103 - lastVal)/400)))))
)
))"),"")</f>
        <v/>
      </c>
      <c r="P62" s="32" t="str">
        <f>IFERROR(__xludf.DUMMYFUNCTION("IF('Résultats des tournois'!O$2=0,"""",LET(
lastVal, INDEX(FILTER($B62:O62, ISNUMBER($B62:O62)), COUNTA(FILTER($B62:O62, ISNUMBER($B62:O62)))),
IFERROR(
IF('Résultats des tournois'!O62="""", INDEX(FILTER($C62:O62, ISNUMBER($C62:O62)), COUNTA(FILTER($C62:O"&amp;"62, ISNUMBER($C62:O62)))),
lastVal + 'K dynamique'!O62 * ((SQRT('Résultats des tournois'!O$2 + 1)/'Résultats des tournois'!O62) - (1 / (1 + 10^((O$103 - lastVal)/400)))))
)
))"),"")</f>
        <v/>
      </c>
      <c r="Q62" s="32" t="str">
        <f>IFERROR(__xludf.DUMMYFUNCTION("IF('Résultats des tournois'!P$2=0,"""",LET(
lastVal, INDEX(FILTER($B62:P62, ISNUMBER($B62:P62)), COUNTA(FILTER($B62:P62, ISNUMBER($B62:P62)))),
IFERROR(
IF('Résultats des tournois'!P62="""", INDEX(FILTER($C62:P62, ISNUMBER($C62:P62)), COUNTA(FILTER($C62:P"&amp;"62, ISNUMBER($C62:P62)))),
lastVal + 'K dynamique'!P62 * ((SQRT('Résultats des tournois'!P$2 + 1)/'Résultats des tournois'!P62) - (1 / (1 + 10^((P$103 - lastVal)/400)))))
)
))"),"")</f>
        <v/>
      </c>
      <c r="R62" s="32" t="str">
        <f>IFERROR(__xludf.DUMMYFUNCTION("IF('Résultats des tournois'!Q$2=0,"""",LET(
lastVal, INDEX(FILTER($B62:Q62, ISNUMBER($B62:Q62)), COUNTA(FILTER($B62:Q62, ISNUMBER($B62:Q62)))),
IFERROR(
IF('Résultats des tournois'!Q62="""", INDEX(FILTER($C62:Q62, ISNUMBER($C62:Q62)), COUNTA(FILTER($C62:Q"&amp;"62, ISNUMBER($C62:Q62)))),
lastVal + 'K dynamique'!Q62 * ((SQRT('Résultats des tournois'!Q$2 + 1)/'Résultats des tournois'!Q62) - (1 / (1 + 10^((Q$103 - lastVal)/400)))))
)
))"),"")</f>
        <v/>
      </c>
      <c r="S62" s="32" t="str">
        <f>IFERROR(__xludf.DUMMYFUNCTION("IF('Résultats des tournois'!R$2=0,"""",LET(
lastVal, INDEX(FILTER($B62:R62, ISNUMBER($B62:R62)), COUNTA(FILTER($B62:R62, ISNUMBER($B62:R62)))),
IFERROR(
IF('Résultats des tournois'!R62="""", INDEX(FILTER($C62:R62, ISNUMBER($C62:R62)), COUNTA(FILTER($C62:R"&amp;"62, ISNUMBER($C62:R62)))),
lastVal + 'K dynamique'!R62 * ((SQRT('Résultats des tournois'!R$2 + 1)/'Résultats des tournois'!R62) - (1 / (1 + 10^((R$103 - lastVal)/400)))))
)
))"),"")</f>
        <v/>
      </c>
      <c r="T62" s="32" t="str">
        <f>IFERROR(__xludf.DUMMYFUNCTION("IF('Résultats des tournois'!S$2=0,"""",LET(
lastVal, INDEX(FILTER($B62:S62, ISNUMBER($B62:S62)), COUNTA(FILTER($B62:S62, ISNUMBER($B62:S62)))),
IFERROR(
IF('Résultats des tournois'!S62="""", INDEX(FILTER($C62:S62, ISNUMBER($C62:S62)), COUNTA(FILTER($C62:S"&amp;"62, ISNUMBER($C62:S62)))),
lastVal + 'K dynamique'!S62 * ((SQRT('Résultats des tournois'!S$2 + 1)/'Résultats des tournois'!S62) - (1 / (1 + 10^((S$103 - lastVal)/400)))))
)
))"),"")</f>
        <v/>
      </c>
      <c r="U62" s="32" t="str">
        <f>IFERROR(__xludf.DUMMYFUNCTION("IF('Résultats des tournois'!T$2=0,"""",LET(
lastVal, INDEX(FILTER($B62:T62, ISNUMBER($B62:T62)), COUNTA(FILTER($B62:T62, ISNUMBER($B62:T62)))),
IFERROR(
IF('Résultats des tournois'!T62="""", INDEX(FILTER($C62:T62, ISNUMBER($C62:T62)), COUNTA(FILTER($C62:T"&amp;"62, ISNUMBER($C62:T62)))),
lastVal + 'K dynamique'!T62 * ((SQRT('Résultats des tournois'!T$2 + 1)/'Résultats des tournois'!T62) - (1 / (1 + 10^((T$103 - lastVal)/400)))))
)
))"),"")</f>
        <v/>
      </c>
      <c r="V62" s="32" t="str">
        <f>IFERROR(__xludf.DUMMYFUNCTION("IF('Résultats des tournois'!U$2=0,"""",LET(
lastVal, INDEX(FILTER($B62:U62, ISNUMBER($B62:U62)), COUNTA(FILTER($B62:U62, ISNUMBER($B62:U62)))),
IFERROR(
IF('Résultats des tournois'!U62="""", INDEX(FILTER($C62:U62, ISNUMBER($C62:U62)), COUNTA(FILTER($C62:U"&amp;"62, ISNUMBER($C62:U62)))),
lastVal + 'K dynamique'!U62 * ((SQRT('Résultats des tournois'!U$2 + 1)/'Résultats des tournois'!U62) - (1 / (1 + 10^((U$103 - lastVal)/400)))))
)
))"),"")</f>
        <v/>
      </c>
      <c r="W62" s="32" t="str">
        <f>IFERROR(__xludf.DUMMYFUNCTION("IF('Résultats des tournois'!V$2=0,"""",LET(
lastVal, INDEX(FILTER($B62:V62, ISNUMBER($B62:V62)), COUNTA(FILTER($B62:V62, ISNUMBER($B62:V62)))),
IFERROR(
IF('Résultats des tournois'!V62="""", INDEX(FILTER($C62:V62, ISNUMBER($C62:V62)), COUNTA(FILTER($C62:V"&amp;"62, ISNUMBER($C62:V62)))),
lastVal + 'K dynamique'!V62 * ((SQRT('Résultats des tournois'!V$2 + 1)/'Résultats des tournois'!V62) - (1 / (1 + 10^((V$103 - lastVal)/400)))))
)
))"),"")</f>
        <v/>
      </c>
      <c r="X62" s="32" t="str">
        <f>IFERROR(__xludf.DUMMYFUNCTION("IF('Résultats des tournois'!W$2=0,"""",LET(
lastVal, INDEX(FILTER($B62:W62, ISNUMBER($B62:W62)), COUNTA(FILTER($B62:W62, ISNUMBER($B62:W62)))),
IFERROR(
IF('Résultats des tournois'!W62="""", INDEX(FILTER($C62:W62, ISNUMBER($C62:W62)), COUNTA(FILTER($C62:W"&amp;"62, ISNUMBER($C62:W62)))),
lastVal + 'K dynamique'!W62 * ((SQRT('Résultats des tournois'!W$2 + 1)/'Résultats des tournois'!W62) - (1 / (1 + 10^((W$103 - lastVal)/400)))))
)
))"),"")</f>
        <v/>
      </c>
      <c r="Y62" s="32" t="str">
        <f>IFERROR(__xludf.DUMMYFUNCTION("IF('Résultats des tournois'!X$2=0,"""",LET(
lastVal, INDEX(FILTER($B62:X62, ISNUMBER($B62:X62)), COUNTA(FILTER($B62:X62, ISNUMBER($B62:X62)))),
IFERROR(
IF('Résultats des tournois'!X62="""", INDEX(FILTER($C62:X62, ISNUMBER($C62:X62)), COUNTA(FILTER($C62:X"&amp;"62, ISNUMBER($C62:X62)))),
lastVal + 'K dynamique'!X62 * ((SQRT('Résultats des tournois'!X$2 + 1)/'Résultats des tournois'!X62) - (1 / (1 + 10^((X$103 - lastVal)/400)))))
)
))"),"")</f>
        <v/>
      </c>
      <c r="Z62" s="32" t="str">
        <f>IFERROR(__xludf.DUMMYFUNCTION("IF('Résultats des tournois'!Y$2=0,"""",LET(
lastVal, INDEX(FILTER($B62:Y62, ISNUMBER($B62:Y62)), COUNTA(FILTER($B62:Y62, ISNUMBER($B62:Y62)))),
IFERROR(
IF('Résultats des tournois'!Y62="""", INDEX(FILTER($C62:Y62, ISNUMBER($C62:Y62)), COUNTA(FILTER($C62:Y"&amp;"62, ISNUMBER($C62:Y62)))),
lastVal + 'K dynamique'!Y62 * ((SQRT('Résultats des tournois'!Y$2 + 1)/'Résultats des tournois'!Y62) - (1 / (1 + 10^((Y$103 - lastVal)/400)))))
)
))"),"")</f>
        <v/>
      </c>
      <c r="AA62" s="32" t="str">
        <f>IFERROR(__xludf.DUMMYFUNCTION("IF('Résultats des tournois'!Z$2=0,"""",LET(
lastVal, INDEX(FILTER($B62:Z62, ISNUMBER($B62:Z62)), COUNTA(FILTER($B62:Z62, ISNUMBER($B62:Z62)))),
IFERROR(
IF('Résultats des tournois'!Z62="""", INDEX(FILTER($C62:Z62, ISNUMBER($C62:Z62)), COUNTA(FILTER($C62:Z"&amp;"62, ISNUMBER($C62:Z62)))),
lastVal + 'K dynamique'!Z62 * ((SQRT('Résultats des tournois'!Z$2 + 1)/'Résultats des tournois'!Z62) - (1 / (1 + 10^((Z$103 - lastVal)/400)))))
)
))"),"")</f>
        <v/>
      </c>
      <c r="AB62" s="32" t="str">
        <f>IFERROR(__xludf.DUMMYFUNCTION("IF('Résultats des tournois'!AA$2=0,"""",LET(
lastVal, INDEX(FILTER($B62:AA62, ISNUMBER($B62:AA62)), COUNTA(FILTER($B62:AA62, ISNUMBER($B62:AA62)))),
IFERROR(
IF('Résultats des tournois'!AA62="""", INDEX(FILTER($C62:AA62, ISNUMBER($C62:AA62)), COUNTA(FILTE"&amp;"R($C62:AA62, ISNUMBER($C62:AA62)))),
lastVal + 'K dynamique'!AA62 * ((SQRT('Résultats des tournois'!AA$2 + 1)/'Résultats des tournois'!AA62) - (1 / (1 + 10^((AA$103 - lastVal)/400)))))
)
))"),"")</f>
        <v/>
      </c>
      <c r="AC62" s="32" t="str">
        <f>IFERROR(__xludf.DUMMYFUNCTION("IF('Résultats des tournois'!AB$2=0,"""",LET(
lastVal, INDEX(FILTER($B62:AB62, ISNUMBER($B62:AB62)), COUNTA(FILTER($B62:AB62, ISNUMBER($B62:AB62)))),
IFERROR(
IF('Résultats des tournois'!AB62="""", INDEX(FILTER($C62:AB62, ISNUMBER($C62:AB62)), COUNTA(FILTE"&amp;"R($C62:AB62, ISNUMBER($C62:AB62)))),
lastVal + 'K dynamique'!AB62 * ((SQRT('Résultats des tournois'!AB$2 + 1)/'Résultats des tournois'!AB62) - (1 / (1 + 10^((AB$103 - lastVal)/400)))))
)
))"),"")</f>
        <v/>
      </c>
      <c r="AD62" s="32" t="str">
        <f>IFERROR(__xludf.DUMMYFUNCTION("IF('Résultats des tournois'!AC$2=0,"""",LET(
lastVal, INDEX(FILTER($B62:AC62, ISNUMBER($B62:AC62)), COUNTA(FILTER($B62:AC62, ISNUMBER($B62:AC62)))),
IFERROR(
IF('Résultats des tournois'!AC62="""", INDEX(FILTER($C62:AC62, ISNUMBER($C62:AC62)), COUNTA(FILTE"&amp;"R($C62:AC62, ISNUMBER($C62:AC62)))),
lastVal + 'K dynamique'!AC62 * ((SQRT('Résultats des tournois'!AC$2 + 1)/'Résultats des tournois'!AC62) - (1 / (1 + 10^((AC$103 - lastVal)/400)))))
)
))"),"")</f>
        <v/>
      </c>
      <c r="AE62" s="32" t="str">
        <f>IFERROR(__xludf.DUMMYFUNCTION("IF('Résultats des tournois'!AD$2=0,"""",LET(
lastVal, INDEX(FILTER($B62:AD62, ISNUMBER($B62:AD62)), COUNTA(FILTER($B62:AD62, ISNUMBER($B62:AD62)))),
IFERROR(
IF('Résultats des tournois'!AD62="""", INDEX(FILTER($C62:AD62, ISNUMBER($C62:AD62)), COUNTA(FILTE"&amp;"R($C62:AD62, ISNUMBER($C62:AD62)))),
lastVal + 'K dynamique'!AD62 * ((SQRT('Résultats des tournois'!AD$2 + 1)/'Résultats des tournois'!AD62) - (1 / (1 + 10^((AD$103 - lastVal)/400)))))
)
))"),"")</f>
        <v/>
      </c>
      <c r="AF62" s="32" t="str">
        <f>IFERROR(__xludf.DUMMYFUNCTION("IF('Résultats des tournois'!AE$2=0,"""",LET(
lastVal, INDEX(FILTER($B62:AE62, ISNUMBER($B62:AE62)), COUNTA(FILTER($B62:AE62, ISNUMBER($B62:AE62)))),
IFERROR(
IF('Résultats des tournois'!AE62="""", INDEX(FILTER($C62:AE62, ISNUMBER($C62:AE62)), COUNTA(FILTE"&amp;"R($C62:AE62, ISNUMBER($C62:AE62)))),
lastVal + 'K dynamique'!AE62 * ((SQRT('Résultats des tournois'!AE$2 + 1)/'Résultats des tournois'!AE62) - (1 / (1 + 10^((AE$103 - lastVal)/400)))))
)
))"),"")</f>
        <v/>
      </c>
      <c r="AG62" s="32" t="str">
        <f>IFERROR(__xludf.DUMMYFUNCTION("IF('Résultats des tournois'!AF$2=0,"""",LET(
lastVal, INDEX(FILTER($B62:AF62, ISNUMBER($B62:AF62)), COUNTA(FILTER($B62:AF62, ISNUMBER($B62:AF62)))),
IFERROR(
IF('Résultats des tournois'!AF62="""", INDEX(FILTER($C62:AF62, ISNUMBER($C62:AF62)), COUNTA(FILTE"&amp;"R($C62:AF62, ISNUMBER($C62:AF62)))),
lastVal + 'K dynamique'!AF62 * ((SQRT('Résultats des tournois'!AF$2 + 1)/'Résultats des tournois'!AF62) - (1 / (1 + 10^((AF$103 - lastVal)/400)))))
)
))"),"")</f>
        <v/>
      </c>
      <c r="AH62" s="32" t="str">
        <f>IFERROR(__xludf.DUMMYFUNCTION("IF('Résultats des tournois'!AG$2=0,"""",LET(
lastVal, INDEX(FILTER($B62:AG62, ISNUMBER($B62:AG62)), COUNTA(FILTER($B62:AG62, ISNUMBER($B62:AG62)))),
IFERROR(
IF('Résultats des tournois'!AG62="""", INDEX(FILTER($C62:AG62, ISNUMBER($C62:AG62)), COUNTA(FILTE"&amp;"R($C62:AG62, ISNUMBER($C62:AG62)))),
lastVal + 'K dynamique'!AG62 * ((SQRT('Résultats des tournois'!AG$2 + 1)/'Résultats des tournois'!AG62) - (1 / (1 + 10^((AG$103 - lastVal)/400)))))
)
))"),"")</f>
        <v/>
      </c>
      <c r="AI62" s="32" t="str">
        <f>IFERROR(__xludf.DUMMYFUNCTION("IF('Résultats des tournois'!AH$2=0,"""",LET(
lastVal, INDEX(FILTER($B62:AH62, ISNUMBER($B62:AH62)), COUNTA(FILTER($B62:AH62, ISNUMBER($B62:AH62)))),
IFERROR(
IF('Résultats des tournois'!AH62="""", INDEX(FILTER($C62:AH62, ISNUMBER($C62:AH62)), COUNTA(FILTE"&amp;"R($C62:AH62, ISNUMBER($C62:AH62)))),
lastVal + 'K dynamique'!AH62 * ((SQRT('Résultats des tournois'!AH$2 + 1)/'Résultats des tournois'!AH62) - (1 / (1 + 10^((AH$103 - lastVal)/400)))))
)
))"),"")</f>
        <v/>
      </c>
      <c r="AJ62" s="32" t="str">
        <f>IFERROR(__xludf.DUMMYFUNCTION("IF('Résultats des tournois'!AI$2=0,"""",LET(
lastVal, INDEX(FILTER($B62:AI62, ISNUMBER($B62:AI62)), COUNTA(FILTER($B62:AI62, ISNUMBER($B62:AI62)))),
IFERROR(
IF('Résultats des tournois'!AI62="""", INDEX(FILTER($C62:AI62, ISNUMBER($C62:AI62)), COUNTA(FILTE"&amp;"R($C62:AI62, ISNUMBER($C62:AI62)))),
lastVal + 'K dynamique'!AI62 * ((SQRT('Résultats des tournois'!AI$2 + 1)/'Résultats des tournois'!AI62) - (1 / (1 + 10^((AI$103 - lastVal)/400)))))
)
))"),"")</f>
        <v/>
      </c>
      <c r="AK62" s="32" t="str">
        <f>IFERROR(__xludf.DUMMYFUNCTION("IF('Résultats des tournois'!AJ$2=0,"""",LET(
lastVal, INDEX(FILTER($B62:AJ62, ISNUMBER($B62:AJ62)), COUNTA(FILTER($B62:AJ62, ISNUMBER($B62:AJ62)))),
IFERROR(
IF('Résultats des tournois'!AJ62="""", INDEX(FILTER($C62:AJ62, ISNUMBER($C62:AJ62)), COUNTA(FILTE"&amp;"R($C62:AJ62, ISNUMBER($C62:AJ62)))),
lastVal + 'K dynamique'!AJ62 * ((SQRT('Résultats des tournois'!AJ$2 + 1)/'Résultats des tournois'!AJ62) - (1 / (1 + 10^((AJ$103 - lastVal)/400)))))
)
))"),"")</f>
        <v/>
      </c>
      <c r="AL62" s="32" t="str">
        <f>IFERROR(__xludf.DUMMYFUNCTION("IF('Résultats des tournois'!AK$2=0,"""",LET(
lastVal, INDEX(FILTER($B62:AK62, ISNUMBER($B62:AK62)), COUNTA(FILTER($B62:AK62, ISNUMBER($B62:AK62)))),
IFERROR(
IF('Résultats des tournois'!AK62="""", INDEX(FILTER($C62:AK62, ISNUMBER($C62:AK62)), COUNTA(FILTE"&amp;"R($C62:AK62, ISNUMBER($C62:AK62)))),
lastVal + 'K dynamique'!AK62 * ((SQRT('Résultats des tournois'!AK$2 + 1)/'Résultats des tournois'!AK62) - (1 / (1 + 10^((AK$103 - lastVal)/400)))))
)
))"),"")</f>
        <v/>
      </c>
      <c r="AM62" s="32" t="str">
        <f>IFERROR(__xludf.DUMMYFUNCTION("IF('Résultats des tournois'!AL$2=0,"""",LET(
lastVal, INDEX(FILTER($B62:AL62, ISNUMBER($B62:AL62)), COUNTA(FILTER($B62:AL62, ISNUMBER($B62:AL62)))),
IFERROR(
IF('Résultats des tournois'!AL62="""", INDEX(FILTER($C62:AL62, ISNUMBER($C62:AL62)), COUNTA(FILTE"&amp;"R($C62:AL62, ISNUMBER($C62:AL62)))),
lastVal + 'K dynamique'!AL62 * ((SQRT('Résultats des tournois'!AL$2 + 1)/'Résultats des tournois'!AL62) - (1 / (1 + 10^((AL$103 - lastVal)/400)))))
)
))"),"")</f>
        <v/>
      </c>
      <c r="AN62" s="32" t="str">
        <f>IFERROR(__xludf.DUMMYFUNCTION("IF('Résultats des tournois'!AM$2=0,"""",LET(
lastVal, INDEX(FILTER($B62:AM62, ISNUMBER($B62:AM62)), COUNTA(FILTER($B62:AM62, ISNUMBER($B62:AM62)))),
IFERROR(
IF('Résultats des tournois'!AM62="""", INDEX(FILTER($C62:AM62, ISNUMBER($C62:AM62)), COUNTA(FILTE"&amp;"R($C62:AM62, ISNUMBER($C62:AM62)))),
lastVal + 'K dynamique'!AM62 * ((SQRT('Résultats des tournois'!AM$2 + 1)/'Résultats des tournois'!AM62) - (1 / (1 + 10^((AM$103 - lastVal)/400)))))
)
))"),"")</f>
        <v/>
      </c>
      <c r="AO62" s="32" t="str">
        <f>IFERROR(__xludf.DUMMYFUNCTION("IF('Résultats des tournois'!AN$2=0,"""",LET(
lastVal, INDEX(FILTER($B62:AN62, ISNUMBER($B62:AN62)), COUNTA(FILTER($B62:AN62, ISNUMBER($B62:AN62)))),
IFERROR(
IF('Résultats des tournois'!AN62="""", INDEX(FILTER($C62:AN62, ISNUMBER($C62:AN62)), COUNTA(FILTE"&amp;"R($C62:AN62, ISNUMBER($C62:AN62)))),
lastVal + 'K dynamique'!AN62 * ((SQRT('Résultats des tournois'!AN$2 + 1)/'Résultats des tournois'!AN62) - (1 / (1 + 10^((AN$103 - lastVal)/400)))))
)
))"),"")</f>
        <v/>
      </c>
      <c r="AP62" s="32" t="str">
        <f>IFERROR(__xludf.DUMMYFUNCTION("IF('Résultats des tournois'!AO$2=0,"""",LET(
lastVal, INDEX(FILTER($B62:AO62, ISNUMBER($B62:AO62)), COUNTA(FILTER($B62:AO62, ISNUMBER($B62:AO62)))),
IFERROR(
IF('Résultats des tournois'!AO62="""", INDEX(FILTER($C62:AO62, ISNUMBER($C62:AO62)), COUNTA(FILTE"&amp;"R($C62:AO62, ISNUMBER($C62:AO62)))),
lastVal + 'K dynamique'!AO62 * ((SQRT('Résultats des tournois'!AO$2 + 1)/'Résultats des tournois'!AO62) - (1 / (1 + 10^((AO$103 - lastVal)/400)))))
)
))"),"")</f>
        <v/>
      </c>
      <c r="AQ62" s="32" t="str">
        <f>IFERROR(__xludf.DUMMYFUNCTION("IF('Résultats des tournois'!AP$2=0,"""",LET(
lastVal, INDEX(FILTER($B62:AP62, ISNUMBER($B62:AP62)), COUNTA(FILTER($B62:AP62, ISNUMBER($B62:AP62)))),
IFERROR(
IF('Résultats des tournois'!AP62="""", INDEX(FILTER($C62:AP62, ISNUMBER($C62:AP62)), COUNTA(FILTE"&amp;"R($C62:AP62, ISNUMBER($C62:AP62)))),
lastVal + 'K dynamique'!AP62 * ((SQRT('Résultats des tournois'!AP$2 + 1)/'Résultats des tournois'!AP62) - (1 / (1 + 10^((AP$103 - lastVal)/400)))))
)
))"),"")</f>
        <v/>
      </c>
      <c r="AR62" s="32" t="str">
        <f>IFERROR(__xludf.DUMMYFUNCTION("IF('Résultats des tournois'!AQ$2=0,"""",LET(
lastVal, INDEX(FILTER($B62:AQ62, ISNUMBER($B62:AQ62)), COUNTA(FILTER($B62:AQ62, ISNUMBER($B62:AQ62)))),
IFERROR(
IF('Résultats des tournois'!AQ62="""", INDEX(FILTER($C62:AQ62, ISNUMBER($C62:AQ62)), COUNTA(FILTE"&amp;"R($C62:AQ62, ISNUMBER($C62:AQ62)))),
lastVal + 'K dynamique'!AQ62 * ((SQRT('Résultats des tournois'!AQ$2 + 1)/'Résultats des tournois'!AQ62) - (1 / (1 + 10^((AQ$103 - lastVal)/400)))))
)
))"),"")</f>
        <v/>
      </c>
      <c r="AS62" s="32" t="str">
        <f>IFERROR(__xludf.DUMMYFUNCTION("IF('Résultats des tournois'!AR$2=0,"""",LET(
lastVal, INDEX(FILTER($B62:AR62, ISNUMBER($B62:AR62)), COUNTA(FILTER($B62:AR62, ISNUMBER($B62:AR62)))),
IFERROR(
IF('Résultats des tournois'!AR62="""", INDEX(FILTER($C62:AR62, ISNUMBER($C62:AR62)), COUNTA(FILTE"&amp;"R($C62:AR62, ISNUMBER($C62:AR62)))),
lastVal + 'K dynamique'!AR62 * ((SQRT('Résultats des tournois'!AR$2 + 1)/'Résultats des tournois'!AR62) - (1 / (1 + 10^((AR$103 - lastVal)/400)))))
)
))"),"")</f>
        <v/>
      </c>
      <c r="AT62" s="32" t="str">
        <f>IFERROR(__xludf.DUMMYFUNCTION("IF('Résultats des tournois'!AS$2=0,"""",LET(
lastVal, INDEX(FILTER($B62:AS62, ISNUMBER($B62:AS62)), COUNTA(FILTER($B62:AS62, ISNUMBER($B62:AS62)))),
IFERROR(
IF('Résultats des tournois'!AS62="""", INDEX(FILTER($C62:AS62, ISNUMBER($C62:AS62)), COUNTA(FILTE"&amp;"R($C62:AS62, ISNUMBER($C62:AS62)))),
lastVal + 'K dynamique'!AS62 * ((SQRT('Résultats des tournois'!AS$2 + 1)/'Résultats des tournois'!AS62) - (1 / (1 + 10^((AS$103 - lastVal)/400)))))
)
))"),"")</f>
        <v/>
      </c>
      <c r="AU62" s="32" t="str">
        <f>IFERROR(__xludf.DUMMYFUNCTION("IF('Résultats des tournois'!AT$2=0,"""",LET(
lastVal, INDEX(FILTER($B62:AT62, ISNUMBER($B62:AT62)), COUNTA(FILTER($B62:AT62, ISNUMBER($B62:AT62)))),
IFERROR(
IF('Résultats des tournois'!AT62="""", INDEX(FILTER($C62:AT62, ISNUMBER($C62:AT62)), COUNTA(FILTE"&amp;"R($C62:AT62, ISNUMBER($C62:AT62)))),
lastVal + 'K dynamique'!AT62 * ((SQRT('Résultats des tournois'!AT$2 + 1)/'Résultats des tournois'!AT62) - (1 / (1 + 10^((AT$103 - lastVal)/400)))))
)
))"),"")</f>
        <v/>
      </c>
      <c r="AV62" s="32" t="str">
        <f>IFERROR(__xludf.DUMMYFUNCTION("IF('Résultats des tournois'!AU$2=0,"""",LET(
lastVal, INDEX(FILTER($B62:AU62, ISNUMBER($B62:AU62)), COUNTA(FILTER($B62:AU62, ISNUMBER($B62:AU62)))),
IFERROR(
IF('Résultats des tournois'!AU62="""", INDEX(FILTER($C62:AU62, ISNUMBER($C62:AU62)), COUNTA(FILTE"&amp;"R($C62:AU62, ISNUMBER($C62:AU62)))),
lastVal + 'K dynamique'!AU62 * ((SQRT('Résultats des tournois'!AU$2 + 1)/'Résultats des tournois'!AU62) - (1 / (1 + 10^((AU$103 - lastVal)/400)))))
)
))"),"")</f>
        <v/>
      </c>
      <c r="AW62" s="32" t="str">
        <f>IFERROR(__xludf.DUMMYFUNCTION("IF('Résultats des tournois'!AV$2=0,"""",LET(
lastVal, INDEX(FILTER($B62:AV62, ISNUMBER($B62:AV62)), COUNTA(FILTER($B62:AV62, ISNUMBER($B62:AV62)))),
IFERROR(
IF('Résultats des tournois'!AV62="""", INDEX(FILTER($C62:AV62, ISNUMBER($C62:AV62)), COUNTA(FILTE"&amp;"R($C62:AV62, ISNUMBER($C62:AV62)))),
lastVal + 'K dynamique'!AV62 * ((SQRT('Résultats des tournois'!AV$2 + 1)/'Résultats des tournois'!AV62) - (1 / (1 + 10^((AV$103 - lastVal)/400)))))
)
))"),"")</f>
        <v/>
      </c>
      <c r="AX62" s="32" t="str">
        <f>IFERROR(__xludf.DUMMYFUNCTION("IF('Résultats des tournois'!AW$2=0,"""",LET(
lastVal, INDEX(FILTER($B62:AW62, ISNUMBER($B62:AW62)), COUNTA(FILTER($B62:AW62, ISNUMBER($B62:AW62)))),
IFERROR(
IF('Résultats des tournois'!AW62="""", INDEX(FILTER($C62:AW62, ISNUMBER($C62:AW62)), COUNTA(FILTE"&amp;"R($C62:AW62, ISNUMBER($C62:AW62)))),
lastVal + 'K dynamique'!AW62 * ((SQRT('Résultats des tournois'!AW$2 + 1)/'Résultats des tournois'!AW62) - (1 / (1 + 10^((AW$103 - lastVal)/400)))))
)
))"),"")</f>
        <v/>
      </c>
      <c r="AY62" s="32" t="str">
        <f>IFERROR(__xludf.DUMMYFUNCTION("IF('Résultats des tournois'!AX$2=0,"""",LET(
lastVal, INDEX(FILTER($B62:AX62, ISNUMBER($B62:AX62)), COUNTA(FILTER($B62:AX62, ISNUMBER($B62:AX62)))),
IFERROR(
IF('Résultats des tournois'!AX62="""", INDEX(FILTER($C62:AX62, ISNUMBER($C62:AX62)), COUNTA(FILTE"&amp;"R($C62:AX62, ISNUMBER($C62:AX62)))),
lastVal + 'K dynamique'!AX62 * ((SQRT('Résultats des tournois'!AX$2 + 1)/'Résultats des tournois'!AX62) - (1 / (1 + 10^((AX$103 - lastVal)/400)))))
)
))"),"")</f>
        <v/>
      </c>
      <c r="AZ62" s="4" t="str">
        <f t="array" ref="AZ62">IF(MAX(($C62:AY62&lt;&gt;"")*COLUMN($C62:AY62))=0,"",INDEX($C62:AY62,1,MAX(($C62:AY62&lt;&gt;"")*COLUMN($C62:AY62))-COLUMN($C62)+1))</f>
        <v/>
      </c>
      <c r="BA62" s="33" t="str">
        <f t="shared" si="1"/>
        <v/>
      </c>
    </row>
    <row r="63" ht="14.25" customHeight="1">
      <c r="A63" s="32" t="str">
        <f>IF('Résultats des tournois'!A63="","",'Résultats des tournois'!A63)</f>
        <v/>
      </c>
      <c r="B63" s="32">
        <v>1500.0</v>
      </c>
      <c r="C63" s="32" t="str">
        <f>IF('Résultats des tournois'!B63="","",B63+'K dynamique'!B63*((SQRT('Résultats des tournois'!B$2+1)/'Résultats des tournois'!B63)-(1/(1+10^((B63-B63)/400)))))</f>
        <v/>
      </c>
      <c r="D63" s="32" t="str">
        <f>IFERROR(__xludf.DUMMYFUNCTION("IF('Résultats des tournois'!C$2=0,"""",LET(
lastVal, INDEX(FILTER($B63:C63, ISNUMBER($B63:C63)), COUNTA(FILTER($B63:C63, ISNUMBER($B63:C63)))),
IFERROR(
IF('Résultats des tournois'!C63="""", INDEX(FILTER($C63:C63, ISNUMBER($C63:C63)), COUNTA(FILTER($C63:C"&amp;"63, ISNUMBER($C63:C63)))),
lastVal + 'K dynamique'!C63 * ((SQRT('Résultats des tournois'!C$2 + 1)/'Résultats des tournois'!C63) - (1 / (1 + 10^((C$103 - lastVal)/400)))))
)
))"),"")</f>
        <v/>
      </c>
      <c r="E63" s="32" t="str">
        <f>IFERROR(__xludf.DUMMYFUNCTION("IF('Résultats des tournois'!D$2=0,"""",LET(
lastVal, INDEX(FILTER($B63:D63, ISNUMBER($B63:D63)), COUNTA(FILTER($B63:D63, ISNUMBER($B63:D63)))),
IFERROR(
IF('Résultats des tournois'!D63="""", INDEX(FILTER($C63:D63, ISNUMBER($C63:D63)), COUNTA(FILTER($C63:D"&amp;"63, ISNUMBER($C63:D63)))),
lastVal + 'K dynamique'!D63 * ((SQRT('Résultats des tournois'!D$2 + 1)/'Résultats des tournois'!D63) - (1 / (1 + 10^((D$103 - lastVal)/400)))))
)
))"),"")</f>
        <v/>
      </c>
      <c r="F63" s="32" t="str">
        <f>IFERROR(__xludf.DUMMYFUNCTION("IF('Résultats des tournois'!E$2=0,"""",LET(
lastVal, INDEX(FILTER($B63:E63, ISNUMBER($B63:E63)), COUNTA(FILTER($B63:E63, ISNUMBER($B63:E63)))),
IFERROR(
IF('Résultats des tournois'!E63="""", INDEX(FILTER($C63:E63, ISNUMBER($C63:E63)), COUNTA(FILTER($C63:E"&amp;"63, ISNUMBER($C63:E63)))),
lastVal + 'K dynamique'!E63 * ((SQRT('Résultats des tournois'!E$2 + 1)/'Résultats des tournois'!E63) - (1 / (1 + 10^((E$103 - lastVal)/400)))))
)
))"),"")</f>
        <v/>
      </c>
      <c r="G63" s="32" t="str">
        <f>IFERROR(__xludf.DUMMYFUNCTION("IF('Résultats des tournois'!F$2=0,"""",LET(
lastVal, INDEX(FILTER($B63:F63, ISNUMBER($B63:F63)), COUNTA(FILTER($B63:F63, ISNUMBER($B63:F63)))),
IFERROR(
IF('Résultats des tournois'!F63="""", INDEX(FILTER($C63:F63, ISNUMBER($C63:F63)), COUNTA(FILTER($C63:F"&amp;"63, ISNUMBER($C63:F63)))),
lastVal + 'K dynamique'!F63 * ((SQRT('Résultats des tournois'!F$2 + 1)/'Résultats des tournois'!F63) - (1 / (1 + 10^((F$103 - lastVal)/400)))))
)
))"),"")</f>
        <v/>
      </c>
      <c r="H63" s="32" t="str">
        <f>IFERROR(__xludf.DUMMYFUNCTION("IF('Résultats des tournois'!G$2=0,"""",LET(
lastVal, INDEX(FILTER($B63:G63, ISNUMBER($B63:G63)), COUNTA(FILTER($B63:G63, ISNUMBER($B63:G63)))),
IFERROR(
IF('Résultats des tournois'!G63="""", INDEX(FILTER($C63:G63, ISNUMBER($C63:G63)), COUNTA(FILTER($C63:G"&amp;"63, ISNUMBER($C63:G63)))),
lastVal + 'K dynamique'!G63 * ((SQRT('Résultats des tournois'!G$2 + 1)/'Résultats des tournois'!G63) - (1 / (1 + 10^((G$103 - lastVal)/400)))))
)
))"),"")</f>
        <v/>
      </c>
      <c r="I63" s="32" t="str">
        <f>IFERROR(__xludf.DUMMYFUNCTION("IF('Résultats des tournois'!H$2=0,"""",LET(
lastVal, INDEX(FILTER($B63:H63, ISNUMBER($B63:H63)), COUNTA(FILTER($B63:H63, ISNUMBER($B63:H63)))),
IFERROR(
IF('Résultats des tournois'!H63="""", INDEX(FILTER($C63:H63, ISNUMBER($C63:H63)), COUNTA(FILTER($C63:H"&amp;"63, ISNUMBER($C63:H63)))),
lastVal + 'K dynamique'!H63 * ((SQRT('Résultats des tournois'!H$2 + 1)/'Résultats des tournois'!H63) - (1 / (1 + 10^((H$103 - lastVal)/400)))))
)
))"),"")</f>
        <v/>
      </c>
      <c r="J63" s="32" t="str">
        <f>IFERROR(__xludf.DUMMYFUNCTION("IF('Résultats des tournois'!I$2=0,"""",LET(
lastVal, INDEX(FILTER($B63:I63, ISNUMBER($B63:I63)), COUNTA(FILTER($B63:I63, ISNUMBER($B63:I63)))),
IFERROR(
IF('Résultats des tournois'!I63="""", INDEX(FILTER($C63:I63, ISNUMBER($C63:I63)), COUNTA(FILTER($C63:I"&amp;"63, ISNUMBER($C63:I63)))),
lastVal + 'K dynamique'!I63 * ((SQRT('Résultats des tournois'!I$2 + 1)/'Résultats des tournois'!I63) - (1 / (1 + 10^((I$103 - lastVal)/400)))))
)
))"),"")</f>
        <v/>
      </c>
      <c r="K63" s="32" t="str">
        <f>IFERROR(__xludf.DUMMYFUNCTION("IF('Résultats des tournois'!J$2=0,"""",LET(
lastVal, INDEX(FILTER($B63:J63, ISNUMBER($B63:J63)), COUNTA(FILTER($B63:J63, ISNUMBER($B63:J63)))),
IFERROR(
IF('Résultats des tournois'!J63="""", INDEX(FILTER($C63:J63, ISNUMBER($C63:J63)), COUNTA(FILTER($C63:J"&amp;"63, ISNUMBER($C63:J63)))),
lastVal + 'K dynamique'!J63 * ((SQRT('Résultats des tournois'!J$2 + 1)/'Résultats des tournois'!J63) - (1 / (1 + 10^((J$103 - lastVal)/400)))))
)
))"),"")</f>
        <v/>
      </c>
      <c r="L63" s="32" t="str">
        <f>IFERROR(__xludf.DUMMYFUNCTION("IF('Résultats des tournois'!K$2=0,"""",LET(
lastVal, INDEX(FILTER($B63:K63, ISNUMBER($B63:K63)), COUNTA(FILTER($B63:K63, ISNUMBER($B63:K63)))),
IFERROR(
IF('Résultats des tournois'!K63="""", INDEX(FILTER($C63:K63, ISNUMBER($C63:K63)), COUNTA(FILTER($C63:K"&amp;"63, ISNUMBER($C63:K63)))),
lastVal + 'K dynamique'!K63 * ((SQRT('Résultats des tournois'!K$2 + 1)/'Résultats des tournois'!K63) - (1 / (1 + 10^((K$103 - lastVal)/400)))))
)
))"),"")</f>
        <v/>
      </c>
      <c r="M63" s="32" t="str">
        <f>IFERROR(__xludf.DUMMYFUNCTION("IF('Résultats des tournois'!L$2=0,"""",LET(
lastVal, INDEX(FILTER($B63:L63, ISNUMBER($B63:L63)), COUNTA(FILTER($B63:L63, ISNUMBER($B63:L63)))),
IFERROR(
IF('Résultats des tournois'!L63="""", INDEX(FILTER($C63:L63, ISNUMBER($C63:L63)), COUNTA(FILTER($C63:L"&amp;"63, ISNUMBER($C63:L63)))),
lastVal + 'K dynamique'!L63 * ((SQRT('Résultats des tournois'!L$2 + 1)/'Résultats des tournois'!L63) - (1 / (1 + 10^((L$103 - lastVal)/400)))))
)
))"),"")</f>
        <v/>
      </c>
      <c r="N63" s="32" t="str">
        <f>IFERROR(__xludf.DUMMYFUNCTION("IF('Résultats des tournois'!M$2=0,"""",LET(
lastVal, INDEX(FILTER($B63:M63, ISNUMBER($B63:M63)), COUNTA(FILTER($B63:M63, ISNUMBER($B63:M63)))),
IFERROR(
IF('Résultats des tournois'!M63="""", INDEX(FILTER($C63:M63, ISNUMBER($C63:M63)), COUNTA(FILTER($C63:M"&amp;"63, ISNUMBER($C63:M63)))),
lastVal + 'K dynamique'!M63 * ((SQRT('Résultats des tournois'!M$2 + 1)/'Résultats des tournois'!M63) - (1 / (1 + 10^((M$103 - lastVal)/400)))))
)
))"),"")</f>
        <v/>
      </c>
      <c r="O63" s="32" t="str">
        <f>IFERROR(__xludf.DUMMYFUNCTION("IF('Résultats des tournois'!N$2=0,"""",LET(
lastVal, INDEX(FILTER($B63:N63, ISNUMBER($B63:N63)), COUNTA(FILTER($B63:N63, ISNUMBER($B63:N63)))),
IFERROR(
IF('Résultats des tournois'!N63="""", INDEX(FILTER($C63:N63, ISNUMBER($C63:N63)), COUNTA(FILTER($C63:N"&amp;"63, ISNUMBER($C63:N63)))),
lastVal + 'K dynamique'!N63 * ((SQRT('Résultats des tournois'!N$2 + 1)/'Résultats des tournois'!N63) - (1 / (1 + 10^((N$103 - lastVal)/400)))))
)
))"),"")</f>
        <v/>
      </c>
      <c r="P63" s="32" t="str">
        <f>IFERROR(__xludf.DUMMYFUNCTION("IF('Résultats des tournois'!O$2=0,"""",LET(
lastVal, INDEX(FILTER($B63:O63, ISNUMBER($B63:O63)), COUNTA(FILTER($B63:O63, ISNUMBER($B63:O63)))),
IFERROR(
IF('Résultats des tournois'!O63="""", INDEX(FILTER($C63:O63, ISNUMBER($C63:O63)), COUNTA(FILTER($C63:O"&amp;"63, ISNUMBER($C63:O63)))),
lastVal + 'K dynamique'!O63 * ((SQRT('Résultats des tournois'!O$2 + 1)/'Résultats des tournois'!O63) - (1 / (1 + 10^((O$103 - lastVal)/400)))))
)
))"),"")</f>
        <v/>
      </c>
      <c r="Q63" s="32" t="str">
        <f>IFERROR(__xludf.DUMMYFUNCTION("IF('Résultats des tournois'!P$2=0,"""",LET(
lastVal, INDEX(FILTER($B63:P63, ISNUMBER($B63:P63)), COUNTA(FILTER($B63:P63, ISNUMBER($B63:P63)))),
IFERROR(
IF('Résultats des tournois'!P63="""", INDEX(FILTER($C63:P63, ISNUMBER($C63:P63)), COUNTA(FILTER($C63:P"&amp;"63, ISNUMBER($C63:P63)))),
lastVal + 'K dynamique'!P63 * ((SQRT('Résultats des tournois'!P$2 + 1)/'Résultats des tournois'!P63) - (1 / (1 + 10^((P$103 - lastVal)/400)))))
)
))"),"")</f>
        <v/>
      </c>
      <c r="R63" s="32" t="str">
        <f>IFERROR(__xludf.DUMMYFUNCTION("IF('Résultats des tournois'!Q$2=0,"""",LET(
lastVal, INDEX(FILTER($B63:Q63, ISNUMBER($B63:Q63)), COUNTA(FILTER($B63:Q63, ISNUMBER($B63:Q63)))),
IFERROR(
IF('Résultats des tournois'!Q63="""", INDEX(FILTER($C63:Q63, ISNUMBER($C63:Q63)), COUNTA(FILTER($C63:Q"&amp;"63, ISNUMBER($C63:Q63)))),
lastVal + 'K dynamique'!Q63 * ((SQRT('Résultats des tournois'!Q$2 + 1)/'Résultats des tournois'!Q63) - (1 / (1 + 10^((Q$103 - lastVal)/400)))))
)
))"),"")</f>
        <v/>
      </c>
      <c r="S63" s="32" t="str">
        <f>IFERROR(__xludf.DUMMYFUNCTION("IF('Résultats des tournois'!R$2=0,"""",LET(
lastVal, INDEX(FILTER($B63:R63, ISNUMBER($B63:R63)), COUNTA(FILTER($B63:R63, ISNUMBER($B63:R63)))),
IFERROR(
IF('Résultats des tournois'!R63="""", INDEX(FILTER($C63:R63, ISNUMBER($C63:R63)), COUNTA(FILTER($C63:R"&amp;"63, ISNUMBER($C63:R63)))),
lastVal + 'K dynamique'!R63 * ((SQRT('Résultats des tournois'!R$2 + 1)/'Résultats des tournois'!R63) - (1 / (1 + 10^((R$103 - lastVal)/400)))))
)
))"),"")</f>
        <v/>
      </c>
      <c r="T63" s="32" t="str">
        <f>IFERROR(__xludf.DUMMYFUNCTION("IF('Résultats des tournois'!S$2=0,"""",LET(
lastVal, INDEX(FILTER($B63:S63, ISNUMBER($B63:S63)), COUNTA(FILTER($B63:S63, ISNUMBER($B63:S63)))),
IFERROR(
IF('Résultats des tournois'!S63="""", INDEX(FILTER($C63:S63, ISNUMBER($C63:S63)), COUNTA(FILTER($C63:S"&amp;"63, ISNUMBER($C63:S63)))),
lastVal + 'K dynamique'!S63 * ((SQRT('Résultats des tournois'!S$2 + 1)/'Résultats des tournois'!S63) - (1 / (1 + 10^((S$103 - lastVal)/400)))))
)
))"),"")</f>
        <v/>
      </c>
      <c r="U63" s="32" t="str">
        <f>IFERROR(__xludf.DUMMYFUNCTION("IF('Résultats des tournois'!T$2=0,"""",LET(
lastVal, INDEX(FILTER($B63:T63, ISNUMBER($B63:T63)), COUNTA(FILTER($B63:T63, ISNUMBER($B63:T63)))),
IFERROR(
IF('Résultats des tournois'!T63="""", INDEX(FILTER($C63:T63, ISNUMBER($C63:T63)), COUNTA(FILTER($C63:T"&amp;"63, ISNUMBER($C63:T63)))),
lastVal + 'K dynamique'!T63 * ((SQRT('Résultats des tournois'!T$2 + 1)/'Résultats des tournois'!T63) - (1 / (1 + 10^((T$103 - lastVal)/400)))))
)
))"),"")</f>
        <v/>
      </c>
      <c r="V63" s="32" t="str">
        <f>IFERROR(__xludf.DUMMYFUNCTION("IF('Résultats des tournois'!U$2=0,"""",LET(
lastVal, INDEX(FILTER($B63:U63, ISNUMBER($B63:U63)), COUNTA(FILTER($B63:U63, ISNUMBER($B63:U63)))),
IFERROR(
IF('Résultats des tournois'!U63="""", INDEX(FILTER($C63:U63, ISNUMBER($C63:U63)), COUNTA(FILTER($C63:U"&amp;"63, ISNUMBER($C63:U63)))),
lastVal + 'K dynamique'!U63 * ((SQRT('Résultats des tournois'!U$2 + 1)/'Résultats des tournois'!U63) - (1 / (1 + 10^((U$103 - lastVal)/400)))))
)
))"),"")</f>
        <v/>
      </c>
      <c r="W63" s="32" t="str">
        <f>IFERROR(__xludf.DUMMYFUNCTION("IF('Résultats des tournois'!V$2=0,"""",LET(
lastVal, INDEX(FILTER($B63:V63, ISNUMBER($B63:V63)), COUNTA(FILTER($B63:V63, ISNUMBER($B63:V63)))),
IFERROR(
IF('Résultats des tournois'!V63="""", INDEX(FILTER($C63:V63, ISNUMBER($C63:V63)), COUNTA(FILTER($C63:V"&amp;"63, ISNUMBER($C63:V63)))),
lastVal + 'K dynamique'!V63 * ((SQRT('Résultats des tournois'!V$2 + 1)/'Résultats des tournois'!V63) - (1 / (1 + 10^((V$103 - lastVal)/400)))))
)
))"),"")</f>
        <v/>
      </c>
      <c r="X63" s="32" t="str">
        <f>IFERROR(__xludf.DUMMYFUNCTION("IF('Résultats des tournois'!W$2=0,"""",LET(
lastVal, INDEX(FILTER($B63:W63, ISNUMBER($B63:W63)), COUNTA(FILTER($B63:W63, ISNUMBER($B63:W63)))),
IFERROR(
IF('Résultats des tournois'!W63="""", INDEX(FILTER($C63:W63, ISNUMBER($C63:W63)), COUNTA(FILTER($C63:W"&amp;"63, ISNUMBER($C63:W63)))),
lastVal + 'K dynamique'!W63 * ((SQRT('Résultats des tournois'!W$2 + 1)/'Résultats des tournois'!W63) - (1 / (1 + 10^((W$103 - lastVal)/400)))))
)
))"),"")</f>
        <v/>
      </c>
      <c r="Y63" s="32" t="str">
        <f>IFERROR(__xludf.DUMMYFUNCTION("IF('Résultats des tournois'!X$2=0,"""",LET(
lastVal, INDEX(FILTER($B63:X63, ISNUMBER($B63:X63)), COUNTA(FILTER($B63:X63, ISNUMBER($B63:X63)))),
IFERROR(
IF('Résultats des tournois'!X63="""", INDEX(FILTER($C63:X63, ISNUMBER($C63:X63)), COUNTA(FILTER($C63:X"&amp;"63, ISNUMBER($C63:X63)))),
lastVal + 'K dynamique'!X63 * ((SQRT('Résultats des tournois'!X$2 + 1)/'Résultats des tournois'!X63) - (1 / (1 + 10^((X$103 - lastVal)/400)))))
)
))"),"")</f>
        <v/>
      </c>
      <c r="Z63" s="32" t="str">
        <f>IFERROR(__xludf.DUMMYFUNCTION("IF('Résultats des tournois'!Y$2=0,"""",LET(
lastVal, INDEX(FILTER($B63:Y63, ISNUMBER($B63:Y63)), COUNTA(FILTER($B63:Y63, ISNUMBER($B63:Y63)))),
IFERROR(
IF('Résultats des tournois'!Y63="""", INDEX(FILTER($C63:Y63, ISNUMBER($C63:Y63)), COUNTA(FILTER($C63:Y"&amp;"63, ISNUMBER($C63:Y63)))),
lastVal + 'K dynamique'!Y63 * ((SQRT('Résultats des tournois'!Y$2 + 1)/'Résultats des tournois'!Y63) - (1 / (1 + 10^((Y$103 - lastVal)/400)))))
)
))"),"")</f>
        <v/>
      </c>
      <c r="AA63" s="32" t="str">
        <f>IFERROR(__xludf.DUMMYFUNCTION("IF('Résultats des tournois'!Z$2=0,"""",LET(
lastVal, INDEX(FILTER($B63:Z63, ISNUMBER($B63:Z63)), COUNTA(FILTER($B63:Z63, ISNUMBER($B63:Z63)))),
IFERROR(
IF('Résultats des tournois'!Z63="""", INDEX(FILTER($C63:Z63, ISNUMBER($C63:Z63)), COUNTA(FILTER($C63:Z"&amp;"63, ISNUMBER($C63:Z63)))),
lastVal + 'K dynamique'!Z63 * ((SQRT('Résultats des tournois'!Z$2 + 1)/'Résultats des tournois'!Z63) - (1 / (1 + 10^((Z$103 - lastVal)/400)))))
)
))"),"")</f>
        <v/>
      </c>
      <c r="AB63" s="32" t="str">
        <f>IFERROR(__xludf.DUMMYFUNCTION("IF('Résultats des tournois'!AA$2=0,"""",LET(
lastVal, INDEX(FILTER($B63:AA63, ISNUMBER($B63:AA63)), COUNTA(FILTER($B63:AA63, ISNUMBER($B63:AA63)))),
IFERROR(
IF('Résultats des tournois'!AA63="""", INDEX(FILTER($C63:AA63, ISNUMBER($C63:AA63)), COUNTA(FILTE"&amp;"R($C63:AA63, ISNUMBER($C63:AA63)))),
lastVal + 'K dynamique'!AA63 * ((SQRT('Résultats des tournois'!AA$2 + 1)/'Résultats des tournois'!AA63) - (1 / (1 + 10^((AA$103 - lastVal)/400)))))
)
))"),"")</f>
        <v/>
      </c>
      <c r="AC63" s="32" t="str">
        <f>IFERROR(__xludf.DUMMYFUNCTION("IF('Résultats des tournois'!AB$2=0,"""",LET(
lastVal, INDEX(FILTER($B63:AB63, ISNUMBER($B63:AB63)), COUNTA(FILTER($B63:AB63, ISNUMBER($B63:AB63)))),
IFERROR(
IF('Résultats des tournois'!AB63="""", INDEX(FILTER($C63:AB63, ISNUMBER($C63:AB63)), COUNTA(FILTE"&amp;"R($C63:AB63, ISNUMBER($C63:AB63)))),
lastVal + 'K dynamique'!AB63 * ((SQRT('Résultats des tournois'!AB$2 + 1)/'Résultats des tournois'!AB63) - (1 / (1 + 10^((AB$103 - lastVal)/400)))))
)
))"),"")</f>
        <v/>
      </c>
      <c r="AD63" s="32" t="str">
        <f>IFERROR(__xludf.DUMMYFUNCTION("IF('Résultats des tournois'!AC$2=0,"""",LET(
lastVal, INDEX(FILTER($B63:AC63, ISNUMBER($B63:AC63)), COUNTA(FILTER($B63:AC63, ISNUMBER($B63:AC63)))),
IFERROR(
IF('Résultats des tournois'!AC63="""", INDEX(FILTER($C63:AC63, ISNUMBER($C63:AC63)), COUNTA(FILTE"&amp;"R($C63:AC63, ISNUMBER($C63:AC63)))),
lastVal + 'K dynamique'!AC63 * ((SQRT('Résultats des tournois'!AC$2 + 1)/'Résultats des tournois'!AC63) - (1 / (1 + 10^((AC$103 - lastVal)/400)))))
)
))"),"")</f>
        <v/>
      </c>
      <c r="AE63" s="32" t="str">
        <f>IFERROR(__xludf.DUMMYFUNCTION("IF('Résultats des tournois'!AD$2=0,"""",LET(
lastVal, INDEX(FILTER($B63:AD63, ISNUMBER($B63:AD63)), COUNTA(FILTER($B63:AD63, ISNUMBER($B63:AD63)))),
IFERROR(
IF('Résultats des tournois'!AD63="""", INDEX(FILTER($C63:AD63, ISNUMBER($C63:AD63)), COUNTA(FILTE"&amp;"R($C63:AD63, ISNUMBER($C63:AD63)))),
lastVal + 'K dynamique'!AD63 * ((SQRT('Résultats des tournois'!AD$2 + 1)/'Résultats des tournois'!AD63) - (1 / (1 + 10^((AD$103 - lastVal)/400)))))
)
))"),"")</f>
        <v/>
      </c>
      <c r="AF63" s="32" t="str">
        <f>IFERROR(__xludf.DUMMYFUNCTION("IF('Résultats des tournois'!AE$2=0,"""",LET(
lastVal, INDEX(FILTER($B63:AE63, ISNUMBER($B63:AE63)), COUNTA(FILTER($B63:AE63, ISNUMBER($B63:AE63)))),
IFERROR(
IF('Résultats des tournois'!AE63="""", INDEX(FILTER($C63:AE63, ISNUMBER($C63:AE63)), COUNTA(FILTE"&amp;"R($C63:AE63, ISNUMBER($C63:AE63)))),
lastVal + 'K dynamique'!AE63 * ((SQRT('Résultats des tournois'!AE$2 + 1)/'Résultats des tournois'!AE63) - (1 / (1 + 10^((AE$103 - lastVal)/400)))))
)
))"),"")</f>
        <v/>
      </c>
      <c r="AG63" s="32" t="str">
        <f>IFERROR(__xludf.DUMMYFUNCTION("IF('Résultats des tournois'!AF$2=0,"""",LET(
lastVal, INDEX(FILTER($B63:AF63, ISNUMBER($B63:AF63)), COUNTA(FILTER($B63:AF63, ISNUMBER($B63:AF63)))),
IFERROR(
IF('Résultats des tournois'!AF63="""", INDEX(FILTER($C63:AF63, ISNUMBER($C63:AF63)), COUNTA(FILTE"&amp;"R($C63:AF63, ISNUMBER($C63:AF63)))),
lastVal + 'K dynamique'!AF63 * ((SQRT('Résultats des tournois'!AF$2 + 1)/'Résultats des tournois'!AF63) - (1 / (1 + 10^((AF$103 - lastVal)/400)))))
)
))"),"")</f>
        <v/>
      </c>
      <c r="AH63" s="32" t="str">
        <f>IFERROR(__xludf.DUMMYFUNCTION("IF('Résultats des tournois'!AG$2=0,"""",LET(
lastVal, INDEX(FILTER($B63:AG63, ISNUMBER($B63:AG63)), COUNTA(FILTER($B63:AG63, ISNUMBER($B63:AG63)))),
IFERROR(
IF('Résultats des tournois'!AG63="""", INDEX(FILTER($C63:AG63, ISNUMBER($C63:AG63)), COUNTA(FILTE"&amp;"R($C63:AG63, ISNUMBER($C63:AG63)))),
lastVal + 'K dynamique'!AG63 * ((SQRT('Résultats des tournois'!AG$2 + 1)/'Résultats des tournois'!AG63) - (1 / (1 + 10^((AG$103 - lastVal)/400)))))
)
))"),"")</f>
        <v/>
      </c>
      <c r="AI63" s="32" t="str">
        <f>IFERROR(__xludf.DUMMYFUNCTION("IF('Résultats des tournois'!AH$2=0,"""",LET(
lastVal, INDEX(FILTER($B63:AH63, ISNUMBER($B63:AH63)), COUNTA(FILTER($B63:AH63, ISNUMBER($B63:AH63)))),
IFERROR(
IF('Résultats des tournois'!AH63="""", INDEX(FILTER($C63:AH63, ISNUMBER($C63:AH63)), COUNTA(FILTE"&amp;"R($C63:AH63, ISNUMBER($C63:AH63)))),
lastVal + 'K dynamique'!AH63 * ((SQRT('Résultats des tournois'!AH$2 + 1)/'Résultats des tournois'!AH63) - (1 / (1 + 10^((AH$103 - lastVal)/400)))))
)
))"),"")</f>
        <v/>
      </c>
      <c r="AJ63" s="32" t="str">
        <f>IFERROR(__xludf.DUMMYFUNCTION("IF('Résultats des tournois'!AI$2=0,"""",LET(
lastVal, INDEX(FILTER($B63:AI63, ISNUMBER($B63:AI63)), COUNTA(FILTER($B63:AI63, ISNUMBER($B63:AI63)))),
IFERROR(
IF('Résultats des tournois'!AI63="""", INDEX(FILTER($C63:AI63, ISNUMBER($C63:AI63)), COUNTA(FILTE"&amp;"R($C63:AI63, ISNUMBER($C63:AI63)))),
lastVal + 'K dynamique'!AI63 * ((SQRT('Résultats des tournois'!AI$2 + 1)/'Résultats des tournois'!AI63) - (1 / (1 + 10^((AI$103 - lastVal)/400)))))
)
))"),"")</f>
        <v/>
      </c>
      <c r="AK63" s="32" t="str">
        <f>IFERROR(__xludf.DUMMYFUNCTION("IF('Résultats des tournois'!AJ$2=0,"""",LET(
lastVal, INDEX(FILTER($B63:AJ63, ISNUMBER($B63:AJ63)), COUNTA(FILTER($B63:AJ63, ISNUMBER($B63:AJ63)))),
IFERROR(
IF('Résultats des tournois'!AJ63="""", INDEX(FILTER($C63:AJ63, ISNUMBER($C63:AJ63)), COUNTA(FILTE"&amp;"R($C63:AJ63, ISNUMBER($C63:AJ63)))),
lastVal + 'K dynamique'!AJ63 * ((SQRT('Résultats des tournois'!AJ$2 + 1)/'Résultats des tournois'!AJ63) - (1 / (1 + 10^((AJ$103 - lastVal)/400)))))
)
))"),"")</f>
        <v/>
      </c>
      <c r="AL63" s="32" t="str">
        <f>IFERROR(__xludf.DUMMYFUNCTION("IF('Résultats des tournois'!AK$2=0,"""",LET(
lastVal, INDEX(FILTER($B63:AK63, ISNUMBER($B63:AK63)), COUNTA(FILTER($B63:AK63, ISNUMBER($B63:AK63)))),
IFERROR(
IF('Résultats des tournois'!AK63="""", INDEX(FILTER($C63:AK63, ISNUMBER($C63:AK63)), COUNTA(FILTE"&amp;"R($C63:AK63, ISNUMBER($C63:AK63)))),
lastVal + 'K dynamique'!AK63 * ((SQRT('Résultats des tournois'!AK$2 + 1)/'Résultats des tournois'!AK63) - (1 / (1 + 10^((AK$103 - lastVal)/400)))))
)
))"),"")</f>
        <v/>
      </c>
      <c r="AM63" s="32" t="str">
        <f>IFERROR(__xludf.DUMMYFUNCTION("IF('Résultats des tournois'!AL$2=0,"""",LET(
lastVal, INDEX(FILTER($B63:AL63, ISNUMBER($B63:AL63)), COUNTA(FILTER($B63:AL63, ISNUMBER($B63:AL63)))),
IFERROR(
IF('Résultats des tournois'!AL63="""", INDEX(FILTER($C63:AL63, ISNUMBER($C63:AL63)), COUNTA(FILTE"&amp;"R($C63:AL63, ISNUMBER($C63:AL63)))),
lastVal + 'K dynamique'!AL63 * ((SQRT('Résultats des tournois'!AL$2 + 1)/'Résultats des tournois'!AL63) - (1 / (1 + 10^((AL$103 - lastVal)/400)))))
)
))"),"")</f>
        <v/>
      </c>
      <c r="AN63" s="32" t="str">
        <f>IFERROR(__xludf.DUMMYFUNCTION("IF('Résultats des tournois'!AM$2=0,"""",LET(
lastVal, INDEX(FILTER($B63:AM63, ISNUMBER($B63:AM63)), COUNTA(FILTER($B63:AM63, ISNUMBER($B63:AM63)))),
IFERROR(
IF('Résultats des tournois'!AM63="""", INDEX(FILTER($C63:AM63, ISNUMBER($C63:AM63)), COUNTA(FILTE"&amp;"R($C63:AM63, ISNUMBER($C63:AM63)))),
lastVal + 'K dynamique'!AM63 * ((SQRT('Résultats des tournois'!AM$2 + 1)/'Résultats des tournois'!AM63) - (1 / (1 + 10^((AM$103 - lastVal)/400)))))
)
))"),"")</f>
        <v/>
      </c>
      <c r="AO63" s="32" t="str">
        <f>IFERROR(__xludf.DUMMYFUNCTION("IF('Résultats des tournois'!AN$2=0,"""",LET(
lastVal, INDEX(FILTER($B63:AN63, ISNUMBER($B63:AN63)), COUNTA(FILTER($B63:AN63, ISNUMBER($B63:AN63)))),
IFERROR(
IF('Résultats des tournois'!AN63="""", INDEX(FILTER($C63:AN63, ISNUMBER($C63:AN63)), COUNTA(FILTE"&amp;"R($C63:AN63, ISNUMBER($C63:AN63)))),
lastVal + 'K dynamique'!AN63 * ((SQRT('Résultats des tournois'!AN$2 + 1)/'Résultats des tournois'!AN63) - (1 / (1 + 10^((AN$103 - lastVal)/400)))))
)
))"),"")</f>
        <v/>
      </c>
      <c r="AP63" s="32" t="str">
        <f>IFERROR(__xludf.DUMMYFUNCTION("IF('Résultats des tournois'!AO$2=0,"""",LET(
lastVal, INDEX(FILTER($B63:AO63, ISNUMBER($B63:AO63)), COUNTA(FILTER($B63:AO63, ISNUMBER($B63:AO63)))),
IFERROR(
IF('Résultats des tournois'!AO63="""", INDEX(FILTER($C63:AO63, ISNUMBER($C63:AO63)), COUNTA(FILTE"&amp;"R($C63:AO63, ISNUMBER($C63:AO63)))),
lastVal + 'K dynamique'!AO63 * ((SQRT('Résultats des tournois'!AO$2 + 1)/'Résultats des tournois'!AO63) - (1 / (1 + 10^((AO$103 - lastVal)/400)))))
)
))"),"")</f>
        <v/>
      </c>
      <c r="AQ63" s="32" t="str">
        <f>IFERROR(__xludf.DUMMYFUNCTION("IF('Résultats des tournois'!AP$2=0,"""",LET(
lastVal, INDEX(FILTER($B63:AP63, ISNUMBER($B63:AP63)), COUNTA(FILTER($B63:AP63, ISNUMBER($B63:AP63)))),
IFERROR(
IF('Résultats des tournois'!AP63="""", INDEX(FILTER($C63:AP63, ISNUMBER($C63:AP63)), COUNTA(FILTE"&amp;"R($C63:AP63, ISNUMBER($C63:AP63)))),
lastVal + 'K dynamique'!AP63 * ((SQRT('Résultats des tournois'!AP$2 + 1)/'Résultats des tournois'!AP63) - (1 / (1 + 10^((AP$103 - lastVal)/400)))))
)
))"),"")</f>
        <v/>
      </c>
      <c r="AR63" s="32" t="str">
        <f>IFERROR(__xludf.DUMMYFUNCTION("IF('Résultats des tournois'!AQ$2=0,"""",LET(
lastVal, INDEX(FILTER($B63:AQ63, ISNUMBER($B63:AQ63)), COUNTA(FILTER($B63:AQ63, ISNUMBER($B63:AQ63)))),
IFERROR(
IF('Résultats des tournois'!AQ63="""", INDEX(FILTER($C63:AQ63, ISNUMBER($C63:AQ63)), COUNTA(FILTE"&amp;"R($C63:AQ63, ISNUMBER($C63:AQ63)))),
lastVal + 'K dynamique'!AQ63 * ((SQRT('Résultats des tournois'!AQ$2 + 1)/'Résultats des tournois'!AQ63) - (1 / (1 + 10^((AQ$103 - lastVal)/400)))))
)
))"),"")</f>
        <v/>
      </c>
      <c r="AS63" s="32" t="str">
        <f>IFERROR(__xludf.DUMMYFUNCTION("IF('Résultats des tournois'!AR$2=0,"""",LET(
lastVal, INDEX(FILTER($B63:AR63, ISNUMBER($B63:AR63)), COUNTA(FILTER($B63:AR63, ISNUMBER($B63:AR63)))),
IFERROR(
IF('Résultats des tournois'!AR63="""", INDEX(FILTER($C63:AR63, ISNUMBER($C63:AR63)), COUNTA(FILTE"&amp;"R($C63:AR63, ISNUMBER($C63:AR63)))),
lastVal + 'K dynamique'!AR63 * ((SQRT('Résultats des tournois'!AR$2 + 1)/'Résultats des tournois'!AR63) - (1 / (1 + 10^((AR$103 - lastVal)/400)))))
)
))"),"")</f>
        <v/>
      </c>
      <c r="AT63" s="32" t="str">
        <f>IFERROR(__xludf.DUMMYFUNCTION("IF('Résultats des tournois'!AS$2=0,"""",LET(
lastVal, INDEX(FILTER($B63:AS63, ISNUMBER($B63:AS63)), COUNTA(FILTER($B63:AS63, ISNUMBER($B63:AS63)))),
IFERROR(
IF('Résultats des tournois'!AS63="""", INDEX(FILTER($C63:AS63, ISNUMBER($C63:AS63)), COUNTA(FILTE"&amp;"R($C63:AS63, ISNUMBER($C63:AS63)))),
lastVal + 'K dynamique'!AS63 * ((SQRT('Résultats des tournois'!AS$2 + 1)/'Résultats des tournois'!AS63) - (1 / (1 + 10^((AS$103 - lastVal)/400)))))
)
))"),"")</f>
        <v/>
      </c>
      <c r="AU63" s="32" t="str">
        <f>IFERROR(__xludf.DUMMYFUNCTION("IF('Résultats des tournois'!AT$2=0,"""",LET(
lastVal, INDEX(FILTER($B63:AT63, ISNUMBER($B63:AT63)), COUNTA(FILTER($B63:AT63, ISNUMBER($B63:AT63)))),
IFERROR(
IF('Résultats des tournois'!AT63="""", INDEX(FILTER($C63:AT63, ISNUMBER($C63:AT63)), COUNTA(FILTE"&amp;"R($C63:AT63, ISNUMBER($C63:AT63)))),
lastVal + 'K dynamique'!AT63 * ((SQRT('Résultats des tournois'!AT$2 + 1)/'Résultats des tournois'!AT63) - (1 / (1 + 10^((AT$103 - lastVal)/400)))))
)
))"),"")</f>
        <v/>
      </c>
      <c r="AV63" s="32" t="str">
        <f>IFERROR(__xludf.DUMMYFUNCTION("IF('Résultats des tournois'!AU$2=0,"""",LET(
lastVal, INDEX(FILTER($B63:AU63, ISNUMBER($B63:AU63)), COUNTA(FILTER($B63:AU63, ISNUMBER($B63:AU63)))),
IFERROR(
IF('Résultats des tournois'!AU63="""", INDEX(FILTER($C63:AU63, ISNUMBER($C63:AU63)), COUNTA(FILTE"&amp;"R($C63:AU63, ISNUMBER($C63:AU63)))),
lastVal + 'K dynamique'!AU63 * ((SQRT('Résultats des tournois'!AU$2 + 1)/'Résultats des tournois'!AU63) - (1 / (1 + 10^((AU$103 - lastVal)/400)))))
)
))"),"")</f>
        <v/>
      </c>
      <c r="AW63" s="32" t="str">
        <f>IFERROR(__xludf.DUMMYFUNCTION("IF('Résultats des tournois'!AV$2=0,"""",LET(
lastVal, INDEX(FILTER($B63:AV63, ISNUMBER($B63:AV63)), COUNTA(FILTER($B63:AV63, ISNUMBER($B63:AV63)))),
IFERROR(
IF('Résultats des tournois'!AV63="""", INDEX(FILTER($C63:AV63, ISNUMBER($C63:AV63)), COUNTA(FILTE"&amp;"R($C63:AV63, ISNUMBER($C63:AV63)))),
lastVal + 'K dynamique'!AV63 * ((SQRT('Résultats des tournois'!AV$2 + 1)/'Résultats des tournois'!AV63) - (1 / (1 + 10^((AV$103 - lastVal)/400)))))
)
))"),"")</f>
        <v/>
      </c>
      <c r="AX63" s="32" t="str">
        <f>IFERROR(__xludf.DUMMYFUNCTION("IF('Résultats des tournois'!AW$2=0,"""",LET(
lastVal, INDEX(FILTER($B63:AW63, ISNUMBER($B63:AW63)), COUNTA(FILTER($B63:AW63, ISNUMBER($B63:AW63)))),
IFERROR(
IF('Résultats des tournois'!AW63="""", INDEX(FILTER($C63:AW63, ISNUMBER($C63:AW63)), COUNTA(FILTE"&amp;"R($C63:AW63, ISNUMBER($C63:AW63)))),
lastVal + 'K dynamique'!AW63 * ((SQRT('Résultats des tournois'!AW$2 + 1)/'Résultats des tournois'!AW63) - (1 / (1 + 10^((AW$103 - lastVal)/400)))))
)
))"),"")</f>
        <v/>
      </c>
      <c r="AY63" s="32" t="str">
        <f>IFERROR(__xludf.DUMMYFUNCTION("IF('Résultats des tournois'!AX$2=0,"""",LET(
lastVal, INDEX(FILTER($B63:AX63, ISNUMBER($B63:AX63)), COUNTA(FILTER($B63:AX63, ISNUMBER($B63:AX63)))),
IFERROR(
IF('Résultats des tournois'!AX63="""", INDEX(FILTER($C63:AX63, ISNUMBER($C63:AX63)), COUNTA(FILTE"&amp;"R($C63:AX63, ISNUMBER($C63:AX63)))),
lastVal + 'K dynamique'!AX63 * ((SQRT('Résultats des tournois'!AX$2 + 1)/'Résultats des tournois'!AX63) - (1 / (1 + 10^((AX$103 - lastVal)/400)))))
)
))"),"")</f>
        <v/>
      </c>
      <c r="AZ63" s="4" t="str">
        <f t="array" ref="AZ63">IF(MAX(($C63:AY63&lt;&gt;"")*COLUMN($C63:AY63))=0,"",INDEX($C63:AY63,1,MAX(($C63:AY63&lt;&gt;"")*COLUMN($C63:AY63))-COLUMN($C63)+1))</f>
        <v/>
      </c>
      <c r="BA63" s="33" t="str">
        <f t="shared" si="1"/>
        <v/>
      </c>
    </row>
    <row r="64" ht="14.25" customHeight="1">
      <c r="A64" s="32" t="str">
        <f>IF('Résultats des tournois'!A64="","",'Résultats des tournois'!A64)</f>
        <v/>
      </c>
      <c r="B64" s="32">
        <v>1500.0</v>
      </c>
      <c r="C64" s="32" t="str">
        <f>IF('Résultats des tournois'!B64="","",B64+'K dynamique'!B64*((SQRT('Résultats des tournois'!B$2+1)/'Résultats des tournois'!B64)-(1/(1+10^((B64-B64)/400)))))</f>
        <v/>
      </c>
      <c r="D64" s="32" t="str">
        <f>IFERROR(__xludf.DUMMYFUNCTION("IF('Résultats des tournois'!C$2=0,"""",LET(
lastVal, INDEX(FILTER($B64:C64, ISNUMBER($B64:C64)), COUNTA(FILTER($B64:C64, ISNUMBER($B64:C64)))),
IFERROR(
IF('Résultats des tournois'!C64="""", INDEX(FILTER($C64:C64, ISNUMBER($C64:C64)), COUNTA(FILTER($C64:C"&amp;"64, ISNUMBER($C64:C64)))),
lastVal + 'K dynamique'!C64 * ((SQRT('Résultats des tournois'!C$2 + 1)/'Résultats des tournois'!C64) - (1 / (1 + 10^((C$103 - lastVal)/400)))))
)
))"),"")</f>
        <v/>
      </c>
      <c r="E64" s="32" t="str">
        <f>IFERROR(__xludf.DUMMYFUNCTION("IF('Résultats des tournois'!D$2=0,"""",LET(
lastVal, INDEX(FILTER($B64:D64, ISNUMBER($B64:D64)), COUNTA(FILTER($B64:D64, ISNUMBER($B64:D64)))),
IFERROR(
IF('Résultats des tournois'!D64="""", INDEX(FILTER($C64:D64, ISNUMBER($C64:D64)), COUNTA(FILTER($C64:D"&amp;"64, ISNUMBER($C64:D64)))),
lastVal + 'K dynamique'!D64 * ((SQRT('Résultats des tournois'!D$2 + 1)/'Résultats des tournois'!D64) - (1 / (1 + 10^((D$103 - lastVal)/400)))))
)
))"),"")</f>
        <v/>
      </c>
      <c r="F64" s="32" t="str">
        <f>IFERROR(__xludf.DUMMYFUNCTION("IF('Résultats des tournois'!E$2=0,"""",LET(
lastVal, INDEX(FILTER($B64:E64, ISNUMBER($B64:E64)), COUNTA(FILTER($B64:E64, ISNUMBER($B64:E64)))),
IFERROR(
IF('Résultats des tournois'!E64="""", INDEX(FILTER($C64:E64, ISNUMBER($C64:E64)), COUNTA(FILTER($C64:E"&amp;"64, ISNUMBER($C64:E64)))),
lastVal + 'K dynamique'!E64 * ((SQRT('Résultats des tournois'!E$2 + 1)/'Résultats des tournois'!E64) - (1 / (1 + 10^((E$103 - lastVal)/400)))))
)
))"),"")</f>
        <v/>
      </c>
      <c r="G64" s="32" t="str">
        <f>IFERROR(__xludf.DUMMYFUNCTION("IF('Résultats des tournois'!F$2=0,"""",LET(
lastVal, INDEX(FILTER($B64:F64, ISNUMBER($B64:F64)), COUNTA(FILTER($B64:F64, ISNUMBER($B64:F64)))),
IFERROR(
IF('Résultats des tournois'!F64="""", INDEX(FILTER($C64:F64, ISNUMBER($C64:F64)), COUNTA(FILTER($C64:F"&amp;"64, ISNUMBER($C64:F64)))),
lastVal + 'K dynamique'!F64 * ((SQRT('Résultats des tournois'!F$2 + 1)/'Résultats des tournois'!F64) - (1 / (1 + 10^((F$103 - lastVal)/400)))))
)
))"),"")</f>
        <v/>
      </c>
      <c r="H64" s="32" t="str">
        <f>IFERROR(__xludf.DUMMYFUNCTION("IF('Résultats des tournois'!G$2=0,"""",LET(
lastVal, INDEX(FILTER($B64:G64, ISNUMBER($B64:G64)), COUNTA(FILTER($B64:G64, ISNUMBER($B64:G64)))),
IFERROR(
IF('Résultats des tournois'!G64="""", INDEX(FILTER($C64:G64, ISNUMBER($C64:G64)), COUNTA(FILTER($C64:G"&amp;"64, ISNUMBER($C64:G64)))),
lastVal + 'K dynamique'!G64 * ((SQRT('Résultats des tournois'!G$2 + 1)/'Résultats des tournois'!G64) - (1 / (1 + 10^((G$103 - lastVal)/400)))))
)
))"),"")</f>
        <v/>
      </c>
      <c r="I64" s="32" t="str">
        <f>IFERROR(__xludf.DUMMYFUNCTION("IF('Résultats des tournois'!H$2=0,"""",LET(
lastVal, INDEX(FILTER($B64:H64, ISNUMBER($B64:H64)), COUNTA(FILTER($B64:H64, ISNUMBER($B64:H64)))),
IFERROR(
IF('Résultats des tournois'!H64="""", INDEX(FILTER($C64:H64, ISNUMBER($C64:H64)), COUNTA(FILTER($C64:H"&amp;"64, ISNUMBER($C64:H64)))),
lastVal + 'K dynamique'!H64 * ((SQRT('Résultats des tournois'!H$2 + 1)/'Résultats des tournois'!H64) - (1 / (1 + 10^((H$103 - lastVal)/400)))))
)
))"),"")</f>
        <v/>
      </c>
      <c r="J64" s="32" t="str">
        <f>IFERROR(__xludf.DUMMYFUNCTION("IF('Résultats des tournois'!I$2=0,"""",LET(
lastVal, INDEX(FILTER($B64:I64, ISNUMBER($B64:I64)), COUNTA(FILTER($B64:I64, ISNUMBER($B64:I64)))),
IFERROR(
IF('Résultats des tournois'!I64="""", INDEX(FILTER($C64:I64, ISNUMBER($C64:I64)), COUNTA(FILTER($C64:I"&amp;"64, ISNUMBER($C64:I64)))),
lastVal + 'K dynamique'!I64 * ((SQRT('Résultats des tournois'!I$2 + 1)/'Résultats des tournois'!I64) - (1 / (1 + 10^((I$103 - lastVal)/400)))))
)
))"),"")</f>
        <v/>
      </c>
      <c r="K64" s="32" t="str">
        <f>IFERROR(__xludf.DUMMYFUNCTION("IF('Résultats des tournois'!J$2=0,"""",LET(
lastVal, INDEX(FILTER($B64:J64, ISNUMBER($B64:J64)), COUNTA(FILTER($B64:J64, ISNUMBER($B64:J64)))),
IFERROR(
IF('Résultats des tournois'!J64="""", INDEX(FILTER($C64:J64, ISNUMBER($C64:J64)), COUNTA(FILTER($C64:J"&amp;"64, ISNUMBER($C64:J64)))),
lastVal + 'K dynamique'!J64 * ((SQRT('Résultats des tournois'!J$2 + 1)/'Résultats des tournois'!J64) - (1 / (1 + 10^((J$103 - lastVal)/400)))))
)
))"),"")</f>
        <v/>
      </c>
      <c r="L64" s="32" t="str">
        <f>IFERROR(__xludf.DUMMYFUNCTION("IF('Résultats des tournois'!K$2=0,"""",LET(
lastVal, INDEX(FILTER($B64:K64, ISNUMBER($B64:K64)), COUNTA(FILTER($B64:K64, ISNUMBER($B64:K64)))),
IFERROR(
IF('Résultats des tournois'!K64="""", INDEX(FILTER($C64:K64, ISNUMBER($C64:K64)), COUNTA(FILTER($C64:K"&amp;"64, ISNUMBER($C64:K64)))),
lastVal + 'K dynamique'!K64 * ((SQRT('Résultats des tournois'!K$2 + 1)/'Résultats des tournois'!K64) - (1 / (1 + 10^((K$103 - lastVal)/400)))))
)
))"),"")</f>
        <v/>
      </c>
      <c r="M64" s="32" t="str">
        <f>IFERROR(__xludf.DUMMYFUNCTION("IF('Résultats des tournois'!L$2=0,"""",LET(
lastVal, INDEX(FILTER($B64:L64, ISNUMBER($B64:L64)), COUNTA(FILTER($B64:L64, ISNUMBER($B64:L64)))),
IFERROR(
IF('Résultats des tournois'!L64="""", INDEX(FILTER($C64:L64, ISNUMBER($C64:L64)), COUNTA(FILTER($C64:L"&amp;"64, ISNUMBER($C64:L64)))),
lastVal + 'K dynamique'!L64 * ((SQRT('Résultats des tournois'!L$2 + 1)/'Résultats des tournois'!L64) - (1 / (1 + 10^((L$103 - lastVal)/400)))))
)
))"),"")</f>
        <v/>
      </c>
      <c r="N64" s="32" t="str">
        <f>IFERROR(__xludf.DUMMYFUNCTION("IF('Résultats des tournois'!M$2=0,"""",LET(
lastVal, INDEX(FILTER($B64:M64, ISNUMBER($B64:M64)), COUNTA(FILTER($B64:M64, ISNUMBER($B64:M64)))),
IFERROR(
IF('Résultats des tournois'!M64="""", INDEX(FILTER($C64:M64, ISNUMBER($C64:M64)), COUNTA(FILTER($C64:M"&amp;"64, ISNUMBER($C64:M64)))),
lastVal + 'K dynamique'!M64 * ((SQRT('Résultats des tournois'!M$2 + 1)/'Résultats des tournois'!M64) - (1 / (1 + 10^((M$103 - lastVal)/400)))))
)
))"),"")</f>
        <v/>
      </c>
      <c r="O64" s="32" t="str">
        <f>IFERROR(__xludf.DUMMYFUNCTION("IF('Résultats des tournois'!N$2=0,"""",LET(
lastVal, INDEX(FILTER($B64:N64, ISNUMBER($B64:N64)), COUNTA(FILTER($B64:N64, ISNUMBER($B64:N64)))),
IFERROR(
IF('Résultats des tournois'!N64="""", INDEX(FILTER($C64:N64, ISNUMBER($C64:N64)), COUNTA(FILTER($C64:N"&amp;"64, ISNUMBER($C64:N64)))),
lastVal + 'K dynamique'!N64 * ((SQRT('Résultats des tournois'!N$2 + 1)/'Résultats des tournois'!N64) - (1 / (1 + 10^((N$103 - lastVal)/400)))))
)
))"),"")</f>
        <v/>
      </c>
      <c r="P64" s="32" t="str">
        <f>IFERROR(__xludf.DUMMYFUNCTION("IF('Résultats des tournois'!O$2=0,"""",LET(
lastVal, INDEX(FILTER($B64:O64, ISNUMBER($B64:O64)), COUNTA(FILTER($B64:O64, ISNUMBER($B64:O64)))),
IFERROR(
IF('Résultats des tournois'!O64="""", INDEX(FILTER($C64:O64, ISNUMBER($C64:O64)), COUNTA(FILTER($C64:O"&amp;"64, ISNUMBER($C64:O64)))),
lastVal + 'K dynamique'!O64 * ((SQRT('Résultats des tournois'!O$2 + 1)/'Résultats des tournois'!O64) - (1 / (1 + 10^((O$103 - lastVal)/400)))))
)
))"),"")</f>
        <v/>
      </c>
      <c r="Q64" s="32" t="str">
        <f>IFERROR(__xludf.DUMMYFUNCTION("IF('Résultats des tournois'!P$2=0,"""",LET(
lastVal, INDEX(FILTER($B64:P64, ISNUMBER($B64:P64)), COUNTA(FILTER($B64:P64, ISNUMBER($B64:P64)))),
IFERROR(
IF('Résultats des tournois'!P64="""", INDEX(FILTER($C64:P64, ISNUMBER($C64:P64)), COUNTA(FILTER($C64:P"&amp;"64, ISNUMBER($C64:P64)))),
lastVal + 'K dynamique'!P64 * ((SQRT('Résultats des tournois'!P$2 + 1)/'Résultats des tournois'!P64) - (1 / (1 + 10^((P$103 - lastVal)/400)))))
)
))"),"")</f>
        <v/>
      </c>
      <c r="R64" s="32" t="str">
        <f>IFERROR(__xludf.DUMMYFUNCTION("IF('Résultats des tournois'!Q$2=0,"""",LET(
lastVal, INDEX(FILTER($B64:Q64, ISNUMBER($B64:Q64)), COUNTA(FILTER($B64:Q64, ISNUMBER($B64:Q64)))),
IFERROR(
IF('Résultats des tournois'!Q64="""", INDEX(FILTER($C64:Q64, ISNUMBER($C64:Q64)), COUNTA(FILTER($C64:Q"&amp;"64, ISNUMBER($C64:Q64)))),
lastVal + 'K dynamique'!Q64 * ((SQRT('Résultats des tournois'!Q$2 + 1)/'Résultats des tournois'!Q64) - (1 / (1 + 10^((Q$103 - lastVal)/400)))))
)
))"),"")</f>
        <v/>
      </c>
      <c r="S64" s="32" t="str">
        <f>IFERROR(__xludf.DUMMYFUNCTION("IF('Résultats des tournois'!R$2=0,"""",LET(
lastVal, INDEX(FILTER($B64:R64, ISNUMBER($B64:R64)), COUNTA(FILTER($B64:R64, ISNUMBER($B64:R64)))),
IFERROR(
IF('Résultats des tournois'!R64="""", INDEX(FILTER($C64:R64, ISNUMBER($C64:R64)), COUNTA(FILTER($C64:R"&amp;"64, ISNUMBER($C64:R64)))),
lastVal + 'K dynamique'!R64 * ((SQRT('Résultats des tournois'!R$2 + 1)/'Résultats des tournois'!R64) - (1 / (1 + 10^((R$103 - lastVal)/400)))))
)
))"),"")</f>
        <v/>
      </c>
      <c r="T64" s="32" t="str">
        <f>IFERROR(__xludf.DUMMYFUNCTION("IF('Résultats des tournois'!S$2=0,"""",LET(
lastVal, INDEX(FILTER($B64:S64, ISNUMBER($B64:S64)), COUNTA(FILTER($B64:S64, ISNUMBER($B64:S64)))),
IFERROR(
IF('Résultats des tournois'!S64="""", INDEX(FILTER($C64:S64, ISNUMBER($C64:S64)), COUNTA(FILTER($C64:S"&amp;"64, ISNUMBER($C64:S64)))),
lastVal + 'K dynamique'!S64 * ((SQRT('Résultats des tournois'!S$2 + 1)/'Résultats des tournois'!S64) - (1 / (1 + 10^((S$103 - lastVal)/400)))))
)
))"),"")</f>
        <v/>
      </c>
      <c r="U64" s="32" t="str">
        <f>IFERROR(__xludf.DUMMYFUNCTION("IF('Résultats des tournois'!T$2=0,"""",LET(
lastVal, INDEX(FILTER($B64:T64, ISNUMBER($B64:T64)), COUNTA(FILTER($B64:T64, ISNUMBER($B64:T64)))),
IFERROR(
IF('Résultats des tournois'!T64="""", INDEX(FILTER($C64:T64, ISNUMBER($C64:T64)), COUNTA(FILTER($C64:T"&amp;"64, ISNUMBER($C64:T64)))),
lastVal + 'K dynamique'!T64 * ((SQRT('Résultats des tournois'!T$2 + 1)/'Résultats des tournois'!T64) - (1 / (1 + 10^((T$103 - lastVal)/400)))))
)
))"),"")</f>
        <v/>
      </c>
      <c r="V64" s="32" t="str">
        <f>IFERROR(__xludf.DUMMYFUNCTION("IF('Résultats des tournois'!U$2=0,"""",LET(
lastVal, INDEX(FILTER($B64:U64, ISNUMBER($B64:U64)), COUNTA(FILTER($B64:U64, ISNUMBER($B64:U64)))),
IFERROR(
IF('Résultats des tournois'!U64="""", INDEX(FILTER($C64:U64, ISNUMBER($C64:U64)), COUNTA(FILTER($C64:U"&amp;"64, ISNUMBER($C64:U64)))),
lastVal + 'K dynamique'!U64 * ((SQRT('Résultats des tournois'!U$2 + 1)/'Résultats des tournois'!U64) - (1 / (1 + 10^((U$103 - lastVal)/400)))))
)
))"),"")</f>
        <v/>
      </c>
      <c r="W64" s="32" t="str">
        <f>IFERROR(__xludf.DUMMYFUNCTION("IF('Résultats des tournois'!V$2=0,"""",LET(
lastVal, INDEX(FILTER($B64:V64, ISNUMBER($B64:V64)), COUNTA(FILTER($B64:V64, ISNUMBER($B64:V64)))),
IFERROR(
IF('Résultats des tournois'!V64="""", INDEX(FILTER($C64:V64, ISNUMBER($C64:V64)), COUNTA(FILTER($C64:V"&amp;"64, ISNUMBER($C64:V64)))),
lastVal + 'K dynamique'!V64 * ((SQRT('Résultats des tournois'!V$2 + 1)/'Résultats des tournois'!V64) - (1 / (1 + 10^((V$103 - lastVal)/400)))))
)
))"),"")</f>
        <v/>
      </c>
      <c r="X64" s="32" t="str">
        <f>IFERROR(__xludf.DUMMYFUNCTION("IF('Résultats des tournois'!W$2=0,"""",LET(
lastVal, INDEX(FILTER($B64:W64, ISNUMBER($B64:W64)), COUNTA(FILTER($B64:W64, ISNUMBER($B64:W64)))),
IFERROR(
IF('Résultats des tournois'!W64="""", INDEX(FILTER($C64:W64, ISNUMBER($C64:W64)), COUNTA(FILTER($C64:W"&amp;"64, ISNUMBER($C64:W64)))),
lastVal + 'K dynamique'!W64 * ((SQRT('Résultats des tournois'!W$2 + 1)/'Résultats des tournois'!W64) - (1 / (1 + 10^((W$103 - lastVal)/400)))))
)
))"),"")</f>
        <v/>
      </c>
      <c r="Y64" s="32" t="str">
        <f>IFERROR(__xludf.DUMMYFUNCTION("IF('Résultats des tournois'!X$2=0,"""",LET(
lastVal, INDEX(FILTER($B64:X64, ISNUMBER($B64:X64)), COUNTA(FILTER($B64:X64, ISNUMBER($B64:X64)))),
IFERROR(
IF('Résultats des tournois'!X64="""", INDEX(FILTER($C64:X64, ISNUMBER($C64:X64)), COUNTA(FILTER($C64:X"&amp;"64, ISNUMBER($C64:X64)))),
lastVal + 'K dynamique'!X64 * ((SQRT('Résultats des tournois'!X$2 + 1)/'Résultats des tournois'!X64) - (1 / (1 + 10^((X$103 - lastVal)/400)))))
)
))"),"")</f>
        <v/>
      </c>
      <c r="Z64" s="32" t="str">
        <f>IFERROR(__xludf.DUMMYFUNCTION("IF('Résultats des tournois'!Y$2=0,"""",LET(
lastVal, INDEX(FILTER($B64:Y64, ISNUMBER($B64:Y64)), COUNTA(FILTER($B64:Y64, ISNUMBER($B64:Y64)))),
IFERROR(
IF('Résultats des tournois'!Y64="""", INDEX(FILTER($C64:Y64, ISNUMBER($C64:Y64)), COUNTA(FILTER($C64:Y"&amp;"64, ISNUMBER($C64:Y64)))),
lastVal + 'K dynamique'!Y64 * ((SQRT('Résultats des tournois'!Y$2 + 1)/'Résultats des tournois'!Y64) - (1 / (1 + 10^((Y$103 - lastVal)/400)))))
)
))"),"")</f>
        <v/>
      </c>
      <c r="AA64" s="32" t="str">
        <f>IFERROR(__xludf.DUMMYFUNCTION("IF('Résultats des tournois'!Z$2=0,"""",LET(
lastVal, INDEX(FILTER($B64:Z64, ISNUMBER($B64:Z64)), COUNTA(FILTER($B64:Z64, ISNUMBER($B64:Z64)))),
IFERROR(
IF('Résultats des tournois'!Z64="""", INDEX(FILTER($C64:Z64, ISNUMBER($C64:Z64)), COUNTA(FILTER($C64:Z"&amp;"64, ISNUMBER($C64:Z64)))),
lastVal + 'K dynamique'!Z64 * ((SQRT('Résultats des tournois'!Z$2 + 1)/'Résultats des tournois'!Z64) - (1 / (1 + 10^((Z$103 - lastVal)/400)))))
)
))"),"")</f>
        <v/>
      </c>
      <c r="AB64" s="32" t="str">
        <f>IFERROR(__xludf.DUMMYFUNCTION("IF('Résultats des tournois'!AA$2=0,"""",LET(
lastVal, INDEX(FILTER($B64:AA64, ISNUMBER($B64:AA64)), COUNTA(FILTER($B64:AA64, ISNUMBER($B64:AA64)))),
IFERROR(
IF('Résultats des tournois'!AA64="""", INDEX(FILTER($C64:AA64, ISNUMBER($C64:AA64)), COUNTA(FILTE"&amp;"R($C64:AA64, ISNUMBER($C64:AA64)))),
lastVal + 'K dynamique'!AA64 * ((SQRT('Résultats des tournois'!AA$2 + 1)/'Résultats des tournois'!AA64) - (1 / (1 + 10^((AA$103 - lastVal)/400)))))
)
))"),"")</f>
        <v/>
      </c>
      <c r="AC64" s="32" t="str">
        <f>IFERROR(__xludf.DUMMYFUNCTION("IF('Résultats des tournois'!AB$2=0,"""",LET(
lastVal, INDEX(FILTER($B64:AB64, ISNUMBER($B64:AB64)), COUNTA(FILTER($B64:AB64, ISNUMBER($B64:AB64)))),
IFERROR(
IF('Résultats des tournois'!AB64="""", INDEX(FILTER($C64:AB64, ISNUMBER($C64:AB64)), COUNTA(FILTE"&amp;"R($C64:AB64, ISNUMBER($C64:AB64)))),
lastVal + 'K dynamique'!AB64 * ((SQRT('Résultats des tournois'!AB$2 + 1)/'Résultats des tournois'!AB64) - (1 / (1 + 10^((AB$103 - lastVal)/400)))))
)
))"),"")</f>
        <v/>
      </c>
      <c r="AD64" s="32" t="str">
        <f>IFERROR(__xludf.DUMMYFUNCTION("IF('Résultats des tournois'!AC$2=0,"""",LET(
lastVal, INDEX(FILTER($B64:AC64, ISNUMBER($B64:AC64)), COUNTA(FILTER($B64:AC64, ISNUMBER($B64:AC64)))),
IFERROR(
IF('Résultats des tournois'!AC64="""", INDEX(FILTER($C64:AC64, ISNUMBER($C64:AC64)), COUNTA(FILTE"&amp;"R($C64:AC64, ISNUMBER($C64:AC64)))),
lastVal + 'K dynamique'!AC64 * ((SQRT('Résultats des tournois'!AC$2 + 1)/'Résultats des tournois'!AC64) - (1 / (1 + 10^((AC$103 - lastVal)/400)))))
)
))"),"")</f>
        <v/>
      </c>
      <c r="AE64" s="32" t="str">
        <f>IFERROR(__xludf.DUMMYFUNCTION("IF('Résultats des tournois'!AD$2=0,"""",LET(
lastVal, INDEX(FILTER($B64:AD64, ISNUMBER($B64:AD64)), COUNTA(FILTER($B64:AD64, ISNUMBER($B64:AD64)))),
IFERROR(
IF('Résultats des tournois'!AD64="""", INDEX(FILTER($C64:AD64, ISNUMBER($C64:AD64)), COUNTA(FILTE"&amp;"R($C64:AD64, ISNUMBER($C64:AD64)))),
lastVal + 'K dynamique'!AD64 * ((SQRT('Résultats des tournois'!AD$2 + 1)/'Résultats des tournois'!AD64) - (1 / (1 + 10^((AD$103 - lastVal)/400)))))
)
))"),"")</f>
        <v/>
      </c>
      <c r="AF64" s="32" t="str">
        <f>IFERROR(__xludf.DUMMYFUNCTION("IF('Résultats des tournois'!AE$2=0,"""",LET(
lastVal, INDEX(FILTER($B64:AE64, ISNUMBER($B64:AE64)), COUNTA(FILTER($B64:AE64, ISNUMBER($B64:AE64)))),
IFERROR(
IF('Résultats des tournois'!AE64="""", INDEX(FILTER($C64:AE64, ISNUMBER($C64:AE64)), COUNTA(FILTE"&amp;"R($C64:AE64, ISNUMBER($C64:AE64)))),
lastVal + 'K dynamique'!AE64 * ((SQRT('Résultats des tournois'!AE$2 + 1)/'Résultats des tournois'!AE64) - (1 / (1 + 10^((AE$103 - lastVal)/400)))))
)
))"),"")</f>
        <v/>
      </c>
      <c r="AG64" s="32" t="str">
        <f>IFERROR(__xludf.DUMMYFUNCTION("IF('Résultats des tournois'!AF$2=0,"""",LET(
lastVal, INDEX(FILTER($B64:AF64, ISNUMBER($B64:AF64)), COUNTA(FILTER($B64:AF64, ISNUMBER($B64:AF64)))),
IFERROR(
IF('Résultats des tournois'!AF64="""", INDEX(FILTER($C64:AF64, ISNUMBER($C64:AF64)), COUNTA(FILTE"&amp;"R($C64:AF64, ISNUMBER($C64:AF64)))),
lastVal + 'K dynamique'!AF64 * ((SQRT('Résultats des tournois'!AF$2 + 1)/'Résultats des tournois'!AF64) - (1 / (1 + 10^((AF$103 - lastVal)/400)))))
)
))"),"")</f>
        <v/>
      </c>
      <c r="AH64" s="32" t="str">
        <f>IFERROR(__xludf.DUMMYFUNCTION("IF('Résultats des tournois'!AG$2=0,"""",LET(
lastVal, INDEX(FILTER($B64:AG64, ISNUMBER($B64:AG64)), COUNTA(FILTER($B64:AG64, ISNUMBER($B64:AG64)))),
IFERROR(
IF('Résultats des tournois'!AG64="""", INDEX(FILTER($C64:AG64, ISNUMBER($C64:AG64)), COUNTA(FILTE"&amp;"R($C64:AG64, ISNUMBER($C64:AG64)))),
lastVal + 'K dynamique'!AG64 * ((SQRT('Résultats des tournois'!AG$2 + 1)/'Résultats des tournois'!AG64) - (1 / (1 + 10^((AG$103 - lastVal)/400)))))
)
))"),"")</f>
        <v/>
      </c>
      <c r="AI64" s="32" t="str">
        <f>IFERROR(__xludf.DUMMYFUNCTION("IF('Résultats des tournois'!AH$2=0,"""",LET(
lastVal, INDEX(FILTER($B64:AH64, ISNUMBER($B64:AH64)), COUNTA(FILTER($B64:AH64, ISNUMBER($B64:AH64)))),
IFERROR(
IF('Résultats des tournois'!AH64="""", INDEX(FILTER($C64:AH64, ISNUMBER($C64:AH64)), COUNTA(FILTE"&amp;"R($C64:AH64, ISNUMBER($C64:AH64)))),
lastVal + 'K dynamique'!AH64 * ((SQRT('Résultats des tournois'!AH$2 + 1)/'Résultats des tournois'!AH64) - (1 / (1 + 10^((AH$103 - lastVal)/400)))))
)
))"),"")</f>
        <v/>
      </c>
      <c r="AJ64" s="32" t="str">
        <f>IFERROR(__xludf.DUMMYFUNCTION("IF('Résultats des tournois'!AI$2=0,"""",LET(
lastVal, INDEX(FILTER($B64:AI64, ISNUMBER($B64:AI64)), COUNTA(FILTER($B64:AI64, ISNUMBER($B64:AI64)))),
IFERROR(
IF('Résultats des tournois'!AI64="""", INDEX(FILTER($C64:AI64, ISNUMBER($C64:AI64)), COUNTA(FILTE"&amp;"R($C64:AI64, ISNUMBER($C64:AI64)))),
lastVal + 'K dynamique'!AI64 * ((SQRT('Résultats des tournois'!AI$2 + 1)/'Résultats des tournois'!AI64) - (1 / (1 + 10^((AI$103 - lastVal)/400)))))
)
))"),"")</f>
        <v/>
      </c>
      <c r="AK64" s="32" t="str">
        <f>IFERROR(__xludf.DUMMYFUNCTION("IF('Résultats des tournois'!AJ$2=0,"""",LET(
lastVal, INDEX(FILTER($B64:AJ64, ISNUMBER($B64:AJ64)), COUNTA(FILTER($B64:AJ64, ISNUMBER($B64:AJ64)))),
IFERROR(
IF('Résultats des tournois'!AJ64="""", INDEX(FILTER($C64:AJ64, ISNUMBER($C64:AJ64)), COUNTA(FILTE"&amp;"R($C64:AJ64, ISNUMBER($C64:AJ64)))),
lastVal + 'K dynamique'!AJ64 * ((SQRT('Résultats des tournois'!AJ$2 + 1)/'Résultats des tournois'!AJ64) - (1 / (1 + 10^((AJ$103 - lastVal)/400)))))
)
))"),"")</f>
        <v/>
      </c>
      <c r="AL64" s="32" t="str">
        <f>IFERROR(__xludf.DUMMYFUNCTION("IF('Résultats des tournois'!AK$2=0,"""",LET(
lastVal, INDEX(FILTER($B64:AK64, ISNUMBER($B64:AK64)), COUNTA(FILTER($B64:AK64, ISNUMBER($B64:AK64)))),
IFERROR(
IF('Résultats des tournois'!AK64="""", INDEX(FILTER($C64:AK64, ISNUMBER($C64:AK64)), COUNTA(FILTE"&amp;"R($C64:AK64, ISNUMBER($C64:AK64)))),
lastVal + 'K dynamique'!AK64 * ((SQRT('Résultats des tournois'!AK$2 + 1)/'Résultats des tournois'!AK64) - (1 / (1 + 10^((AK$103 - lastVal)/400)))))
)
))"),"")</f>
        <v/>
      </c>
      <c r="AM64" s="32" t="str">
        <f>IFERROR(__xludf.DUMMYFUNCTION("IF('Résultats des tournois'!AL$2=0,"""",LET(
lastVal, INDEX(FILTER($B64:AL64, ISNUMBER($B64:AL64)), COUNTA(FILTER($B64:AL64, ISNUMBER($B64:AL64)))),
IFERROR(
IF('Résultats des tournois'!AL64="""", INDEX(FILTER($C64:AL64, ISNUMBER($C64:AL64)), COUNTA(FILTE"&amp;"R($C64:AL64, ISNUMBER($C64:AL64)))),
lastVal + 'K dynamique'!AL64 * ((SQRT('Résultats des tournois'!AL$2 + 1)/'Résultats des tournois'!AL64) - (1 / (1 + 10^((AL$103 - lastVal)/400)))))
)
))"),"")</f>
        <v/>
      </c>
      <c r="AN64" s="32" t="str">
        <f>IFERROR(__xludf.DUMMYFUNCTION("IF('Résultats des tournois'!AM$2=0,"""",LET(
lastVal, INDEX(FILTER($B64:AM64, ISNUMBER($B64:AM64)), COUNTA(FILTER($B64:AM64, ISNUMBER($B64:AM64)))),
IFERROR(
IF('Résultats des tournois'!AM64="""", INDEX(FILTER($C64:AM64, ISNUMBER($C64:AM64)), COUNTA(FILTE"&amp;"R($C64:AM64, ISNUMBER($C64:AM64)))),
lastVal + 'K dynamique'!AM64 * ((SQRT('Résultats des tournois'!AM$2 + 1)/'Résultats des tournois'!AM64) - (1 / (1 + 10^((AM$103 - lastVal)/400)))))
)
))"),"")</f>
        <v/>
      </c>
      <c r="AO64" s="32" t="str">
        <f>IFERROR(__xludf.DUMMYFUNCTION("IF('Résultats des tournois'!AN$2=0,"""",LET(
lastVal, INDEX(FILTER($B64:AN64, ISNUMBER($B64:AN64)), COUNTA(FILTER($B64:AN64, ISNUMBER($B64:AN64)))),
IFERROR(
IF('Résultats des tournois'!AN64="""", INDEX(FILTER($C64:AN64, ISNUMBER($C64:AN64)), COUNTA(FILTE"&amp;"R($C64:AN64, ISNUMBER($C64:AN64)))),
lastVal + 'K dynamique'!AN64 * ((SQRT('Résultats des tournois'!AN$2 + 1)/'Résultats des tournois'!AN64) - (1 / (1 + 10^((AN$103 - lastVal)/400)))))
)
))"),"")</f>
        <v/>
      </c>
      <c r="AP64" s="32" t="str">
        <f>IFERROR(__xludf.DUMMYFUNCTION("IF('Résultats des tournois'!AO$2=0,"""",LET(
lastVal, INDEX(FILTER($B64:AO64, ISNUMBER($B64:AO64)), COUNTA(FILTER($B64:AO64, ISNUMBER($B64:AO64)))),
IFERROR(
IF('Résultats des tournois'!AO64="""", INDEX(FILTER($C64:AO64, ISNUMBER($C64:AO64)), COUNTA(FILTE"&amp;"R($C64:AO64, ISNUMBER($C64:AO64)))),
lastVal + 'K dynamique'!AO64 * ((SQRT('Résultats des tournois'!AO$2 + 1)/'Résultats des tournois'!AO64) - (1 / (1 + 10^((AO$103 - lastVal)/400)))))
)
))"),"")</f>
        <v/>
      </c>
      <c r="AQ64" s="32" t="str">
        <f>IFERROR(__xludf.DUMMYFUNCTION("IF('Résultats des tournois'!AP$2=0,"""",LET(
lastVal, INDEX(FILTER($B64:AP64, ISNUMBER($B64:AP64)), COUNTA(FILTER($B64:AP64, ISNUMBER($B64:AP64)))),
IFERROR(
IF('Résultats des tournois'!AP64="""", INDEX(FILTER($C64:AP64, ISNUMBER($C64:AP64)), COUNTA(FILTE"&amp;"R($C64:AP64, ISNUMBER($C64:AP64)))),
lastVal + 'K dynamique'!AP64 * ((SQRT('Résultats des tournois'!AP$2 + 1)/'Résultats des tournois'!AP64) - (1 / (1 + 10^((AP$103 - lastVal)/400)))))
)
))"),"")</f>
        <v/>
      </c>
      <c r="AR64" s="32" t="str">
        <f>IFERROR(__xludf.DUMMYFUNCTION("IF('Résultats des tournois'!AQ$2=0,"""",LET(
lastVal, INDEX(FILTER($B64:AQ64, ISNUMBER($B64:AQ64)), COUNTA(FILTER($B64:AQ64, ISNUMBER($B64:AQ64)))),
IFERROR(
IF('Résultats des tournois'!AQ64="""", INDEX(FILTER($C64:AQ64, ISNUMBER($C64:AQ64)), COUNTA(FILTE"&amp;"R($C64:AQ64, ISNUMBER($C64:AQ64)))),
lastVal + 'K dynamique'!AQ64 * ((SQRT('Résultats des tournois'!AQ$2 + 1)/'Résultats des tournois'!AQ64) - (1 / (1 + 10^((AQ$103 - lastVal)/400)))))
)
))"),"")</f>
        <v/>
      </c>
      <c r="AS64" s="32" t="str">
        <f>IFERROR(__xludf.DUMMYFUNCTION("IF('Résultats des tournois'!AR$2=0,"""",LET(
lastVal, INDEX(FILTER($B64:AR64, ISNUMBER($B64:AR64)), COUNTA(FILTER($B64:AR64, ISNUMBER($B64:AR64)))),
IFERROR(
IF('Résultats des tournois'!AR64="""", INDEX(FILTER($C64:AR64, ISNUMBER($C64:AR64)), COUNTA(FILTE"&amp;"R($C64:AR64, ISNUMBER($C64:AR64)))),
lastVal + 'K dynamique'!AR64 * ((SQRT('Résultats des tournois'!AR$2 + 1)/'Résultats des tournois'!AR64) - (1 / (1 + 10^((AR$103 - lastVal)/400)))))
)
))"),"")</f>
        <v/>
      </c>
      <c r="AT64" s="32" t="str">
        <f>IFERROR(__xludf.DUMMYFUNCTION("IF('Résultats des tournois'!AS$2=0,"""",LET(
lastVal, INDEX(FILTER($B64:AS64, ISNUMBER($B64:AS64)), COUNTA(FILTER($B64:AS64, ISNUMBER($B64:AS64)))),
IFERROR(
IF('Résultats des tournois'!AS64="""", INDEX(FILTER($C64:AS64, ISNUMBER($C64:AS64)), COUNTA(FILTE"&amp;"R($C64:AS64, ISNUMBER($C64:AS64)))),
lastVal + 'K dynamique'!AS64 * ((SQRT('Résultats des tournois'!AS$2 + 1)/'Résultats des tournois'!AS64) - (1 / (1 + 10^((AS$103 - lastVal)/400)))))
)
))"),"")</f>
        <v/>
      </c>
      <c r="AU64" s="32" t="str">
        <f>IFERROR(__xludf.DUMMYFUNCTION("IF('Résultats des tournois'!AT$2=0,"""",LET(
lastVal, INDEX(FILTER($B64:AT64, ISNUMBER($B64:AT64)), COUNTA(FILTER($B64:AT64, ISNUMBER($B64:AT64)))),
IFERROR(
IF('Résultats des tournois'!AT64="""", INDEX(FILTER($C64:AT64, ISNUMBER($C64:AT64)), COUNTA(FILTE"&amp;"R($C64:AT64, ISNUMBER($C64:AT64)))),
lastVal + 'K dynamique'!AT64 * ((SQRT('Résultats des tournois'!AT$2 + 1)/'Résultats des tournois'!AT64) - (1 / (1 + 10^((AT$103 - lastVal)/400)))))
)
))"),"")</f>
        <v/>
      </c>
      <c r="AV64" s="32" t="str">
        <f>IFERROR(__xludf.DUMMYFUNCTION("IF('Résultats des tournois'!AU$2=0,"""",LET(
lastVal, INDEX(FILTER($B64:AU64, ISNUMBER($B64:AU64)), COUNTA(FILTER($B64:AU64, ISNUMBER($B64:AU64)))),
IFERROR(
IF('Résultats des tournois'!AU64="""", INDEX(FILTER($C64:AU64, ISNUMBER($C64:AU64)), COUNTA(FILTE"&amp;"R($C64:AU64, ISNUMBER($C64:AU64)))),
lastVal + 'K dynamique'!AU64 * ((SQRT('Résultats des tournois'!AU$2 + 1)/'Résultats des tournois'!AU64) - (1 / (1 + 10^((AU$103 - lastVal)/400)))))
)
))"),"")</f>
        <v/>
      </c>
      <c r="AW64" s="32" t="str">
        <f>IFERROR(__xludf.DUMMYFUNCTION("IF('Résultats des tournois'!AV$2=0,"""",LET(
lastVal, INDEX(FILTER($B64:AV64, ISNUMBER($B64:AV64)), COUNTA(FILTER($B64:AV64, ISNUMBER($B64:AV64)))),
IFERROR(
IF('Résultats des tournois'!AV64="""", INDEX(FILTER($C64:AV64, ISNUMBER($C64:AV64)), COUNTA(FILTE"&amp;"R($C64:AV64, ISNUMBER($C64:AV64)))),
lastVal + 'K dynamique'!AV64 * ((SQRT('Résultats des tournois'!AV$2 + 1)/'Résultats des tournois'!AV64) - (1 / (1 + 10^((AV$103 - lastVal)/400)))))
)
))"),"")</f>
        <v/>
      </c>
      <c r="AX64" s="32" t="str">
        <f>IFERROR(__xludf.DUMMYFUNCTION("IF('Résultats des tournois'!AW$2=0,"""",LET(
lastVal, INDEX(FILTER($B64:AW64, ISNUMBER($B64:AW64)), COUNTA(FILTER($B64:AW64, ISNUMBER($B64:AW64)))),
IFERROR(
IF('Résultats des tournois'!AW64="""", INDEX(FILTER($C64:AW64, ISNUMBER($C64:AW64)), COUNTA(FILTE"&amp;"R($C64:AW64, ISNUMBER($C64:AW64)))),
lastVal + 'K dynamique'!AW64 * ((SQRT('Résultats des tournois'!AW$2 + 1)/'Résultats des tournois'!AW64) - (1 / (1 + 10^((AW$103 - lastVal)/400)))))
)
))"),"")</f>
        <v/>
      </c>
      <c r="AY64" s="32" t="str">
        <f>IFERROR(__xludf.DUMMYFUNCTION("IF('Résultats des tournois'!AX$2=0,"""",LET(
lastVal, INDEX(FILTER($B64:AX64, ISNUMBER($B64:AX64)), COUNTA(FILTER($B64:AX64, ISNUMBER($B64:AX64)))),
IFERROR(
IF('Résultats des tournois'!AX64="""", INDEX(FILTER($C64:AX64, ISNUMBER($C64:AX64)), COUNTA(FILTE"&amp;"R($C64:AX64, ISNUMBER($C64:AX64)))),
lastVal + 'K dynamique'!AX64 * ((SQRT('Résultats des tournois'!AX$2 + 1)/'Résultats des tournois'!AX64) - (1 / (1 + 10^((AX$103 - lastVal)/400)))))
)
))"),"")</f>
        <v/>
      </c>
      <c r="AZ64" s="4" t="str">
        <f t="array" ref="AZ64">IF(MAX(($C64:AY64&lt;&gt;"")*COLUMN($C64:AY64))=0,"",INDEX($C64:AY64,1,MAX(($C64:AY64&lt;&gt;"")*COLUMN($C64:AY64))-COLUMN($C64)+1))</f>
        <v/>
      </c>
      <c r="BA64" s="33" t="str">
        <f t="shared" si="1"/>
        <v/>
      </c>
    </row>
    <row r="65" ht="14.25" customHeight="1">
      <c r="A65" s="32" t="str">
        <f>IF('Résultats des tournois'!A65="","",'Résultats des tournois'!A65)</f>
        <v/>
      </c>
      <c r="B65" s="32">
        <v>1500.0</v>
      </c>
      <c r="C65" s="32" t="str">
        <f>IF('Résultats des tournois'!B65="","",B65+'K dynamique'!B65*((SQRT('Résultats des tournois'!B$2+1)/'Résultats des tournois'!B65)-(1/(1+10^((B65-B65)/400)))))</f>
        <v/>
      </c>
      <c r="D65" s="32" t="str">
        <f>IFERROR(__xludf.DUMMYFUNCTION("IF('Résultats des tournois'!C$2=0,"""",LET(
lastVal, INDEX(FILTER($B65:C65, ISNUMBER($B65:C65)), COUNTA(FILTER($B65:C65, ISNUMBER($B65:C65)))),
IFERROR(
IF('Résultats des tournois'!C65="""", INDEX(FILTER($C65:C65, ISNUMBER($C65:C65)), COUNTA(FILTER($C65:C"&amp;"65, ISNUMBER($C65:C65)))),
lastVal + 'K dynamique'!C65 * ((SQRT('Résultats des tournois'!C$2 + 1)/'Résultats des tournois'!C65) - (1 / (1 + 10^((C$103 - lastVal)/400)))))
)
))"),"")</f>
        <v/>
      </c>
      <c r="E65" s="32" t="str">
        <f>IFERROR(__xludf.DUMMYFUNCTION("IF('Résultats des tournois'!D$2=0,"""",LET(
lastVal, INDEX(FILTER($B65:D65, ISNUMBER($B65:D65)), COUNTA(FILTER($B65:D65, ISNUMBER($B65:D65)))),
IFERROR(
IF('Résultats des tournois'!D65="""", INDEX(FILTER($C65:D65, ISNUMBER($C65:D65)), COUNTA(FILTER($C65:D"&amp;"65, ISNUMBER($C65:D65)))),
lastVal + 'K dynamique'!D65 * ((SQRT('Résultats des tournois'!D$2 + 1)/'Résultats des tournois'!D65) - (1 / (1 + 10^((D$103 - lastVal)/400)))))
)
))"),"")</f>
        <v/>
      </c>
      <c r="F65" s="32" t="str">
        <f>IFERROR(__xludf.DUMMYFUNCTION("IF('Résultats des tournois'!E$2=0,"""",LET(
lastVal, INDEX(FILTER($B65:E65, ISNUMBER($B65:E65)), COUNTA(FILTER($B65:E65, ISNUMBER($B65:E65)))),
IFERROR(
IF('Résultats des tournois'!E65="""", INDEX(FILTER($C65:E65, ISNUMBER($C65:E65)), COUNTA(FILTER($C65:E"&amp;"65, ISNUMBER($C65:E65)))),
lastVal + 'K dynamique'!E65 * ((SQRT('Résultats des tournois'!E$2 + 1)/'Résultats des tournois'!E65) - (1 / (1 + 10^((E$103 - lastVal)/400)))))
)
))"),"")</f>
        <v/>
      </c>
      <c r="G65" s="32" t="str">
        <f>IFERROR(__xludf.DUMMYFUNCTION("IF('Résultats des tournois'!F$2=0,"""",LET(
lastVal, INDEX(FILTER($B65:F65, ISNUMBER($B65:F65)), COUNTA(FILTER($B65:F65, ISNUMBER($B65:F65)))),
IFERROR(
IF('Résultats des tournois'!F65="""", INDEX(FILTER($C65:F65, ISNUMBER($C65:F65)), COUNTA(FILTER($C65:F"&amp;"65, ISNUMBER($C65:F65)))),
lastVal + 'K dynamique'!F65 * ((SQRT('Résultats des tournois'!F$2 + 1)/'Résultats des tournois'!F65) - (1 / (1 + 10^((F$103 - lastVal)/400)))))
)
))"),"")</f>
        <v/>
      </c>
      <c r="H65" s="32" t="str">
        <f>IFERROR(__xludf.DUMMYFUNCTION("IF('Résultats des tournois'!G$2=0,"""",LET(
lastVal, INDEX(FILTER($B65:G65, ISNUMBER($B65:G65)), COUNTA(FILTER($B65:G65, ISNUMBER($B65:G65)))),
IFERROR(
IF('Résultats des tournois'!G65="""", INDEX(FILTER($C65:G65, ISNUMBER($C65:G65)), COUNTA(FILTER($C65:G"&amp;"65, ISNUMBER($C65:G65)))),
lastVal + 'K dynamique'!G65 * ((SQRT('Résultats des tournois'!G$2 + 1)/'Résultats des tournois'!G65) - (1 / (1 + 10^((G$103 - lastVal)/400)))))
)
))"),"")</f>
        <v/>
      </c>
      <c r="I65" s="32" t="str">
        <f>IFERROR(__xludf.DUMMYFUNCTION("IF('Résultats des tournois'!H$2=0,"""",LET(
lastVal, INDEX(FILTER($B65:H65, ISNUMBER($B65:H65)), COUNTA(FILTER($B65:H65, ISNUMBER($B65:H65)))),
IFERROR(
IF('Résultats des tournois'!H65="""", INDEX(FILTER($C65:H65, ISNUMBER($C65:H65)), COUNTA(FILTER($C65:H"&amp;"65, ISNUMBER($C65:H65)))),
lastVal + 'K dynamique'!H65 * ((SQRT('Résultats des tournois'!H$2 + 1)/'Résultats des tournois'!H65) - (1 / (1 + 10^((H$103 - lastVal)/400)))))
)
))"),"")</f>
        <v/>
      </c>
      <c r="J65" s="32" t="str">
        <f>IFERROR(__xludf.DUMMYFUNCTION("IF('Résultats des tournois'!I$2=0,"""",LET(
lastVal, INDEX(FILTER($B65:I65, ISNUMBER($B65:I65)), COUNTA(FILTER($B65:I65, ISNUMBER($B65:I65)))),
IFERROR(
IF('Résultats des tournois'!I65="""", INDEX(FILTER($C65:I65, ISNUMBER($C65:I65)), COUNTA(FILTER($C65:I"&amp;"65, ISNUMBER($C65:I65)))),
lastVal + 'K dynamique'!I65 * ((SQRT('Résultats des tournois'!I$2 + 1)/'Résultats des tournois'!I65) - (1 / (1 + 10^((I$103 - lastVal)/400)))))
)
))"),"")</f>
        <v/>
      </c>
      <c r="K65" s="32" t="str">
        <f>IFERROR(__xludf.DUMMYFUNCTION("IF('Résultats des tournois'!J$2=0,"""",LET(
lastVal, INDEX(FILTER($B65:J65, ISNUMBER($B65:J65)), COUNTA(FILTER($B65:J65, ISNUMBER($B65:J65)))),
IFERROR(
IF('Résultats des tournois'!J65="""", INDEX(FILTER($C65:J65, ISNUMBER($C65:J65)), COUNTA(FILTER($C65:J"&amp;"65, ISNUMBER($C65:J65)))),
lastVal + 'K dynamique'!J65 * ((SQRT('Résultats des tournois'!J$2 + 1)/'Résultats des tournois'!J65) - (1 / (1 + 10^((J$103 - lastVal)/400)))))
)
))"),"")</f>
        <v/>
      </c>
      <c r="L65" s="32" t="str">
        <f>IFERROR(__xludf.DUMMYFUNCTION("IF('Résultats des tournois'!K$2=0,"""",LET(
lastVal, INDEX(FILTER($B65:K65, ISNUMBER($B65:K65)), COUNTA(FILTER($B65:K65, ISNUMBER($B65:K65)))),
IFERROR(
IF('Résultats des tournois'!K65="""", INDEX(FILTER($C65:K65, ISNUMBER($C65:K65)), COUNTA(FILTER($C65:K"&amp;"65, ISNUMBER($C65:K65)))),
lastVal + 'K dynamique'!K65 * ((SQRT('Résultats des tournois'!K$2 + 1)/'Résultats des tournois'!K65) - (1 / (1 + 10^((K$103 - lastVal)/400)))))
)
))"),"")</f>
        <v/>
      </c>
      <c r="M65" s="32" t="str">
        <f>IFERROR(__xludf.DUMMYFUNCTION("IF('Résultats des tournois'!L$2=0,"""",LET(
lastVal, INDEX(FILTER($B65:L65, ISNUMBER($B65:L65)), COUNTA(FILTER($B65:L65, ISNUMBER($B65:L65)))),
IFERROR(
IF('Résultats des tournois'!L65="""", INDEX(FILTER($C65:L65, ISNUMBER($C65:L65)), COUNTA(FILTER($C65:L"&amp;"65, ISNUMBER($C65:L65)))),
lastVal + 'K dynamique'!L65 * ((SQRT('Résultats des tournois'!L$2 + 1)/'Résultats des tournois'!L65) - (1 / (1 + 10^((L$103 - lastVal)/400)))))
)
))"),"")</f>
        <v/>
      </c>
      <c r="N65" s="32" t="str">
        <f>IFERROR(__xludf.DUMMYFUNCTION("IF('Résultats des tournois'!M$2=0,"""",LET(
lastVal, INDEX(FILTER($B65:M65, ISNUMBER($B65:M65)), COUNTA(FILTER($B65:M65, ISNUMBER($B65:M65)))),
IFERROR(
IF('Résultats des tournois'!M65="""", INDEX(FILTER($C65:M65, ISNUMBER($C65:M65)), COUNTA(FILTER($C65:M"&amp;"65, ISNUMBER($C65:M65)))),
lastVal + 'K dynamique'!M65 * ((SQRT('Résultats des tournois'!M$2 + 1)/'Résultats des tournois'!M65) - (1 / (1 + 10^((M$103 - lastVal)/400)))))
)
))"),"")</f>
        <v/>
      </c>
      <c r="O65" s="32" t="str">
        <f>IFERROR(__xludf.DUMMYFUNCTION("IF('Résultats des tournois'!N$2=0,"""",LET(
lastVal, INDEX(FILTER($B65:N65, ISNUMBER($B65:N65)), COUNTA(FILTER($B65:N65, ISNUMBER($B65:N65)))),
IFERROR(
IF('Résultats des tournois'!N65="""", INDEX(FILTER($C65:N65, ISNUMBER($C65:N65)), COUNTA(FILTER($C65:N"&amp;"65, ISNUMBER($C65:N65)))),
lastVal + 'K dynamique'!N65 * ((SQRT('Résultats des tournois'!N$2 + 1)/'Résultats des tournois'!N65) - (1 / (1 + 10^((N$103 - lastVal)/400)))))
)
))"),"")</f>
        <v/>
      </c>
      <c r="P65" s="32" t="str">
        <f>IFERROR(__xludf.DUMMYFUNCTION("IF('Résultats des tournois'!O$2=0,"""",LET(
lastVal, INDEX(FILTER($B65:O65, ISNUMBER($B65:O65)), COUNTA(FILTER($B65:O65, ISNUMBER($B65:O65)))),
IFERROR(
IF('Résultats des tournois'!O65="""", INDEX(FILTER($C65:O65, ISNUMBER($C65:O65)), COUNTA(FILTER($C65:O"&amp;"65, ISNUMBER($C65:O65)))),
lastVal + 'K dynamique'!O65 * ((SQRT('Résultats des tournois'!O$2 + 1)/'Résultats des tournois'!O65) - (1 / (1 + 10^((O$103 - lastVal)/400)))))
)
))"),"")</f>
        <v/>
      </c>
      <c r="Q65" s="32" t="str">
        <f>IFERROR(__xludf.DUMMYFUNCTION("IF('Résultats des tournois'!P$2=0,"""",LET(
lastVal, INDEX(FILTER($B65:P65, ISNUMBER($B65:P65)), COUNTA(FILTER($B65:P65, ISNUMBER($B65:P65)))),
IFERROR(
IF('Résultats des tournois'!P65="""", INDEX(FILTER($C65:P65, ISNUMBER($C65:P65)), COUNTA(FILTER($C65:P"&amp;"65, ISNUMBER($C65:P65)))),
lastVal + 'K dynamique'!P65 * ((SQRT('Résultats des tournois'!P$2 + 1)/'Résultats des tournois'!P65) - (1 / (1 + 10^((P$103 - lastVal)/400)))))
)
))"),"")</f>
        <v/>
      </c>
      <c r="R65" s="32" t="str">
        <f>IFERROR(__xludf.DUMMYFUNCTION("IF('Résultats des tournois'!Q$2=0,"""",LET(
lastVal, INDEX(FILTER($B65:Q65, ISNUMBER($B65:Q65)), COUNTA(FILTER($B65:Q65, ISNUMBER($B65:Q65)))),
IFERROR(
IF('Résultats des tournois'!Q65="""", INDEX(FILTER($C65:Q65, ISNUMBER($C65:Q65)), COUNTA(FILTER($C65:Q"&amp;"65, ISNUMBER($C65:Q65)))),
lastVal + 'K dynamique'!Q65 * ((SQRT('Résultats des tournois'!Q$2 + 1)/'Résultats des tournois'!Q65) - (1 / (1 + 10^((Q$103 - lastVal)/400)))))
)
))"),"")</f>
        <v/>
      </c>
      <c r="S65" s="32" t="str">
        <f>IFERROR(__xludf.DUMMYFUNCTION("IF('Résultats des tournois'!R$2=0,"""",LET(
lastVal, INDEX(FILTER($B65:R65, ISNUMBER($B65:R65)), COUNTA(FILTER($B65:R65, ISNUMBER($B65:R65)))),
IFERROR(
IF('Résultats des tournois'!R65="""", INDEX(FILTER($C65:R65, ISNUMBER($C65:R65)), COUNTA(FILTER($C65:R"&amp;"65, ISNUMBER($C65:R65)))),
lastVal + 'K dynamique'!R65 * ((SQRT('Résultats des tournois'!R$2 + 1)/'Résultats des tournois'!R65) - (1 / (1 + 10^((R$103 - lastVal)/400)))))
)
))"),"")</f>
        <v/>
      </c>
      <c r="T65" s="32" t="str">
        <f>IFERROR(__xludf.DUMMYFUNCTION("IF('Résultats des tournois'!S$2=0,"""",LET(
lastVal, INDEX(FILTER($B65:S65, ISNUMBER($B65:S65)), COUNTA(FILTER($B65:S65, ISNUMBER($B65:S65)))),
IFERROR(
IF('Résultats des tournois'!S65="""", INDEX(FILTER($C65:S65, ISNUMBER($C65:S65)), COUNTA(FILTER($C65:S"&amp;"65, ISNUMBER($C65:S65)))),
lastVal + 'K dynamique'!S65 * ((SQRT('Résultats des tournois'!S$2 + 1)/'Résultats des tournois'!S65) - (1 / (1 + 10^((S$103 - lastVal)/400)))))
)
))"),"")</f>
        <v/>
      </c>
      <c r="U65" s="32" t="str">
        <f>IFERROR(__xludf.DUMMYFUNCTION("IF('Résultats des tournois'!T$2=0,"""",LET(
lastVal, INDEX(FILTER($B65:T65, ISNUMBER($B65:T65)), COUNTA(FILTER($B65:T65, ISNUMBER($B65:T65)))),
IFERROR(
IF('Résultats des tournois'!T65="""", INDEX(FILTER($C65:T65, ISNUMBER($C65:T65)), COUNTA(FILTER($C65:T"&amp;"65, ISNUMBER($C65:T65)))),
lastVal + 'K dynamique'!T65 * ((SQRT('Résultats des tournois'!T$2 + 1)/'Résultats des tournois'!T65) - (1 / (1 + 10^((T$103 - lastVal)/400)))))
)
))"),"")</f>
        <v/>
      </c>
      <c r="V65" s="32" t="str">
        <f>IFERROR(__xludf.DUMMYFUNCTION("IF('Résultats des tournois'!U$2=0,"""",LET(
lastVal, INDEX(FILTER($B65:U65, ISNUMBER($B65:U65)), COUNTA(FILTER($B65:U65, ISNUMBER($B65:U65)))),
IFERROR(
IF('Résultats des tournois'!U65="""", INDEX(FILTER($C65:U65, ISNUMBER($C65:U65)), COUNTA(FILTER($C65:U"&amp;"65, ISNUMBER($C65:U65)))),
lastVal + 'K dynamique'!U65 * ((SQRT('Résultats des tournois'!U$2 + 1)/'Résultats des tournois'!U65) - (1 / (1 + 10^((U$103 - lastVal)/400)))))
)
))"),"")</f>
        <v/>
      </c>
      <c r="W65" s="32" t="str">
        <f>IFERROR(__xludf.DUMMYFUNCTION("IF('Résultats des tournois'!V$2=0,"""",LET(
lastVal, INDEX(FILTER($B65:V65, ISNUMBER($B65:V65)), COUNTA(FILTER($B65:V65, ISNUMBER($B65:V65)))),
IFERROR(
IF('Résultats des tournois'!V65="""", INDEX(FILTER($C65:V65, ISNUMBER($C65:V65)), COUNTA(FILTER($C65:V"&amp;"65, ISNUMBER($C65:V65)))),
lastVal + 'K dynamique'!V65 * ((SQRT('Résultats des tournois'!V$2 + 1)/'Résultats des tournois'!V65) - (1 / (1 + 10^((V$103 - lastVal)/400)))))
)
))"),"")</f>
        <v/>
      </c>
      <c r="X65" s="32" t="str">
        <f>IFERROR(__xludf.DUMMYFUNCTION("IF('Résultats des tournois'!W$2=0,"""",LET(
lastVal, INDEX(FILTER($B65:W65, ISNUMBER($B65:W65)), COUNTA(FILTER($B65:W65, ISNUMBER($B65:W65)))),
IFERROR(
IF('Résultats des tournois'!W65="""", INDEX(FILTER($C65:W65, ISNUMBER($C65:W65)), COUNTA(FILTER($C65:W"&amp;"65, ISNUMBER($C65:W65)))),
lastVal + 'K dynamique'!W65 * ((SQRT('Résultats des tournois'!W$2 + 1)/'Résultats des tournois'!W65) - (1 / (1 + 10^((W$103 - lastVal)/400)))))
)
))"),"")</f>
        <v/>
      </c>
      <c r="Y65" s="32" t="str">
        <f>IFERROR(__xludf.DUMMYFUNCTION("IF('Résultats des tournois'!X$2=0,"""",LET(
lastVal, INDEX(FILTER($B65:X65, ISNUMBER($B65:X65)), COUNTA(FILTER($B65:X65, ISNUMBER($B65:X65)))),
IFERROR(
IF('Résultats des tournois'!X65="""", INDEX(FILTER($C65:X65, ISNUMBER($C65:X65)), COUNTA(FILTER($C65:X"&amp;"65, ISNUMBER($C65:X65)))),
lastVal + 'K dynamique'!X65 * ((SQRT('Résultats des tournois'!X$2 + 1)/'Résultats des tournois'!X65) - (1 / (1 + 10^((X$103 - lastVal)/400)))))
)
))"),"")</f>
        <v/>
      </c>
      <c r="Z65" s="32" t="str">
        <f>IFERROR(__xludf.DUMMYFUNCTION("IF('Résultats des tournois'!Y$2=0,"""",LET(
lastVal, INDEX(FILTER($B65:Y65, ISNUMBER($B65:Y65)), COUNTA(FILTER($B65:Y65, ISNUMBER($B65:Y65)))),
IFERROR(
IF('Résultats des tournois'!Y65="""", INDEX(FILTER($C65:Y65, ISNUMBER($C65:Y65)), COUNTA(FILTER($C65:Y"&amp;"65, ISNUMBER($C65:Y65)))),
lastVal + 'K dynamique'!Y65 * ((SQRT('Résultats des tournois'!Y$2 + 1)/'Résultats des tournois'!Y65) - (1 / (1 + 10^((Y$103 - lastVal)/400)))))
)
))"),"")</f>
        <v/>
      </c>
      <c r="AA65" s="32" t="str">
        <f>IFERROR(__xludf.DUMMYFUNCTION("IF('Résultats des tournois'!Z$2=0,"""",LET(
lastVal, INDEX(FILTER($B65:Z65, ISNUMBER($B65:Z65)), COUNTA(FILTER($B65:Z65, ISNUMBER($B65:Z65)))),
IFERROR(
IF('Résultats des tournois'!Z65="""", INDEX(FILTER($C65:Z65, ISNUMBER($C65:Z65)), COUNTA(FILTER($C65:Z"&amp;"65, ISNUMBER($C65:Z65)))),
lastVal + 'K dynamique'!Z65 * ((SQRT('Résultats des tournois'!Z$2 + 1)/'Résultats des tournois'!Z65) - (1 / (1 + 10^((Z$103 - lastVal)/400)))))
)
))"),"")</f>
        <v/>
      </c>
      <c r="AB65" s="32" t="str">
        <f>IFERROR(__xludf.DUMMYFUNCTION("IF('Résultats des tournois'!AA$2=0,"""",LET(
lastVal, INDEX(FILTER($B65:AA65, ISNUMBER($B65:AA65)), COUNTA(FILTER($B65:AA65, ISNUMBER($B65:AA65)))),
IFERROR(
IF('Résultats des tournois'!AA65="""", INDEX(FILTER($C65:AA65, ISNUMBER($C65:AA65)), COUNTA(FILTE"&amp;"R($C65:AA65, ISNUMBER($C65:AA65)))),
lastVal + 'K dynamique'!AA65 * ((SQRT('Résultats des tournois'!AA$2 + 1)/'Résultats des tournois'!AA65) - (1 / (1 + 10^((AA$103 - lastVal)/400)))))
)
))"),"")</f>
        <v/>
      </c>
      <c r="AC65" s="32" t="str">
        <f>IFERROR(__xludf.DUMMYFUNCTION("IF('Résultats des tournois'!AB$2=0,"""",LET(
lastVal, INDEX(FILTER($B65:AB65, ISNUMBER($B65:AB65)), COUNTA(FILTER($B65:AB65, ISNUMBER($B65:AB65)))),
IFERROR(
IF('Résultats des tournois'!AB65="""", INDEX(FILTER($C65:AB65, ISNUMBER($C65:AB65)), COUNTA(FILTE"&amp;"R($C65:AB65, ISNUMBER($C65:AB65)))),
lastVal + 'K dynamique'!AB65 * ((SQRT('Résultats des tournois'!AB$2 + 1)/'Résultats des tournois'!AB65) - (1 / (1 + 10^((AB$103 - lastVal)/400)))))
)
))"),"")</f>
        <v/>
      </c>
      <c r="AD65" s="32" t="str">
        <f>IFERROR(__xludf.DUMMYFUNCTION("IF('Résultats des tournois'!AC$2=0,"""",LET(
lastVal, INDEX(FILTER($B65:AC65, ISNUMBER($B65:AC65)), COUNTA(FILTER($B65:AC65, ISNUMBER($B65:AC65)))),
IFERROR(
IF('Résultats des tournois'!AC65="""", INDEX(FILTER($C65:AC65, ISNUMBER($C65:AC65)), COUNTA(FILTE"&amp;"R($C65:AC65, ISNUMBER($C65:AC65)))),
lastVal + 'K dynamique'!AC65 * ((SQRT('Résultats des tournois'!AC$2 + 1)/'Résultats des tournois'!AC65) - (1 / (1 + 10^((AC$103 - lastVal)/400)))))
)
))"),"")</f>
        <v/>
      </c>
      <c r="AE65" s="32" t="str">
        <f>IFERROR(__xludf.DUMMYFUNCTION("IF('Résultats des tournois'!AD$2=0,"""",LET(
lastVal, INDEX(FILTER($B65:AD65, ISNUMBER($B65:AD65)), COUNTA(FILTER($B65:AD65, ISNUMBER($B65:AD65)))),
IFERROR(
IF('Résultats des tournois'!AD65="""", INDEX(FILTER($C65:AD65, ISNUMBER($C65:AD65)), COUNTA(FILTE"&amp;"R($C65:AD65, ISNUMBER($C65:AD65)))),
lastVal + 'K dynamique'!AD65 * ((SQRT('Résultats des tournois'!AD$2 + 1)/'Résultats des tournois'!AD65) - (1 / (1 + 10^((AD$103 - lastVal)/400)))))
)
))"),"")</f>
        <v/>
      </c>
      <c r="AF65" s="32" t="str">
        <f>IFERROR(__xludf.DUMMYFUNCTION("IF('Résultats des tournois'!AE$2=0,"""",LET(
lastVal, INDEX(FILTER($B65:AE65, ISNUMBER($B65:AE65)), COUNTA(FILTER($B65:AE65, ISNUMBER($B65:AE65)))),
IFERROR(
IF('Résultats des tournois'!AE65="""", INDEX(FILTER($C65:AE65, ISNUMBER($C65:AE65)), COUNTA(FILTE"&amp;"R($C65:AE65, ISNUMBER($C65:AE65)))),
lastVal + 'K dynamique'!AE65 * ((SQRT('Résultats des tournois'!AE$2 + 1)/'Résultats des tournois'!AE65) - (1 / (1 + 10^((AE$103 - lastVal)/400)))))
)
))"),"")</f>
        <v/>
      </c>
      <c r="AG65" s="32" t="str">
        <f>IFERROR(__xludf.DUMMYFUNCTION("IF('Résultats des tournois'!AF$2=0,"""",LET(
lastVal, INDEX(FILTER($B65:AF65, ISNUMBER($B65:AF65)), COUNTA(FILTER($B65:AF65, ISNUMBER($B65:AF65)))),
IFERROR(
IF('Résultats des tournois'!AF65="""", INDEX(FILTER($C65:AF65, ISNUMBER($C65:AF65)), COUNTA(FILTE"&amp;"R($C65:AF65, ISNUMBER($C65:AF65)))),
lastVal + 'K dynamique'!AF65 * ((SQRT('Résultats des tournois'!AF$2 + 1)/'Résultats des tournois'!AF65) - (1 / (1 + 10^((AF$103 - lastVal)/400)))))
)
))"),"")</f>
        <v/>
      </c>
      <c r="AH65" s="32" t="str">
        <f>IFERROR(__xludf.DUMMYFUNCTION("IF('Résultats des tournois'!AG$2=0,"""",LET(
lastVal, INDEX(FILTER($B65:AG65, ISNUMBER($B65:AG65)), COUNTA(FILTER($B65:AG65, ISNUMBER($B65:AG65)))),
IFERROR(
IF('Résultats des tournois'!AG65="""", INDEX(FILTER($C65:AG65, ISNUMBER($C65:AG65)), COUNTA(FILTE"&amp;"R($C65:AG65, ISNUMBER($C65:AG65)))),
lastVal + 'K dynamique'!AG65 * ((SQRT('Résultats des tournois'!AG$2 + 1)/'Résultats des tournois'!AG65) - (1 / (1 + 10^((AG$103 - lastVal)/400)))))
)
))"),"")</f>
        <v/>
      </c>
      <c r="AI65" s="32" t="str">
        <f>IFERROR(__xludf.DUMMYFUNCTION("IF('Résultats des tournois'!AH$2=0,"""",LET(
lastVal, INDEX(FILTER($B65:AH65, ISNUMBER($B65:AH65)), COUNTA(FILTER($B65:AH65, ISNUMBER($B65:AH65)))),
IFERROR(
IF('Résultats des tournois'!AH65="""", INDEX(FILTER($C65:AH65, ISNUMBER($C65:AH65)), COUNTA(FILTE"&amp;"R($C65:AH65, ISNUMBER($C65:AH65)))),
lastVal + 'K dynamique'!AH65 * ((SQRT('Résultats des tournois'!AH$2 + 1)/'Résultats des tournois'!AH65) - (1 / (1 + 10^((AH$103 - lastVal)/400)))))
)
))"),"")</f>
        <v/>
      </c>
      <c r="AJ65" s="32" t="str">
        <f>IFERROR(__xludf.DUMMYFUNCTION("IF('Résultats des tournois'!AI$2=0,"""",LET(
lastVal, INDEX(FILTER($B65:AI65, ISNUMBER($B65:AI65)), COUNTA(FILTER($B65:AI65, ISNUMBER($B65:AI65)))),
IFERROR(
IF('Résultats des tournois'!AI65="""", INDEX(FILTER($C65:AI65, ISNUMBER($C65:AI65)), COUNTA(FILTE"&amp;"R($C65:AI65, ISNUMBER($C65:AI65)))),
lastVal + 'K dynamique'!AI65 * ((SQRT('Résultats des tournois'!AI$2 + 1)/'Résultats des tournois'!AI65) - (1 / (1 + 10^((AI$103 - lastVal)/400)))))
)
))"),"")</f>
        <v/>
      </c>
      <c r="AK65" s="32" t="str">
        <f>IFERROR(__xludf.DUMMYFUNCTION("IF('Résultats des tournois'!AJ$2=0,"""",LET(
lastVal, INDEX(FILTER($B65:AJ65, ISNUMBER($B65:AJ65)), COUNTA(FILTER($B65:AJ65, ISNUMBER($B65:AJ65)))),
IFERROR(
IF('Résultats des tournois'!AJ65="""", INDEX(FILTER($C65:AJ65, ISNUMBER($C65:AJ65)), COUNTA(FILTE"&amp;"R($C65:AJ65, ISNUMBER($C65:AJ65)))),
lastVal + 'K dynamique'!AJ65 * ((SQRT('Résultats des tournois'!AJ$2 + 1)/'Résultats des tournois'!AJ65) - (1 / (1 + 10^((AJ$103 - lastVal)/400)))))
)
))"),"")</f>
        <v/>
      </c>
      <c r="AL65" s="32" t="str">
        <f>IFERROR(__xludf.DUMMYFUNCTION("IF('Résultats des tournois'!AK$2=0,"""",LET(
lastVal, INDEX(FILTER($B65:AK65, ISNUMBER($B65:AK65)), COUNTA(FILTER($B65:AK65, ISNUMBER($B65:AK65)))),
IFERROR(
IF('Résultats des tournois'!AK65="""", INDEX(FILTER($C65:AK65, ISNUMBER($C65:AK65)), COUNTA(FILTE"&amp;"R($C65:AK65, ISNUMBER($C65:AK65)))),
lastVal + 'K dynamique'!AK65 * ((SQRT('Résultats des tournois'!AK$2 + 1)/'Résultats des tournois'!AK65) - (1 / (1 + 10^((AK$103 - lastVal)/400)))))
)
))"),"")</f>
        <v/>
      </c>
      <c r="AM65" s="32" t="str">
        <f>IFERROR(__xludf.DUMMYFUNCTION("IF('Résultats des tournois'!AL$2=0,"""",LET(
lastVal, INDEX(FILTER($B65:AL65, ISNUMBER($B65:AL65)), COUNTA(FILTER($B65:AL65, ISNUMBER($B65:AL65)))),
IFERROR(
IF('Résultats des tournois'!AL65="""", INDEX(FILTER($C65:AL65, ISNUMBER($C65:AL65)), COUNTA(FILTE"&amp;"R($C65:AL65, ISNUMBER($C65:AL65)))),
lastVal + 'K dynamique'!AL65 * ((SQRT('Résultats des tournois'!AL$2 + 1)/'Résultats des tournois'!AL65) - (1 / (1 + 10^((AL$103 - lastVal)/400)))))
)
))"),"")</f>
        <v/>
      </c>
      <c r="AN65" s="32" t="str">
        <f>IFERROR(__xludf.DUMMYFUNCTION("IF('Résultats des tournois'!AM$2=0,"""",LET(
lastVal, INDEX(FILTER($B65:AM65, ISNUMBER($B65:AM65)), COUNTA(FILTER($B65:AM65, ISNUMBER($B65:AM65)))),
IFERROR(
IF('Résultats des tournois'!AM65="""", INDEX(FILTER($C65:AM65, ISNUMBER($C65:AM65)), COUNTA(FILTE"&amp;"R($C65:AM65, ISNUMBER($C65:AM65)))),
lastVal + 'K dynamique'!AM65 * ((SQRT('Résultats des tournois'!AM$2 + 1)/'Résultats des tournois'!AM65) - (1 / (1 + 10^((AM$103 - lastVal)/400)))))
)
))"),"")</f>
        <v/>
      </c>
      <c r="AO65" s="32" t="str">
        <f>IFERROR(__xludf.DUMMYFUNCTION("IF('Résultats des tournois'!AN$2=0,"""",LET(
lastVal, INDEX(FILTER($B65:AN65, ISNUMBER($B65:AN65)), COUNTA(FILTER($B65:AN65, ISNUMBER($B65:AN65)))),
IFERROR(
IF('Résultats des tournois'!AN65="""", INDEX(FILTER($C65:AN65, ISNUMBER($C65:AN65)), COUNTA(FILTE"&amp;"R($C65:AN65, ISNUMBER($C65:AN65)))),
lastVal + 'K dynamique'!AN65 * ((SQRT('Résultats des tournois'!AN$2 + 1)/'Résultats des tournois'!AN65) - (1 / (1 + 10^((AN$103 - lastVal)/400)))))
)
))"),"")</f>
        <v/>
      </c>
      <c r="AP65" s="32" t="str">
        <f>IFERROR(__xludf.DUMMYFUNCTION("IF('Résultats des tournois'!AO$2=0,"""",LET(
lastVal, INDEX(FILTER($B65:AO65, ISNUMBER($B65:AO65)), COUNTA(FILTER($B65:AO65, ISNUMBER($B65:AO65)))),
IFERROR(
IF('Résultats des tournois'!AO65="""", INDEX(FILTER($C65:AO65, ISNUMBER($C65:AO65)), COUNTA(FILTE"&amp;"R($C65:AO65, ISNUMBER($C65:AO65)))),
lastVal + 'K dynamique'!AO65 * ((SQRT('Résultats des tournois'!AO$2 + 1)/'Résultats des tournois'!AO65) - (1 / (1 + 10^((AO$103 - lastVal)/400)))))
)
))"),"")</f>
        <v/>
      </c>
      <c r="AQ65" s="32" t="str">
        <f>IFERROR(__xludf.DUMMYFUNCTION("IF('Résultats des tournois'!AP$2=0,"""",LET(
lastVal, INDEX(FILTER($B65:AP65, ISNUMBER($B65:AP65)), COUNTA(FILTER($B65:AP65, ISNUMBER($B65:AP65)))),
IFERROR(
IF('Résultats des tournois'!AP65="""", INDEX(FILTER($C65:AP65, ISNUMBER($C65:AP65)), COUNTA(FILTE"&amp;"R($C65:AP65, ISNUMBER($C65:AP65)))),
lastVal + 'K dynamique'!AP65 * ((SQRT('Résultats des tournois'!AP$2 + 1)/'Résultats des tournois'!AP65) - (1 / (1 + 10^((AP$103 - lastVal)/400)))))
)
))"),"")</f>
        <v/>
      </c>
      <c r="AR65" s="32" t="str">
        <f>IFERROR(__xludf.DUMMYFUNCTION("IF('Résultats des tournois'!AQ$2=0,"""",LET(
lastVal, INDEX(FILTER($B65:AQ65, ISNUMBER($B65:AQ65)), COUNTA(FILTER($B65:AQ65, ISNUMBER($B65:AQ65)))),
IFERROR(
IF('Résultats des tournois'!AQ65="""", INDEX(FILTER($C65:AQ65, ISNUMBER($C65:AQ65)), COUNTA(FILTE"&amp;"R($C65:AQ65, ISNUMBER($C65:AQ65)))),
lastVal + 'K dynamique'!AQ65 * ((SQRT('Résultats des tournois'!AQ$2 + 1)/'Résultats des tournois'!AQ65) - (1 / (1 + 10^((AQ$103 - lastVal)/400)))))
)
))"),"")</f>
        <v/>
      </c>
      <c r="AS65" s="32" t="str">
        <f>IFERROR(__xludf.DUMMYFUNCTION("IF('Résultats des tournois'!AR$2=0,"""",LET(
lastVal, INDEX(FILTER($B65:AR65, ISNUMBER($B65:AR65)), COUNTA(FILTER($B65:AR65, ISNUMBER($B65:AR65)))),
IFERROR(
IF('Résultats des tournois'!AR65="""", INDEX(FILTER($C65:AR65, ISNUMBER($C65:AR65)), COUNTA(FILTE"&amp;"R($C65:AR65, ISNUMBER($C65:AR65)))),
lastVal + 'K dynamique'!AR65 * ((SQRT('Résultats des tournois'!AR$2 + 1)/'Résultats des tournois'!AR65) - (1 / (1 + 10^((AR$103 - lastVal)/400)))))
)
))"),"")</f>
        <v/>
      </c>
      <c r="AT65" s="32" t="str">
        <f>IFERROR(__xludf.DUMMYFUNCTION("IF('Résultats des tournois'!AS$2=0,"""",LET(
lastVal, INDEX(FILTER($B65:AS65, ISNUMBER($B65:AS65)), COUNTA(FILTER($B65:AS65, ISNUMBER($B65:AS65)))),
IFERROR(
IF('Résultats des tournois'!AS65="""", INDEX(FILTER($C65:AS65, ISNUMBER($C65:AS65)), COUNTA(FILTE"&amp;"R($C65:AS65, ISNUMBER($C65:AS65)))),
lastVal + 'K dynamique'!AS65 * ((SQRT('Résultats des tournois'!AS$2 + 1)/'Résultats des tournois'!AS65) - (1 / (1 + 10^((AS$103 - lastVal)/400)))))
)
))"),"")</f>
        <v/>
      </c>
      <c r="AU65" s="32" t="str">
        <f>IFERROR(__xludf.DUMMYFUNCTION("IF('Résultats des tournois'!AT$2=0,"""",LET(
lastVal, INDEX(FILTER($B65:AT65, ISNUMBER($B65:AT65)), COUNTA(FILTER($B65:AT65, ISNUMBER($B65:AT65)))),
IFERROR(
IF('Résultats des tournois'!AT65="""", INDEX(FILTER($C65:AT65, ISNUMBER($C65:AT65)), COUNTA(FILTE"&amp;"R($C65:AT65, ISNUMBER($C65:AT65)))),
lastVal + 'K dynamique'!AT65 * ((SQRT('Résultats des tournois'!AT$2 + 1)/'Résultats des tournois'!AT65) - (1 / (1 + 10^((AT$103 - lastVal)/400)))))
)
))"),"")</f>
        <v/>
      </c>
      <c r="AV65" s="32" t="str">
        <f>IFERROR(__xludf.DUMMYFUNCTION("IF('Résultats des tournois'!AU$2=0,"""",LET(
lastVal, INDEX(FILTER($B65:AU65, ISNUMBER($B65:AU65)), COUNTA(FILTER($B65:AU65, ISNUMBER($B65:AU65)))),
IFERROR(
IF('Résultats des tournois'!AU65="""", INDEX(FILTER($C65:AU65, ISNUMBER($C65:AU65)), COUNTA(FILTE"&amp;"R($C65:AU65, ISNUMBER($C65:AU65)))),
lastVal + 'K dynamique'!AU65 * ((SQRT('Résultats des tournois'!AU$2 + 1)/'Résultats des tournois'!AU65) - (1 / (1 + 10^((AU$103 - lastVal)/400)))))
)
))"),"")</f>
        <v/>
      </c>
      <c r="AW65" s="32" t="str">
        <f>IFERROR(__xludf.DUMMYFUNCTION("IF('Résultats des tournois'!AV$2=0,"""",LET(
lastVal, INDEX(FILTER($B65:AV65, ISNUMBER($B65:AV65)), COUNTA(FILTER($B65:AV65, ISNUMBER($B65:AV65)))),
IFERROR(
IF('Résultats des tournois'!AV65="""", INDEX(FILTER($C65:AV65, ISNUMBER($C65:AV65)), COUNTA(FILTE"&amp;"R($C65:AV65, ISNUMBER($C65:AV65)))),
lastVal + 'K dynamique'!AV65 * ((SQRT('Résultats des tournois'!AV$2 + 1)/'Résultats des tournois'!AV65) - (1 / (1 + 10^((AV$103 - lastVal)/400)))))
)
))"),"")</f>
        <v/>
      </c>
      <c r="AX65" s="32" t="str">
        <f>IFERROR(__xludf.DUMMYFUNCTION("IF('Résultats des tournois'!AW$2=0,"""",LET(
lastVal, INDEX(FILTER($B65:AW65, ISNUMBER($B65:AW65)), COUNTA(FILTER($B65:AW65, ISNUMBER($B65:AW65)))),
IFERROR(
IF('Résultats des tournois'!AW65="""", INDEX(FILTER($C65:AW65, ISNUMBER($C65:AW65)), COUNTA(FILTE"&amp;"R($C65:AW65, ISNUMBER($C65:AW65)))),
lastVal + 'K dynamique'!AW65 * ((SQRT('Résultats des tournois'!AW$2 + 1)/'Résultats des tournois'!AW65) - (1 / (1 + 10^((AW$103 - lastVal)/400)))))
)
))"),"")</f>
        <v/>
      </c>
      <c r="AY65" s="32" t="str">
        <f>IFERROR(__xludf.DUMMYFUNCTION("IF('Résultats des tournois'!AX$2=0,"""",LET(
lastVal, INDEX(FILTER($B65:AX65, ISNUMBER($B65:AX65)), COUNTA(FILTER($B65:AX65, ISNUMBER($B65:AX65)))),
IFERROR(
IF('Résultats des tournois'!AX65="""", INDEX(FILTER($C65:AX65, ISNUMBER($C65:AX65)), COUNTA(FILTE"&amp;"R($C65:AX65, ISNUMBER($C65:AX65)))),
lastVal + 'K dynamique'!AX65 * ((SQRT('Résultats des tournois'!AX$2 + 1)/'Résultats des tournois'!AX65) - (1 / (1 + 10^((AX$103 - lastVal)/400)))))
)
))"),"")</f>
        <v/>
      </c>
      <c r="AZ65" s="4" t="str">
        <f t="array" ref="AZ65">IF(MAX(($C65:AY65&lt;&gt;"")*COLUMN($C65:AY65))=0,"",INDEX($C65:AY65,1,MAX(($C65:AY65&lt;&gt;"")*COLUMN($C65:AY65))-COLUMN($C65)+1))</f>
        <v/>
      </c>
      <c r="BA65" s="33" t="str">
        <f t="shared" si="1"/>
        <v/>
      </c>
    </row>
    <row r="66" ht="14.25" customHeight="1">
      <c r="A66" s="32" t="str">
        <f>IF('Résultats des tournois'!A66="","",'Résultats des tournois'!A66)</f>
        <v/>
      </c>
      <c r="B66" s="32">
        <v>1500.0</v>
      </c>
      <c r="C66" s="32" t="str">
        <f>IF('Résultats des tournois'!B66="","",B66+'K dynamique'!B66*((SQRT('Résultats des tournois'!B$2+1)/'Résultats des tournois'!B66)-(1/(1+10^((B66-B66)/400)))))</f>
        <v/>
      </c>
      <c r="D66" s="32" t="str">
        <f>IFERROR(__xludf.DUMMYFUNCTION("IF('Résultats des tournois'!C$2=0,"""",LET(
lastVal, INDEX(FILTER($B66:C66, ISNUMBER($B66:C66)), COUNTA(FILTER($B66:C66, ISNUMBER($B66:C66)))),
IFERROR(
IF('Résultats des tournois'!C66="""", INDEX(FILTER($C66:C66, ISNUMBER($C66:C66)), COUNTA(FILTER($C66:C"&amp;"66, ISNUMBER($C66:C66)))),
lastVal + 'K dynamique'!C66 * ((SQRT('Résultats des tournois'!C$2 + 1)/'Résultats des tournois'!C66) - (1 / (1 + 10^((C$103 - lastVal)/400)))))
)
))"),"")</f>
        <v/>
      </c>
      <c r="E66" s="32" t="str">
        <f>IFERROR(__xludf.DUMMYFUNCTION("IF('Résultats des tournois'!D$2=0,"""",LET(
lastVal, INDEX(FILTER($B66:D66, ISNUMBER($B66:D66)), COUNTA(FILTER($B66:D66, ISNUMBER($B66:D66)))),
IFERROR(
IF('Résultats des tournois'!D66="""", INDEX(FILTER($C66:D66, ISNUMBER($C66:D66)), COUNTA(FILTER($C66:D"&amp;"66, ISNUMBER($C66:D66)))),
lastVal + 'K dynamique'!D66 * ((SQRT('Résultats des tournois'!D$2 + 1)/'Résultats des tournois'!D66) - (1 / (1 + 10^((D$103 - lastVal)/400)))))
)
))"),"")</f>
        <v/>
      </c>
      <c r="F66" s="32" t="str">
        <f>IFERROR(__xludf.DUMMYFUNCTION("IF('Résultats des tournois'!E$2=0,"""",LET(
lastVal, INDEX(FILTER($B66:E66, ISNUMBER($B66:E66)), COUNTA(FILTER($B66:E66, ISNUMBER($B66:E66)))),
IFERROR(
IF('Résultats des tournois'!E66="""", INDEX(FILTER($C66:E66, ISNUMBER($C66:E66)), COUNTA(FILTER($C66:E"&amp;"66, ISNUMBER($C66:E66)))),
lastVal + 'K dynamique'!E66 * ((SQRT('Résultats des tournois'!E$2 + 1)/'Résultats des tournois'!E66) - (1 / (1 + 10^((E$103 - lastVal)/400)))))
)
))"),"")</f>
        <v/>
      </c>
      <c r="G66" s="32" t="str">
        <f>IFERROR(__xludf.DUMMYFUNCTION("IF('Résultats des tournois'!F$2=0,"""",LET(
lastVal, INDEX(FILTER($B66:F66, ISNUMBER($B66:F66)), COUNTA(FILTER($B66:F66, ISNUMBER($B66:F66)))),
IFERROR(
IF('Résultats des tournois'!F66="""", INDEX(FILTER($C66:F66, ISNUMBER($C66:F66)), COUNTA(FILTER($C66:F"&amp;"66, ISNUMBER($C66:F66)))),
lastVal + 'K dynamique'!F66 * ((SQRT('Résultats des tournois'!F$2 + 1)/'Résultats des tournois'!F66) - (1 / (1 + 10^((F$103 - lastVal)/400)))))
)
))"),"")</f>
        <v/>
      </c>
      <c r="H66" s="32" t="str">
        <f>IFERROR(__xludf.DUMMYFUNCTION("IF('Résultats des tournois'!G$2=0,"""",LET(
lastVal, INDEX(FILTER($B66:G66, ISNUMBER($B66:G66)), COUNTA(FILTER($B66:G66, ISNUMBER($B66:G66)))),
IFERROR(
IF('Résultats des tournois'!G66="""", INDEX(FILTER($C66:G66, ISNUMBER($C66:G66)), COUNTA(FILTER($C66:G"&amp;"66, ISNUMBER($C66:G66)))),
lastVal + 'K dynamique'!G66 * ((SQRT('Résultats des tournois'!G$2 + 1)/'Résultats des tournois'!G66) - (1 / (1 + 10^((G$103 - lastVal)/400)))))
)
))"),"")</f>
        <v/>
      </c>
      <c r="I66" s="32" t="str">
        <f>IFERROR(__xludf.DUMMYFUNCTION("IF('Résultats des tournois'!H$2=0,"""",LET(
lastVal, INDEX(FILTER($B66:H66, ISNUMBER($B66:H66)), COUNTA(FILTER($B66:H66, ISNUMBER($B66:H66)))),
IFERROR(
IF('Résultats des tournois'!H66="""", INDEX(FILTER($C66:H66, ISNUMBER($C66:H66)), COUNTA(FILTER($C66:H"&amp;"66, ISNUMBER($C66:H66)))),
lastVal + 'K dynamique'!H66 * ((SQRT('Résultats des tournois'!H$2 + 1)/'Résultats des tournois'!H66) - (1 / (1 + 10^((H$103 - lastVal)/400)))))
)
))"),"")</f>
        <v/>
      </c>
      <c r="J66" s="32" t="str">
        <f>IFERROR(__xludf.DUMMYFUNCTION("IF('Résultats des tournois'!I$2=0,"""",LET(
lastVal, INDEX(FILTER($B66:I66, ISNUMBER($B66:I66)), COUNTA(FILTER($B66:I66, ISNUMBER($B66:I66)))),
IFERROR(
IF('Résultats des tournois'!I66="""", INDEX(FILTER($C66:I66, ISNUMBER($C66:I66)), COUNTA(FILTER($C66:I"&amp;"66, ISNUMBER($C66:I66)))),
lastVal + 'K dynamique'!I66 * ((SQRT('Résultats des tournois'!I$2 + 1)/'Résultats des tournois'!I66) - (1 / (1 + 10^((I$103 - lastVal)/400)))))
)
))"),"")</f>
        <v/>
      </c>
      <c r="K66" s="32" t="str">
        <f>IFERROR(__xludf.DUMMYFUNCTION("IF('Résultats des tournois'!J$2=0,"""",LET(
lastVal, INDEX(FILTER($B66:J66, ISNUMBER($B66:J66)), COUNTA(FILTER($B66:J66, ISNUMBER($B66:J66)))),
IFERROR(
IF('Résultats des tournois'!J66="""", INDEX(FILTER($C66:J66, ISNUMBER($C66:J66)), COUNTA(FILTER($C66:J"&amp;"66, ISNUMBER($C66:J66)))),
lastVal + 'K dynamique'!J66 * ((SQRT('Résultats des tournois'!J$2 + 1)/'Résultats des tournois'!J66) - (1 / (1 + 10^((J$103 - lastVal)/400)))))
)
))"),"")</f>
        <v/>
      </c>
      <c r="L66" s="32" t="str">
        <f>IFERROR(__xludf.DUMMYFUNCTION("IF('Résultats des tournois'!K$2=0,"""",LET(
lastVal, INDEX(FILTER($B66:K66, ISNUMBER($B66:K66)), COUNTA(FILTER($B66:K66, ISNUMBER($B66:K66)))),
IFERROR(
IF('Résultats des tournois'!K66="""", INDEX(FILTER($C66:K66, ISNUMBER($C66:K66)), COUNTA(FILTER($C66:K"&amp;"66, ISNUMBER($C66:K66)))),
lastVal + 'K dynamique'!K66 * ((SQRT('Résultats des tournois'!K$2 + 1)/'Résultats des tournois'!K66) - (1 / (1 + 10^((K$103 - lastVal)/400)))))
)
))"),"")</f>
        <v/>
      </c>
      <c r="M66" s="32" t="str">
        <f>IFERROR(__xludf.DUMMYFUNCTION("IF('Résultats des tournois'!L$2=0,"""",LET(
lastVal, INDEX(FILTER($B66:L66, ISNUMBER($B66:L66)), COUNTA(FILTER($B66:L66, ISNUMBER($B66:L66)))),
IFERROR(
IF('Résultats des tournois'!L66="""", INDEX(FILTER($C66:L66, ISNUMBER($C66:L66)), COUNTA(FILTER($C66:L"&amp;"66, ISNUMBER($C66:L66)))),
lastVal + 'K dynamique'!L66 * ((SQRT('Résultats des tournois'!L$2 + 1)/'Résultats des tournois'!L66) - (1 / (1 + 10^((L$103 - lastVal)/400)))))
)
))"),"")</f>
        <v/>
      </c>
      <c r="N66" s="32" t="str">
        <f>IFERROR(__xludf.DUMMYFUNCTION("IF('Résultats des tournois'!M$2=0,"""",LET(
lastVal, INDEX(FILTER($B66:M66, ISNUMBER($B66:M66)), COUNTA(FILTER($B66:M66, ISNUMBER($B66:M66)))),
IFERROR(
IF('Résultats des tournois'!M66="""", INDEX(FILTER($C66:M66, ISNUMBER($C66:M66)), COUNTA(FILTER($C66:M"&amp;"66, ISNUMBER($C66:M66)))),
lastVal + 'K dynamique'!M66 * ((SQRT('Résultats des tournois'!M$2 + 1)/'Résultats des tournois'!M66) - (1 / (1 + 10^((M$103 - lastVal)/400)))))
)
))"),"")</f>
        <v/>
      </c>
      <c r="O66" s="32" t="str">
        <f>IFERROR(__xludf.DUMMYFUNCTION("IF('Résultats des tournois'!N$2=0,"""",LET(
lastVal, INDEX(FILTER($B66:N66, ISNUMBER($B66:N66)), COUNTA(FILTER($B66:N66, ISNUMBER($B66:N66)))),
IFERROR(
IF('Résultats des tournois'!N66="""", INDEX(FILTER($C66:N66, ISNUMBER($C66:N66)), COUNTA(FILTER($C66:N"&amp;"66, ISNUMBER($C66:N66)))),
lastVal + 'K dynamique'!N66 * ((SQRT('Résultats des tournois'!N$2 + 1)/'Résultats des tournois'!N66) - (1 / (1 + 10^((N$103 - lastVal)/400)))))
)
))"),"")</f>
        <v/>
      </c>
      <c r="P66" s="32" t="str">
        <f>IFERROR(__xludf.DUMMYFUNCTION("IF('Résultats des tournois'!O$2=0,"""",LET(
lastVal, INDEX(FILTER($B66:O66, ISNUMBER($B66:O66)), COUNTA(FILTER($B66:O66, ISNUMBER($B66:O66)))),
IFERROR(
IF('Résultats des tournois'!O66="""", INDEX(FILTER($C66:O66, ISNUMBER($C66:O66)), COUNTA(FILTER($C66:O"&amp;"66, ISNUMBER($C66:O66)))),
lastVal + 'K dynamique'!O66 * ((SQRT('Résultats des tournois'!O$2 + 1)/'Résultats des tournois'!O66) - (1 / (1 + 10^((O$103 - lastVal)/400)))))
)
))"),"")</f>
        <v/>
      </c>
      <c r="Q66" s="32" t="str">
        <f>IFERROR(__xludf.DUMMYFUNCTION("IF('Résultats des tournois'!P$2=0,"""",LET(
lastVal, INDEX(FILTER($B66:P66, ISNUMBER($B66:P66)), COUNTA(FILTER($B66:P66, ISNUMBER($B66:P66)))),
IFERROR(
IF('Résultats des tournois'!P66="""", INDEX(FILTER($C66:P66, ISNUMBER($C66:P66)), COUNTA(FILTER($C66:P"&amp;"66, ISNUMBER($C66:P66)))),
lastVal + 'K dynamique'!P66 * ((SQRT('Résultats des tournois'!P$2 + 1)/'Résultats des tournois'!P66) - (1 / (1 + 10^((P$103 - lastVal)/400)))))
)
))"),"")</f>
        <v/>
      </c>
      <c r="R66" s="32" t="str">
        <f>IFERROR(__xludf.DUMMYFUNCTION("IF('Résultats des tournois'!Q$2=0,"""",LET(
lastVal, INDEX(FILTER($B66:Q66, ISNUMBER($B66:Q66)), COUNTA(FILTER($B66:Q66, ISNUMBER($B66:Q66)))),
IFERROR(
IF('Résultats des tournois'!Q66="""", INDEX(FILTER($C66:Q66, ISNUMBER($C66:Q66)), COUNTA(FILTER($C66:Q"&amp;"66, ISNUMBER($C66:Q66)))),
lastVal + 'K dynamique'!Q66 * ((SQRT('Résultats des tournois'!Q$2 + 1)/'Résultats des tournois'!Q66) - (1 / (1 + 10^((Q$103 - lastVal)/400)))))
)
))"),"")</f>
        <v/>
      </c>
      <c r="S66" s="32" t="str">
        <f>IFERROR(__xludf.DUMMYFUNCTION("IF('Résultats des tournois'!R$2=0,"""",LET(
lastVal, INDEX(FILTER($B66:R66, ISNUMBER($B66:R66)), COUNTA(FILTER($B66:R66, ISNUMBER($B66:R66)))),
IFERROR(
IF('Résultats des tournois'!R66="""", INDEX(FILTER($C66:R66, ISNUMBER($C66:R66)), COUNTA(FILTER($C66:R"&amp;"66, ISNUMBER($C66:R66)))),
lastVal + 'K dynamique'!R66 * ((SQRT('Résultats des tournois'!R$2 + 1)/'Résultats des tournois'!R66) - (1 / (1 + 10^((R$103 - lastVal)/400)))))
)
))"),"")</f>
        <v/>
      </c>
      <c r="T66" s="32" t="str">
        <f>IFERROR(__xludf.DUMMYFUNCTION("IF('Résultats des tournois'!S$2=0,"""",LET(
lastVal, INDEX(FILTER($B66:S66, ISNUMBER($B66:S66)), COUNTA(FILTER($B66:S66, ISNUMBER($B66:S66)))),
IFERROR(
IF('Résultats des tournois'!S66="""", INDEX(FILTER($C66:S66, ISNUMBER($C66:S66)), COUNTA(FILTER($C66:S"&amp;"66, ISNUMBER($C66:S66)))),
lastVal + 'K dynamique'!S66 * ((SQRT('Résultats des tournois'!S$2 + 1)/'Résultats des tournois'!S66) - (1 / (1 + 10^((S$103 - lastVal)/400)))))
)
))"),"")</f>
        <v/>
      </c>
      <c r="U66" s="32" t="str">
        <f>IFERROR(__xludf.DUMMYFUNCTION("IF('Résultats des tournois'!T$2=0,"""",LET(
lastVal, INDEX(FILTER($B66:T66, ISNUMBER($B66:T66)), COUNTA(FILTER($B66:T66, ISNUMBER($B66:T66)))),
IFERROR(
IF('Résultats des tournois'!T66="""", INDEX(FILTER($C66:T66, ISNUMBER($C66:T66)), COUNTA(FILTER($C66:T"&amp;"66, ISNUMBER($C66:T66)))),
lastVal + 'K dynamique'!T66 * ((SQRT('Résultats des tournois'!T$2 + 1)/'Résultats des tournois'!T66) - (1 / (1 + 10^((T$103 - lastVal)/400)))))
)
))"),"")</f>
        <v/>
      </c>
      <c r="V66" s="32" t="str">
        <f>IFERROR(__xludf.DUMMYFUNCTION("IF('Résultats des tournois'!U$2=0,"""",LET(
lastVal, INDEX(FILTER($B66:U66, ISNUMBER($B66:U66)), COUNTA(FILTER($B66:U66, ISNUMBER($B66:U66)))),
IFERROR(
IF('Résultats des tournois'!U66="""", INDEX(FILTER($C66:U66, ISNUMBER($C66:U66)), COUNTA(FILTER($C66:U"&amp;"66, ISNUMBER($C66:U66)))),
lastVal + 'K dynamique'!U66 * ((SQRT('Résultats des tournois'!U$2 + 1)/'Résultats des tournois'!U66) - (1 / (1 + 10^((U$103 - lastVal)/400)))))
)
))"),"")</f>
        <v/>
      </c>
      <c r="W66" s="32" t="str">
        <f>IFERROR(__xludf.DUMMYFUNCTION("IF('Résultats des tournois'!V$2=0,"""",LET(
lastVal, INDEX(FILTER($B66:V66, ISNUMBER($B66:V66)), COUNTA(FILTER($B66:V66, ISNUMBER($B66:V66)))),
IFERROR(
IF('Résultats des tournois'!V66="""", INDEX(FILTER($C66:V66, ISNUMBER($C66:V66)), COUNTA(FILTER($C66:V"&amp;"66, ISNUMBER($C66:V66)))),
lastVal + 'K dynamique'!V66 * ((SQRT('Résultats des tournois'!V$2 + 1)/'Résultats des tournois'!V66) - (1 / (1 + 10^((V$103 - lastVal)/400)))))
)
))"),"")</f>
        <v/>
      </c>
      <c r="X66" s="32" t="str">
        <f>IFERROR(__xludf.DUMMYFUNCTION("IF('Résultats des tournois'!W$2=0,"""",LET(
lastVal, INDEX(FILTER($B66:W66, ISNUMBER($B66:W66)), COUNTA(FILTER($B66:W66, ISNUMBER($B66:W66)))),
IFERROR(
IF('Résultats des tournois'!W66="""", INDEX(FILTER($C66:W66, ISNUMBER($C66:W66)), COUNTA(FILTER($C66:W"&amp;"66, ISNUMBER($C66:W66)))),
lastVal + 'K dynamique'!W66 * ((SQRT('Résultats des tournois'!W$2 + 1)/'Résultats des tournois'!W66) - (1 / (1 + 10^((W$103 - lastVal)/400)))))
)
))"),"")</f>
        <v/>
      </c>
      <c r="Y66" s="32" t="str">
        <f>IFERROR(__xludf.DUMMYFUNCTION("IF('Résultats des tournois'!X$2=0,"""",LET(
lastVal, INDEX(FILTER($B66:X66, ISNUMBER($B66:X66)), COUNTA(FILTER($B66:X66, ISNUMBER($B66:X66)))),
IFERROR(
IF('Résultats des tournois'!X66="""", INDEX(FILTER($C66:X66, ISNUMBER($C66:X66)), COUNTA(FILTER($C66:X"&amp;"66, ISNUMBER($C66:X66)))),
lastVal + 'K dynamique'!X66 * ((SQRT('Résultats des tournois'!X$2 + 1)/'Résultats des tournois'!X66) - (1 / (1 + 10^((X$103 - lastVal)/400)))))
)
))"),"")</f>
        <v/>
      </c>
      <c r="Z66" s="32" t="str">
        <f>IFERROR(__xludf.DUMMYFUNCTION("IF('Résultats des tournois'!Y$2=0,"""",LET(
lastVal, INDEX(FILTER($B66:Y66, ISNUMBER($B66:Y66)), COUNTA(FILTER($B66:Y66, ISNUMBER($B66:Y66)))),
IFERROR(
IF('Résultats des tournois'!Y66="""", INDEX(FILTER($C66:Y66, ISNUMBER($C66:Y66)), COUNTA(FILTER($C66:Y"&amp;"66, ISNUMBER($C66:Y66)))),
lastVal + 'K dynamique'!Y66 * ((SQRT('Résultats des tournois'!Y$2 + 1)/'Résultats des tournois'!Y66) - (1 / (1 + 10^((Y$103 - lastVal)/400)))))
)
))"),"")</f>
        <v/>
      </c>
      <c r="AA66" s="32" t="str">
        <f>IFERROR(__xludf.DUMMYFUNCTION("IF('Résultats des tournois'!Z$2=0,"""",LET(
lastVal, INDEX(FILTER($B66:Z66, ISNUMBER($B66:Z66)), COUNTA(FILTER($B66:Z66, ISNUMBER($B66:Z66)))),
IFERROR(
IF('Résultats des tournois'!Z66="""", INDEX(FILTER($C66:Z66, ISNUMBER($C66:Z66)), COUNTA(FILTER($C66:Z"&amp;"66, ISNUMBER($C66:Z66)))),
lastVal + 'K dynamique'!Z66 * ((SQRT('Résultats des tournois'!Z$2 + 1)/'Résultats des tournois'!Z66) - (1 / (1 + 10^((Z$103 - lastVal)/400)))))
)
))"),"")</f>
        <v/>
      </c>
      <c r="AB66" s="32" t="str">
        <f>IFERROR(__xludf.DUMMYFUNCTION("IF('Résultats des tournois'!AA$2=0,"""",LET(
lastVal, INDEX(FILTER($B66:AA66, ISNUMBER($B66:AA66)), COUNTA(FILTER($B66:AA66, ISNUMBER($B66:AA66)))),
IFERROR(
IF('Résultats des tournois'!AA66="""", INDEX(FILTER($C66:AA66, ISNUMBER($C66:AA66)), COUNTA(FILTE"&amp;"R($C66:AA66, ISNUMBER($C66:AA66)))),
lastVal + 'K dynamique'!AA66 * ((SQRT('Résultats des tournois'!AA$2 + 1)/'Résultats des tournois'!AA66) - (1 / (1 + 10^((AA$103 - lastVal)/400)))))
)
))"),"")</f>
        <v/>
      </c>
      <c r="AC66" s="32" t="str">
        <f>IFERROR(__xludf.DUMMYFUNCTION("IF('Résultats des tournois'!AB$2=0,"""",LET(
lastVal, INDEX(FILTER($B66:AB66, ISNUMBER($B66:AB66)), COUNTA(FILTER($B66:AB66, ISNUMBER($B66:AB66)))),
IFERROR(
IF('Résultats des tournois'!AB66="""", INDEX(FILTER($C66:AB66, ISNUMBER($C66:AB66)), COUNTA(FILTE"&amp;"R($C66:AB66, ISNUMBER($C66:AB66)))),
lastVal + 'K dynamique'!AB66 * ((SQRT('Résultats des tournois'!AB$2 + 1)/'Résultats des tournois'!AB66) - (1 / (1 + 10^((AB$103 - lastVal)/400)))))
)
))"),"")</f>
        <v/>
      </c>
      <c r="AD66" s="32" t="str">
        <f>IFERROR(__xludf.DUMMYFUNCTION("IF('Résultats des tournois'!AC$2=0,"""",LET(
lastVal, INDEX(FILTER($B66:AC66, ISNUMBER($B66:AC66)), COUNTA(FILTER($B66:AC66, ISNUMBER($B66:AC66)))),
IFERROR(
IF('Résultats des tournois'!AC66="""", INDEX(FILTER($C66:AC66, ISNUMBER($C66:AC66)), COUNTA(FILTE"&amp;"R($C66:AC66, ISNUMBER($C66:AC66)))),
lastVal + 'K dynamique'!AC66 * ((SQRT('Résultats des tournois'!AC$2 + 1)/'Résultats des tournois'!AC66) - (1 / (1 + 10^((AC$103 - lastVal)/400)))))
)
))"),"")</f>
        <v/>
      </c>
      <c r="AE66" s="32" t="str">
        <f>IFERROR(__xludf.DUMMYFUNCTION("IF('Résultats des tournois'!AD$2=0,"""",LET(
lastVal, INDEX(FILTER($B66:AD66, ISNUMBER($B66:AD66)), COUNTA(FILTER($B66:AD66, ISNUMBER($B66:AD66)))),
IFERROR(
IF('Résultats des tournois'!AD66="""", INDEX(FILTER($C66:AD66, ISNUMBER($C66:AD66)), COUNTA(FILTE"&amp;"R($C66:AD66, ISNUMBER($C66:AD66)))),
lastVal + 'K dynamique'!AD66 * ((SQRT('Résultats des tournois'!AD$2 + 1)/'Résultats des tournois'!AD66) - (1 / (1 + 10^((AD$103 - lastVal)/400)))))
)
))"),"")</f>
        <v/>
      </c>
      <c r="AF66" s="32" t="str">
        <f>IFERROR(__xludf.DUMMYFUNCTION("IF('Résultats des tournois'!AE$2=0,"""",LET(
lastVal, INDEX(FILTER($B66:AE66, ISNUMBER($B66:AE66)), COUNTA(FILTER($B66:AE66, ISNUMBER($B66:AE66)))),
IFERROR(
IF('Résultats des tournois'!AE66="""", INDEX(FILTER($C66:AE66, ISNUMBER($C66:AE66)), COUNTA(FILTE"&amp;"R($C66:AE66, ISNUMBER($C66:AE66)))),
lastVal + 'K dynamique'!AE66 * ((SQRT('Résultats des tournois'!AE$2 + 1)/'Résultats des tournois'!AE66) - (1 / (1 + 10^((AE$103 - lastVal)/400)))))
)
))"),"")</f>
        <v/>
      </c>
      <c r="AG66" s="32" t="str">
        <f>IFERROR(__xludf.DUMMYFUNCTION("IF('Résultats des tournois'!AF$2=0,"""",LET(
lastVal, INDEX(FILTER($B66:AF66, ISNUMBER($B66:AF66)), COUNTA(FILTER($B66:AF66, ISNUMBER($B66:AF66)))),
IFERROR(
IF('Résultats des tournois'!AF66="""", INDEX(FILTER($C66:AF66, ISNUMBER($C66:AF66)), COUNTA(FILTE"&amp;"R($C66:AF66, ISNUMBER($C66:AF66)))),
lastVal + 'K dynamique'!AF66 * ((SQRT('Résultats des tournois'!AF$2 + 1)/'Résultats des tournois'!AF66) - (1 / (1 + 10^((AF$103 - lastVal)/400)))))
)
))"),"")</f>
        <v/>
      </c>
      <c r="AH66" s="32" t="str">
        <f>IFERROR(__xludf.DUMMYFUNCTION("IF('Résultats des tournois'!AG$2=0,"""",LET(
lastVal, INDEX(FILTER($B66:AG66, ISNUMBER($B66:AG66)), COUNTA(FILTER($B66:AG66, ISNUMBER($B66:AG66)))),
IFERROR(
IF('Résultats des tournois'!AG66="""", INDEX(FILTER($C66:AG66, ISNUMBER($C66:AG66)), COUNTA(FILTE"&amp;"R($C66:AG66, ISNUMBER($C66:AG66)))),
lastVal + 'K dynamique'!AG66 * ((SQRT('Résultats des tournois'!AG$2 + 1)/'Résultats des tournois'!AG66) - (1 / (1 + 10^((AG$103 - lastVal)/400)))))
)
))"),"")</f>
        <v/>
      </c>
      <c r="AI66" s="32" t="str">
        <f>IFERROR(__xludf.DUMMYFUNCTION("IF('Résultats des tournois'!AH$2=0,"""",LET(
lastVal, INDEX(FILTER($B66:AH66, ISNUMBER($B66:AH66)), COUNTA(FILTER($B66:AH66, ISNUMBER($B66:AH66)))),
IFERROR(
IF('Résultats des tournois'!AH66="""", INDEX(FILTER($C66:AH66, ISNUMBER($C66:AH66)), COUNTA(FILTE"&amp;"R($C66:AH66, ISNUMBER($C66:AH66)))),
lastVal + 'K dynamique'!AH66 * ((SQRT('Résultats des tournois'!AH$2 + 1)/'Résultats des tournois'!AH66) - (1 / (1 + 10^((AH$103 - lastVal)/400)))))
)
))"),"")</f>
        <v/>
      </c>
      <c r="AJ66" s="32" t="str">
        <f>IFERROR(__xludf.DUMMYFUNCTION("IF('Résultats des tournois'!AI$2=0,"""",LET(
lastVal, INDEX(FILTER($B66:AI66, ISNUMBER($B66:AI66)), COUNTA(FILTER($B66:AI66, ISNUMBER($B66:AI66)))),
IFERROR(
IF('Résultats des tournois'!AI66="""", INDEX(FILTER($C66:AI66, ISNUMBER($C66:AI66)), COUNTA(FILTE"&amp;"R($C66:AI66, ISNUMBER($C66:AI66)))),
lastVal + 'K dynamique'!AI66 * ((SQRT('Résultats des tournois'!AI$2 + 1)/'Résultats des tournois'!AI66) - (1 / (1 + 10^((AI$103 - lastVal)/400)))))
)
))"),"")</f>
        <v/>
      </c>
      <c r="AK66" s="32" t="str">
        <f>IFERROR(__xludf.DUMMYFUNCTION("IF('Résultats des tournois'!AJ$2=0,"""",LET(
lastVal, INDEX(FILTER($B66:AJ66, ISNUMBER($B66:AJ66)), COUNTA(FILTER($B66:AJ66, ISNUMBER($B66:AJ66)))),
IFERROR(
IF('Résultats des tournois'!AJ66="""", INDEX(FILTER($C66:AJ66, ISNUMBER($C66:AJ66)), COUNTA(FILTE"&amp;"R($C66:AJ66, ISNUMBER($C66:AJ66)))),
lastVal + 'K dynamique'!AJ66 * ((SQRT('Résultats des tournois'!AJ$2 + 1)/'Résultats des tournois'!AJ66) - (1 / (1 + 10^((AJ$103 - lastVal)/400)))))
)
))"),"")</f>
        <v/>
      </c>
      <c r="AL66" s="32" t="str">
        <f>IFERROR(__xludf.DUMMYFUNCTION("IF('Résultats des tournois'!AK$2=0,"""",LET(
lastVal, INDEX(FILTER($B66:AK66, ISNUMBER($B66:AK66)), COUNTA(FILTER($B66:AK66, ISNUMBER($B66:AK66)))),
IFERROR(
IF('Résultats des tournois'!AK66="""", INDEX(FILTER($C66:AK66, ISNUMBER($C66:AK66)), COUNTA(FILTE"&amp;"R($C66:AK66, ISNUMBER($C66:AK66)))),
lastVal + 'K dynamique'!AK66 * ((SQRT('Résultats des tournois'!AK$2 + 1)/'Résultats des tournois'!AK66) - (1 / (1 + 10^((AK$103 - lastVal)/400)))))
)
))"),"")</f>
        <v/>
      </c>
      <c r="AM66" s="32" t="str">
        <f>IFERROR(__xludf.DUMMYFUNCTION("IF('Résultats des tournois'!AL$2=0,"""",LET(
lastVal, INDEX(FILTER($B66:AL66, ISNUMBER($B66:AL66)), COUNTA(FILTER($B66:AL66, ISNUMBER($B66:AL66)))),
IFERROR(
IF('Résultats des tournois'!AL66="""", INDEX(FILTER($C66:AL66, ISNUMBER($C66:AL66)), COUNTA(FILTE"&amp;"R($C66:AL66, ISNUMBER($C66:AL66)))),
lastVal + 'K dynamique'!AL66 * ((SQRT('Résultats des tournois'!AL$2 + 1)/'Résultats des tournois'!AL66) - (1 / (1 + 10^((AL$103 - lastVal)/400)))))
)
))"),"")</f>
        <v/>
      </c>
      <c r="AN66" s="32" t="str">
        <f>IFERROR(__xludf.DUMMYFUNCTION("IF('Résultats des tournois'!AM$2=0,"""",LET(
lastVal, INDEX(FILTER($B66:AM66, ISNUMBER($B66:AM66)), COUNTA(FILTER($B66:AM66, ISNUMBER($B66:AM66)))),
IFERROR(
IF('Résultats des tournois'!AM66="""", INDEX(FILTER($C66:AM66, ISNUMBER($C66:AM66)), COUNTA(FILTE"&amp;"R($C66:AM66, ISNUMBER($C66:AM66)))),
lastVal + 'K dynamique'!AM66 * ((SQRT('Résultats des tournois'!AM$2 + 1)/'Résultats des tournois'!AM66) - (1 / (1 + 10^((AM$103 - lastVal)/400)))))
)
))"),"")</f>
        <v/>
      </c>
      <c r="AO66" s="32" t="str">
        <f>IFERROR(__xludf.DUMMYFUNCTION("IF('Résultats des tournois'!AN$2=0,"""",LET(
lastVal, INDEX(FILTER($B66:AN66, ISNUMBER($B66:AN66)), COUNTA(FILTER($B66:AN66, ISNUMBER($B66:AN66)))),
IFERROR(
IF('Résultats des tournois'!AN66="""", INDEX(FILTER($C66:AN66, ISNUMBER($C66:AN66)), COUNTA(FILTE"&amp;"R($C66:AN66, ISNUMBER($C66:AN66)))),
lastVal + 'K dynamique'!AN66 * ((SQRT('Résultats des tournois'!AN$2 + 1)/'Résultats des tournois'!AN66) - (1 / (1 + 10^((AN$103 - lastVal)/400)))))
)
))"),"")</f>
        <v/>
      </c>
      <c r="AP66" s="32" t="str">
        <f>IFERROR(__xludf.DUMMYFUNCTION("IF('Résultats des tournois'!AO$2=0,"""",LET(
lastVal, INDEX(FILTER($B66:AO66, ISNUMBER($B66:AO66)), COUNTA(FILTER($B66:AO66, ISNUMBER($B66:AO66)))),
IFERROR(
IF('Résultats des tournois'!AO66="""", INDEX(FILTER($C66:AO66, ISNUMBER($C66:AO66)), COUNTA(FILTE"&amp;"R($C66:AO66, ISNUMBER($C66:AO66)))),
lastVal + 'K dynamique'!AO66 * ((SQRT('Résultats des tournois'!AO$2 + 1)/'Résultats des tournois'!AO66) - (1 / (1 + 10^((AO$103 - lastVal)/400)))))
)
))"),"")</f>
        <v/>
      </c>
      <c r="AQ66" s="32" t="str">
        <f>IFERROR(__xludf.DUMMYFUNCTION("IF('Résultats des tournois'!AP$2=0,"""",LET(
lastVal, INDEX(FILTER($B66:AP66, ISNUMBER($B66:AP66)), COUNTA(FILTER($B66:AP66, ISNUMBER($B66:AP66)))),
IFERROR(
IF('Résultats des tournois'!AP66="""", INDEX(FILTER($C66:AP66, ISNUMBER($C66:AP66)), COUNTA(FILTE"&amp;"R($C66:AP66, ISNUMBER($C66:AP66)))),
lastVal + 'K dynamique'!AP66 * ((SQRT('Résultats des tournois'!AP$2 + 1)/'Résultats des tournois'!AP66) - (1 / (1 + 10^((AP$103 - lastVal)/400)))))
)
))"),"")</f>
        <v/>
      </c>
      <c r="AR66" s="32" t="str">
        <f>IFERROR(__xludf.DUMMYFUNCTION("IF('Résultats des tournois'!AQ$2=0,"""",LET(
lastVal, INDEX(FILTER($B66:AQ66, ISNUMBER($B66:AQ66)), COUNTA(FILTER($B66:AQ66, ISNUMBER($B66:AQ66)))),
IFERROR(
IF('Résultats des tournois'!AQ66="""", INDEX(FILTER($C66:AQ66, ISNUMBER($C66:AQ66)), COUNTA(FILTE"&amp;"R($C66:AQ66, ISNUMBER($C66:AQ66)))),
lastVal + 'K dynamique'!AQ66 * ((SQRT('Résultats des tournois'!AQ$2 + 1)/'Résultats des tournois'!AQ66) - (1 / (1 + 10^((AQ$103 - lastVal)/400)))))
)
))"),"")</f>
        <v/>
      </c>
      <c r="AS66" s="32" t="str">
        <f>IFERROR(__xludf.DUMMYFUNCTION("IF('Résultats des tournois'!AR$2=0,"""",LET(
lastVal, INDEX(FILTER($B66:AR66, ISNUMBER($B66:AR66)), COUNTA(FILTER($B66:AR66, ISNUMBER($B66:AR66)))),
IFERROR(
IF('Résultats des tournois'!AR66="""", INDEX(FILTER($C66:AR66, ISNUMBER($C66:AR66)), COUNTA(FILTE"&amp;"R($C66:AR66, ISNUMBER($C66:AR66)))),
lastVal + 'K dynamique'!AR66 * ((SQRT('Résultats des tournois'!AR$2 + 1)/'Résultats des tournois'!AR66) - (1 / (1 + 10^((AR$103 - lastVal)/400)))))
)
))"),"")</f>
        <v/>
      </c>
      <c r="AT66" s="32" t="str">
        <f>IFERROR(__xludf.DUMMYFUNCTION("IF('Résultats des tournois'!AS$2=0,"""",LET(
lastVal, INDEX(FILTER($B66:AS66, ISNUMBER($B66:AS66)), COUNTA(FILTER($B66:AS66, ISNUMBER($B66:AS66)))),
IFERROR(
IF('Résultats des tournois'!AS66="""", INDEX(FILTER($C66:AS66, ISNUMBER($C66:AS66)), COUNTA(FILTE"&amp;"R($C66:AS66, ISNUMBER($C66:AS66)))),
lastVal + 'K dynamique'!AS66 * ((SQRT('Résultats des tournois'!AS$2 + 1)/'Résultats des tournois'!AS66) - (1 / (1 + 10^((AS$103 - lastVal)/400)))))
)
))"),"")</f>
        <v/>
      </c>
      <c r="AU66" s="32" t="str">
        <f>IFERROR(__xludf.DUMMYFUNCTION("IF('Résultats des tournois'!AT$2=0,"""",LET(
lastVal, INDEX(FILTER($B66:AT66, ISNUMBER($B66:AT66)), COUNTA(FILTER($B66:AT66, ISNUMBER($B66:AT66)))),
IFERROR(
IF('Résultats des tournois'!AT66="""", INDEX(FILTER($C66:AT66, ISNUMBER($C66:AT66)), COUNTA(FILTE"&amp;"R($C66:AT66, ISNUMBER($C66:AT66)))),
lastVal + 'K dynamique'!AT66 * ((SQRT('Résultats des tournois'!AT$2 + 1)/'Résultats des tournois'!AT66) - (1 / (1 + 10^((AT$103 - lastVal)/400)))))
)
))"),"")</f>
        <v/>
      </c>
      <c r="AV66" s="32" t="str">
        <f>IFERROR(__xludf.DUMMYFUNCTION("IF('Résultats des tournois'!AU$2=0,"""",LET(
lastVal, INDEX(FILTER($B66:AU66, ISNUMBER($B66:AU66)), COUNTA(FILTER($B66:AU66, ISNUMBER($B66:AU66)))),
IFERROR(
IF('Résultats des tournois'!AU66="""", INDEX(FILTER($C66:AU66, ISNUMBER($C66:AU66)), COUNTA(FILTE"&amp;"R($C66:AU66, ISNUMBER($C66:AU66)))),
lastVal + 'K dynamique'!AU66 * ((SQRT('Résultats des tournois'!AU$2 + 1)/'Résultats des tournois'!AU66) - (1 / (1 + 10^((AU$103 - lastVal)/400)))))
)
))"),"")</f>
        <v/>
      </c>
      <c r="AW66" s="32" t="str">
        <f>IFERROR(__xludf.DUMMYFUNCTION("IF('Résultats des tournois'!AV$2=0,"""",LET(
lastVal, INDEX(FILTER($B66:AV66, ISNUMBER($B66:AV66)), COUNTA(FILTER($B66:AV66, ISNUMBER($B66:AV66)))),
IFERROR(
IF('Résultats des tournois'!AV66="""", INDEX(FILTER($C66:AV66, ISNUMBER($C66:AV66)), COUNTA(FILTE"&amp;"R($C66:AV66, ISNUMBER($C66:AV66)))),
lastVal + 'K dynamique'!AV66 * ((SQRT('Résultats des tournois'!AV$2 + 1)/'Résultats des tournois'!AV66) - (1 / (1 + 10^((AV$103 - lastVal)/400)))))
)
))"),"")</f>
        <v/>
      </c>
      <c r="AX66" s="32" t="str">
        <f>IFERROR(__xludf.DUMMYFUNCTION("IF('Résultats des tournois'!AW$2=0,"""",LET(
lastVal, INDEX(FILTER($B66:AW66, ISNUMBER($B66:AW66)), COUNTA(FILTER($B66:AW66, ISNUMBER($B66:AW66)))),
IFERROR(
IF('Résultats des tournois'!AW66="""", INDEX(FILTER($C66:AW66, ISNUMBER($C66:AW66)), COUNTA(FILTE"&amp;"R($C66:AW66, ISNUMBER($C66:AW66)))),
lastVal + 'K dynamique'!AW66 * ((SQRT('Résultats des tournois'!AW$2 + 1)/'Résultats des tournois'!AW66) - (1 / (1 + 10^((AW$103 - lastVal)/400)))))
)
))"),"")</f>
        <v/>
      </c>
      <c r="AY66" s="32" t="str">
        <f>IFERROR(__xludf.DUMMYFUNCTION("IF('Résultats des tournois'!AX$2=0,"""",LET(
lastVal, INDEX(FILTER($B66:AX66, ISNUMBER($B66:AX66)), COUNTA(FILTER($B66:AX66, ISNUMBER($B66:AX66)))),
IFERROR(
IF('Résultats des tournois'!AX66="""", INDEX(FILTER($C66:AX66, ISNUMBER($C66:AX66)), COUNTA(FILTE"&amp;"R($C66:AX66, ISNUMBER($C66:AX66)))),
lastVal + 'K dynamique'!AX66 * ((SQRT('Résultats des tournois'!AX$2 + 1)/'Résultats des tournois'!AX66) - (1 / (1 + 10^((AX$103 - lastVal)/400)))))
)
))"),"")</f>
        <v/>
      </c>
      <c r="AZ66" s="4" t="str">
        <f t="array" ref="AZ66">IF(MAX(($C66:AY66&lt;&gt;"")*COLUMN($C66:AY66))=0,"",INDEX($C66:AY66,1,MAX(($C66:AY66&lt;&gt;"")*COLUMN($C66:AY66))-COLUMN($C66)+1))</f>
        <v/>
      </c>
      <c r="BA66" s="33" t="str">
        <f t="shared" si="1"/>
        <v/>
      </c>
    </row>
    <row r="67" ht="14.25" customHeight="1">
      <c r="A67" s="32" t="str">
        <f>IF('Résultats des tournois'!A67="","",'Résultats des tournois'!A67)</f>
        <v/>
      </c>
      <c r="B67" s="32">
        <v>1500.0</v>
      </c>
      <c r="C67" s="32" t="str">
        <f>IF('Résultats des tournois'!B67="","",B67+'K dynamique'!B67*((SQRT('Résultats des tournois'!B$2+1)/'Résultats des tournois'!B67)-(1/(1+10^((B67-B67)/400)))))</f>
        <v/>
      </c>
      <c r="D67" s="32" t="str">
        <f>IFERROR(__xludf.DUMMYFUNCTION("IF('Résultats des tournois'!C$2=0,"""",LET(
lastVal, INDEX(FILTER($B67:C67, ISNUMBER($B67:C67)), COUNTA(FILTER($B67:C67, ISNUMBER($B67:C67)))),
IFERROR(
IF('Résultats des tournois'!C67="""", INDEX(FILTER($C67:C67, ISNUMBER($C67:C67)), COUNTA(FILTER($C67:C"&amp;"67, ISNUMBER($C67:C67)))),
lastVal + 'K dynamique'!C67 * ((SQRT('Résultats des tournois'!C$2 + 1)/'Résultats des tournois'!C67) - (1 / (1 + 10^((C$103 - lastVal)/400)))))
)
))"),"")</f>
        <v/>
      </c>
      <c r="E67" s="32" t="str">
        <f>IFERROR(__xludf.DUMMYFUNCTION("IF('Résultats des tournois'!D$2=0,"""",LET(
lastVal, INDEX(FILTER($B67:D67, ISNUMBER($B67:D67)), COUNTA(FILTER($B67:D67, ISNUMBER($B67:D67)))),
IFERROR(
IF('Résultats des tournois'!D67="""", INDEX(FILTER($C67:D67, ISNUMBER($C67:D67)), COUNTA(FILTER($C67:D"&amp;"67, ISNUMBER($C67:D67)))),
lastVal + 'K dynamique'!D67 * ((SQRT('Résultats des tournois'!D$2 + 1)/'Résultats des tournois'!D67) - (1 / (1 + 10^((D$103 - lastVal)/400)))))
)
))"),"")</f>
        <v/>
      </c>
      <c r="F67" s="32" t="str">
        <f>IFERROR(__xludf.DUMMYFUNCTION("IF('Résultats des tournois'!E$2=0,"""",LET(
lastVal, INDEX(FILTER($B67:E67, ISNUMBER($B67:E67)), COUNTA(FILTER($B67:E67, ISNUMBER($B67:E67)))),
IFERROR(
IF('Résultats des tournois'!E67="""", INDEX(FILTER($C67:E67, ISNUMBER($C67:E67)), COUNTA(FILTER($C67:E"&amp;"67, ISNUMBER($C67:E67)))),
lastVal + 'K dynamique'!E67 * ((SQRT('Résultats des tournois'!E$2 + 1)/'Résultats des tournois'!E67) - (1 / (1 + 10^((E$103 - lastVal)/400)))))
)
))"),"")</f>
        <v/>
      </c>
      <c r="G67" s="32" t="str">
        <f>IFERROR(__xludf.DUMMYFUNCTION("IF('Résultats des tournois'!F$2=0,"""",LET(
lastVal, INDEX(FILTER($B67:F67, ISNUMBER($B67:F67)), COUNTA(FILTER($B67:F67, ISNUMBER($B67:F67)))),
IFERROR(
IF('Résultats des tournois'!F67="""", INDEX(FILTER($C67:F67, ISNUMBER($C67:F67)), COUNTA(FILTER($C67:F"&amp;"67, ISNUMBER($C67:F67)))),
lastVal + 'K dynamique'!F67 * ((SQRT('Résultats des tournois'!F$2 + 1)/'Résultats des tournois'!F67) - (1 / (1 + 10^((F$103 - lastVal)/400)))))
)
))"),"")</f>
        <v/>
      </c>
      <c r="H67" s="32" t="str">
        <f>IFERROR(__xludf.DUMMYFUNCTION("IF('Résultats des tournois'!G$2=0,"""",LET(
lastVal, INDEX(FILTER($B67:G67, ISNUMBER($B67:G67)), COUNTA(FILTER($B67:G67, ISNUMBER($B67:G67)))),
IFERROR(
IF('Résultats des tournois'!G67="""", INDEX(FILTER($C67:G67, ISNUMBER($C67:G67)), COUNTA(FILTER($C67:G"&amp;"67, ISNUMBER($C67:G67)))),
lastVal + 'K dynamique'!G67 * ((SQRT('Résultats des tournois'!G$2 + 1)/'Résultats des tournois'!G67) - (1 / (1 + 10^((G$103 - lastVal)/400)))))
)
))"),"")</f>
        <v/>
      </c>
      <c r="I67" s="32" t="str">
        <f>IFERROR(__xludf.DUMMYFUNCTION("IF('Résultats des tournois'!H$2=0,"""",LET(
lastVal, INDEX(FILTER($B67:H67, ISNUMBER($B67:H67)), COUNTA(FILTER($B67:H67, ISNUMBER($B67:H67)))),
IFERROR(
IF('Résultats des tournois'!H67="""", INDEX(FILTER($C67:H67, ISNUMBER($C67:H67)), COUNTA(FILTER($C67:H"&amp;"67, ISNUMBER($C67:H67)))),
lastVal + 'K dynamique'!H67 * ((SQRT('Résultats des tournois'!H$2 + 1)/'Résultats des tournois'!H67) - (1 / (1 + 10^((H$103 - lastVal)/400)))))
)
))"),"")</f>
        <v/>
      </c>
      <c r="J67" s="32" t="str">
        <f>IFERROR(__xludf.DUMMYFUNCTION("IF('Résultats des tournois'!I$2=0,"""",LET(
lastVal, INDEX(FILTER($B67:I67, ISNUMBER($B67:I67)), COUNTA(FILTER($B67:I67, ISNUMBER($B67:I67)))),
IFERROR(
IF('Résultats des tournois'!I67="""", INDEX(FILTER($C67:I67, ISNUMBER($C67:I67)), COUNTA(FILTER($C67:I"&amp;"67, ISNUMBER($C67:I67)))),
lastVal + 'K dynamique'!I67 * ((SQRT('Résultats des tournois'!I$2 + 1)/'Résultats des tournois'!I67) - (1 / (1 + 10^((I$103 - lastVal)/400)))))
)
))"),"")</f>
        <v/>
      </c>
      <c r="K67" s="32" t="str">
        <f>IFERROR(__xludf.DUMMYFUNCTION("IF('Résultats des tournois'!J$2=0,"""",LET(
lastVal, INDEX(FILTER($B67:J67, ISNUMBER($B67:J67)), COUNTA(FILTER($B67:J67, ISNUMBER($B67:J67)))),
IFERROR(
IF('Résultats des tournois'!J67="""", INDEX(FILTER($C67:J67, ISNUMBER($C67:J67)), COUNTA(FILTER($C67:J"&amp;"67, ISNUMBER($C67:J67)))),
lastVal + 'K dynamique'!J67 * ((SQRT('Résultats des tournois'!J$2 + 1)/'Résultats des tournois'!J67) - (1 / (1 + 10^((J$103 - lastVal)/400)))))
)
))"),"")</f>
        <v/>
      </c>
      <c r="L67" s="32" t="str">
        <f>IFERROR(__xludf.DUMMYFUNCTION("IF('Résultats des tournois'!K$2=0,"""",LET(
lastVal, INDEX(FILTER($B67:K67, ISNUMBER($B67:K67)), COUNTA(FILTER($B67:K67, ISNUMBER($B67:K67)))),
IFERROR(
IF('Résultats des tournois'!K67="""", INDEX(FILTER($C67:K67, ISNUMBER($C67:K67)), COUNTA(FILTER($C67:K"&amp;"67, ISNUMBER($C67:K67)))),
lastVal + 'K dynamique'!K67 * ((SQRT('Résultats des tournois'!K$2 + 1)/'Résultats des tournois'!K67) - (1 / (1 + 10^((K$103 - lastVal)/400)))))
)
))"),"")</f>
        <v/>
      </c>
      <c r="M67" s="32" t="str">
        <f>IFERROR(__xludf.DUMMYFUNCTION("IF('Résultats des tournois'!L$2=0,"""",LET(
lastVal, INDEX(FILTER($B67:L67, ISNUMBER($B67:L67)), COUNTA(FILTER($B67:L67, ISNUMBER($B67:L67)))),
IFERROR(
IF('Résultats des tournois'!L67="""", INDEX(FILTER($C67:L67, ISNUMBER($C67:L67)), COUNTA(FILTER($C67:L"&amp;"67, ISNUMBER($C67:L67)))),
lastVal + 'K dynamique'!L67 * ((SQRT('Résultats des tournois'!L$2 + 1)/'Résultats des tournois'!L67) - (1 / (1 + 10^((L$103 - lastVal)/400)))))
)
))"),"")</f>
        <v/>
      </c>
      <c r="N67" s="32" t="str">
        <f>IFERROR(__xludf.DUMMYFUNCTION("IF('Résultats des tournois'!M$2=0,"""",LET(
lastVal, INDEX(FILTER($B67:M67, ISNUMBER($B67:M67)), COUNTA(FILTER($B67:M67, ISNUMBER($B67:M67)))),
IFERROR(
IF('Résultats des tournois'!M67="""", INDEX(FILTER($C67:M67, ISNUMBER($C67:M67)), COUNTA(FILTER($C67:M"&amp;"67, ISNUMBER($C67:M67)))),
lastVal + 'K dynamique'!M67 * ((SQRT('Résultats des tournois'!M$2 + 1)/'Résultats des tournois'!M67) - (1 / (1 + 10^((M$103 - lastVal)/400)))))
)
))"),"")</f>
        <v/>
      </c>
      <c r="O67" s="32" t="str">
        <f>IFERROR(__xludf.DUMMYFUNCTION("IF('Résultats des tournois'!N$2=0,"""",LET(
lastVal, INDEX(FILTER($B67:N67, ISNUMBER($B67:N67)), COUNTA(FILTER($B67:N67, ISNUMBER($B67:N67)))),
IFERROR(
IF('Résultats des tournois'!N67="""", INDEX(FILTER($C67:N67, ISNUMBER($C67:N67)), COUNTA(FILTER($C67:N"&amp;"67, ISNUMBER($C67:N67)))),
lastVal + 'K dynamique'!N67 * ((SQRT('Résultats des tournois'!N$2 + 1)/'Résultats des tournois'!N67) - (1 / (1 + 10^((N$103 - lastVal)/400)))))
)
))"),"")</f>
        <v/>
      </c>
      <c r="P67" s="32" t="str">
        <f>IFERROR(__xludf.DUMMYFUNCTION("IF('Résultats des tournois'!O$2=0,"""",LET(
lastVal, INDEX(FILTER($B67:O67, ISNUMBER($B67:O67)), COUNTA(FILTER($B67:O67, ISNUMBER($B67:O67)))),
IFERROR(
IF('Résultats des tournois'!O67="""", INDEX(FILTER($C67:O67, ISNUMBER($C67:O67)), COUNTA(FILTER($C67:O"&amp;"67, ISNUMBER($C67:O67)))),
lastVal + 'K dynamique'!O67 * ((SQRT('Résultats des tournois'!O$2 + 1)/'Résultats des tournois'!O67) - (1 / (1 + 10^((O$103 - lastVal)/400)))))
)
))"),"")</f>
        <v/>
      </c>
      <c r="Q67" s="32" t="str">
        <f>IFERROR(__xludf.DUMMYFUNCTION("IF('Résultats des tournois'!P$2=0,"""",LET(
lastVal, INDEX(FILTER($B67:P67, ISNUMBER($B67:P67)), COUNTA(FILTER($B67:P67, ISNUMBER($B67:P67)))),
IFERROR(
IF('Résultats des tournois'!P67="""", INDEX(FILTER($C67:P67, ISNUMBER($C67:P67)), COUNTA(FILTER($C67:P"&amp;"67, ISNUMBER($C67:P67)))),
lastVal + 'K dynamique'!P67 * ((SQRT('Résultats des tournois'!P$2 + 1)/'Résultats des tournois'!P67) - (1 / (1 + 10^((P$103 - lastVal)/400)))))
)
))"),"")</f>
        <v/>
      </c>
      <c r="R67" s="32" t="str">
        <f>IFERROR(__xludf.DUMMYFUNCTION("IF('Résultats des tournois'!Q$2=0,"""",LET(
lastVal, INDEX(FILTER($B67:Q67, ISNUMBER($B67:Q67)), COUNTA(FILTER($B67:Q67, ISNUMBER($B67:Q67)))),
IFERROR(
IF('Résultats des tournois'!Q67="""", INDEX(FILTER($C67:Q67, ISNUMBER($C67:Q67)), COUNTA(FILTER($C67:Q"&amp;"67, ISNUMBER($C67:Q67)))),
lastVal + 'K dynamique'!Q67 * ((SQRT('Résultats des tournois'!Q$2 + 1)/'Résultats des tournois'!Q67) - (1 / (1 + 10^((Q$103 - lastVal)/400)))))
)
))"),"")</f>
        <v/>
      </c>
      <c r="S67" s="32" t="str">
        <f>IFERROR(__xludf.DUMMYFUNCTION("IF('Résultats des tournois'!R$2=0,"""",LET(
lastVal, INDEX(FILTER($B67:R67, ISNUMBER($B67:R67)), COUNTA(FILTER($B67:R67, ISNUMBER($B67:R67)))),
IFERROR(
IF('Résultats des tournois'!R67="""", INDEX(FILTER($C67:R67, ISNUMBER($C67:R67)), COUNTA(FILTER($C67:R"&amp;"67, ISNUMBER($C67:R67)))),
lastVal + 'K dynamique'!R67 * ((SQRT('Résultats des tournois'!R$2 + 1)/'Résultats des tournois'!R67) - (1 / (1 + 10^((R$103 - lastVal)/400)))))
)
))"),"")</f>
        <v/>
      </c>
      <c r="T67" s="32" t="str">
        <f>IFERROR(__xludf.DUMMYFUNCTION("IF('Résultats des tournois'!S$2=0,"""",LET(
lastVal, INDEX(FILTER($B67:S67, ISNUMBER($B67:S67)), COUNTA(FILTER($B67:S67, ISNUMBER($B67:S67)))),
IFERROR(
IF('Résultats des tournois'!S67="""", INDEX(FILTER($C67:S67, ISNUMBER($C67:S67)), COUNTA(FILTER($C67:S"&amp;"67, ISNUMBER($C67:S67)))),
lastVal + 'K dynamique'!S67 * ((SQRT('Résultats des tournois'!S$2 + 1)/'Résultats des tournois'!S67) - (1 / (1 + 10^((S$103 - lastVal)/400)))))
)
))"),"")</f>
        <v/>
      </c>
      <c r="U67" s="32" t="str">
        <f>IFERROR(__xludf.DUMMYFUNCTION("IF('Résultats des tournois'!T$2=0,"""",LET(
lastVal, INDEX(FILTER($B67:T67, ISNUMBER($B67:T67)), COUNTA(FILTER($B67:T67, ISNUMBER($B67:T67)))),
IFERROR(
IF('Résultats des tournois'!T67="""", INDEX(FILTER($C67:T67, ISNUMBER($C67:T67)), COUNTA(FILTER($C67:T"&amp;"67, ISNUMBER($C67:T67)))),
lastVal + 'K dynamique'!T67 * ((SQRT('Résultats des tournois'!T$2 + 1)/'Résultats des tournois'!T67) - (1 / (1 + 10^((T$103 - lastVal)/400)))))
)
))"),"")</f>
        <v/>
      </c>
      <c r="V67" s="32" t="str">
        <f>IFERROR(__xludf.DUMMYFUNCTION("IF('Résultats des tournois'!U$2=0,"""",LET(
lastVal, INDEX(FILTER($B67:U67, ISNUMBER($B67:U67)), COUNTA(FILTER($B67:U67, ISNUMBER($B67:U67)))),
IFERROR(
IF('Résultats des tournois'!U67="""", INDEX(FILTER($C67:U67, ISNUMBER($C67:U67)), COUNTA(FILTER($C67:U"&amp;"67, ISNUMBER($C67:U67)))),
lastVal + 'K dynamique'!U67 * ((SQRT('Résultats des tournois'!U$2 + 1)/'Résultats des tournois'!U67) - (1 / (1 + 10^((U$103 - lastVal)/400)))))
)
))"),"")</f>
        <v/>
      </c>
      <c r="W67" s="32" t="str">
        <f>IFERROR(__xludf.DUMMYFUNCTION("IF('Résultats des tournois'!V$2=0,"""",LET(
lastVal, INDEX(FILTER($B67:V67, ISNUMBER($B67:V67)), COUNTA(FILTER($B67:V67, ISNUMBER($B67:V67)))),
IFERROR(
IF('Résultats des tournois'!V67="""", INDEX(FILTER($C67:V67, ISNUMBER($C67:V67)), COUNTA(FILTER($C67:V"&amp;"67, ISNUMBER($C67:V67)))),
lastVal + 'K dynamique'!V67 * ((SQRT('Résultats des tournois'!V$2 + 1)/'Résultats des tournois'!V67) - (1 / (1 + 10^((V$103 - lastVal)/400)))))
)
))"),"")</f>
        <v/>
      </c>
      <c r="X67" s="32" t="str">
        <f>IFERROR(__xludf.DUMMYFUNCTION("IF('Résultats des tournois'!W$2=0,"""",LET(
lastVal, INDEX(FILTER($B67:W67, ISNUMBER($B67:W67)), COUNTA(FILTER($B67:W67, ISNUMBER($B67:W67)))),
IFERROR(
IF('Résultats des tournois'!W67="""", INDEX(FILTER($C67:W67, ISNUMBER($C67:W67)), COUNTA(FILTER($C67:W"&amp;"67, ISNUMBER($C67:W67)))),
lastVal + 'K dynamique'!W67 * ((SQRT('Résultats des tournois'!W$2 + 1)/'Résultats des tournois'!W67) - (1 / (1 + 10^((W$103 - lastVal)/400)))))
)
))"),"")</f>
        <v/>
      </c>
      <c r="Y67" s="32" t="str">
        <f>IFERROR(__xludf.DUMMYFUNCTION("IF('Résultats des tournois'!X$2=0,"""",LET(
lastVal, INDEX(FILTER($B67:X67, ISNUMBER($B67:X67)), COUNTA(FILTER($B67:X67, ISNUMBER($B67:X67)))),
IFERROR(
IF('Résultats des tournois'!X67="""", INDEX(FILTER($C67:X67, ISNUMBER($C67:X67)), COUNTA(FILTER($C67:X"&amp;"67, ISNUMBER($C67:X67)))),
lastVal + 'K dynamique'!X67 * ((SQRT('Résultats des tournois'!X$2 + 1)/'Résultats des tournois'!X67) - (1 / (1 + 10^((X$103 - lastVal)/400)))))
)
))"),"")</f>
        <v/>
      </c>
      <c r="Z67" s="32" t="str">
        <f>IFERROR(__xludf.DUMMYFUNCTION("IF('Résultats des tournois'!Y$2=0,"""",LET(
lastVal, INDEX(FILTER($B67:Y67, ISNUMBER($B67:Y67)), COUNTA(FILTER($B67:Y67, ISNUMBER($B67:Y67)))),
IFERROR(
IF('Résultats des tournois'!Y67="""", INDEX(FILTER($C67:Y67, ISNUMBER($C67:Y67)), COUNTA(FILTER($C67:Y"&amp;"67, ISNUMBER($C67:Y67)))),
lastVal + 'K dynamique'!Y67 * ((SQRT('Résultats des tournois'!Y$2 + 1)/'Résultats des tournois'!Y67) - (1 / (1 + 10^((Y$103 - lastVal)/400)))))
)
))"),"")</f>
        <v/>
      </c>
      <c r="AA67" s="32" t="str">
        <f>IFERROR(__xludf.DUMMYFUNCTION("IF('Résultats des tournois'!Z$2=0,"""",LET(
lastVal, INDEX(FILTER($B67:Z67, ISNUMBER($B67:Z67)), COUNTA(FILTER($B67:Z67, ISNUMBER($B67:Z67)))),
IFERROR(
IF('Résultats des tournois'!Z67="""", INDEX(FILTER($C67:Z67, ISNUMBER($C67:Z67)), COUNTA(FILTER($C67:Z"&amp;"67, ISNUMBER($C67:Z67)))),
lastVal + 'K dynamique'!Z67 * ((SQRT('Résultats des tournois'!Z$2 + 1)/'Résultats des tournois'!Z67) - (1 / (1 + 10^((Z$103 - lastVal)/400)))))
)
))"),"")</f>
        <v/>
      </c>
      <c r="AB67" s="32" t="str">
        <f>IFERROR(__xludf.DUMMYFUNCTION("IF('Résultats des tournois'!AA$2=0,"""",LET(
lastVal, INDEX(FILTER($B67:AA67, ISNUMBER($B67:AA67)), COUNTA(FILTER($B67:AA67, ISNUMBER($B67:AA67)))),
IFERROR(
IF('Résultats des tournois'!AA67="""", INDEX(FILTER($C67:AA67, ISNUMBER($C67:AA67)), COUNTA(FILTE"&amp;"R($C67:AA67, ISNUMBER($C67:AA67)))),
lastVal + 'K dynamique'!AA67 * ((SQRT('Résultats des tournois'!AA$2 + 1)/'Résultats des tournois'!AA67) - (1 / (1 + 10^((AA$103 - lastVal)/400)))))
)
))"),"")</f>
        <v/>
      </c>
      <c r="AC67" s="32" t="str">
        <f>IFERROR(__xludf.DUMMYFUNCTION("IF('Résultats des tournois'!AB$2=0,"""",LET(
lastVal, INDEX(FILTER($B67:AB67, ISNUMBER($B67:AB67)), COUNTA(FILTER($B67:AB67, ISNUMBER($B67:AB67)))),
IFERROR(
IF('Résultats des tournois'!AB67="""", INDEX(FILTER($C67:AB67, ISNUMBER($C67:AB67)), COUNTA(FILTE"&amp;"R($C67:AB67, ISNUMBER($C67:AB67)))),
lastVal + 'K dynamique'!AB67 * ((SQRT('Résultats des tournois'!AB$2 + 1)/'Résultats des tournois'!AB67) - (1 / (1 + 10^((AB$103 - lastVal)/400)))))
)
))"),"")</f>
        <v/>
      </c>
      <c r="AD67" s="32" t="str">
        <f>IFERROR(__xludf.DUMMYFUNCTION("IF('Résultats des tournois'!AC$2=0,"""",LET(
lastVal, INDEX(FILTER($B67:AC67, ISNUMBER($B67:AC67)), COUNTA(FILTER($B67:AC67, ISNUMBER($B67:AC67)))),
IFERROR(
IF('Résultats des tournois'!AC67="""", INDEX(FILTER($C67:AC67, ISNUMBER($C67:AC67)), COUNTA(FILTE"&amp;"R($C67:AC67, ISNUMBER($C67:AC67)))),
lastVal + 'K dynamique'!AC67 * ((SQRT('Résultats des tournois'!AC$2 + 1)/'Résultats des tournois'!AC67) - (1 / (1 + 10^((AC$103 - lastVal)/400)))))
)
))"),"")</f>
        <v/>
      </c>
      <c r="AE67" s="32" t="str">
        <f>IFERROR(__xludf.DUMMYFUNCTION("IF('Résultats des tournois'!AD$2=0,"""",LET(
lastVal, INDEX(FILTER($B67:AD67, ISNUMBER($B67:AD67)), COUNTA(FILTER($B67:AD67, ISNUMBER($B67:AD67)))),
IFERROR(
IF('Résultats des tournois'!AD67="""", INDEX(FILTER($C67:AD67, ISNUMBER($C67:AD67)), COUNTA(FILTE"&amp;"R($C67:AD67, ISNUMBER($C67:AD67)))),
lastVal + 'K dynamique'!AD67 * ((SQRT('Résultats des tournois'!AD$2 + 1)/'Résultats des tournois'!AD67) - (1 / (1 + 10^((AD$103 - lastVal)/400)))))
)
))"),"")</f>
        <v/>
      </c>
      <c r="AF67" s="32" t="str">
        <f>IFERROR(__xludf.DUMMYFUNCTION("IF('Résultats des tournois'!AE$2=0,"""",LET(
lastVal, INDEX(FILTER($B67:AE67, ISNUMBER($B67:AE67)), COUNTA(FILTER($B67:AE67, ISNUMBER($B67:AE67)))),
IFERROR(
IF('Résultats des tournois'!AE67="""", INDEX(FILTER($C67:AE67, ISNUMBER($C67:AE67)), COUNTA(FILTE"&amp;"R($C67:AE67, ISNUMBER($C67:AE67)))),
lastVal + 'K dynamique'!AE67 * ((SQRT('Résultats des tournois'!AE$2 + 1)/'Résultats des tournois'!AE67) - (1 / (1 + 10^((AE$103 - lastVal)/400)))))
)
))"),"")</f>
        <v/>
      </c>
      <c r="AG67" s="32" t="str">
        <f>IFERROR(__xludf.DUMMYFUNCTION("IF('Résultats des tournois'!AF$2=0,"""",LET(
lastVal, INDEX(FILTER($B67:AF67, ISNUMBER($B67:AF67)), COUNTA(FILTER($B67:AF67, ISNUMBER($B67:AF67)))),
IFERROR(
IF('Résultats des tournois'!AF67="""", INDEX(FILTER($C67:AF67, ISNUMBER($C67:AF67)), COUNTA(FILTE"&amp;"R($C67:AF67, ISNUMBER($C67:AF67)))),
lastVal + 'K dynamique'!AF67 * ((SQRT('Résultats des tournois'!AF$2 + 1)/'Résultats des tournois'!AF67) - (1 / (1 + 10^((AF$103 - lastVal)/400)))))
)
))"),"")</f>
        <v/>
      </c>
      <c r="AH67" s="32" t="str">
        <f>IFERROR(__xludf.DUMMYFUNCTION("IF('Résultats des tournois'!AG$2=0,"""",LET(
lastVal, INDEX(FILTER($B67:AG67, ISNUMBER($B67:AG67)), COUNTA(FILTER($B67:AG67, ISNUMBER($B67:AG67)))),
IFERROR(
IF('Résultats des tournois'!AG67="""", INDEX(FILTER($C67:AG67, ISNUMBER($C67:AG67)), COUNTA(FILTE"&amp;"R($C67:AG67, ISNUMBER($C67:AG67)))),
lastVal + 'K dynamique'!AG67 * ((SQRT('Résultats des tournois'!AG$2 + 1)/'Résultats des tournois'!AG67) - (1 / (1 + 10^((AG$103 - lastVal)/400)))))
)
))"),"")</f>
        <v/>
      </c>
      <c r="AI67" s="32" t="str">
        <f>IFERROR(__xludf.DUMMYFUNCTION("IF('Résultats des tournois'!AH$2=0,"""",LET(
lastVal, INDEX(FILTER($B67:AH67, ISNUMBER($B67:AH67)), COUNTA(FILTER($B67:AH67, ISNUMBER($B67:AH67)))),
IFERROR(
IF('Résultats des tournois'!AH67="""", INDEX(FILTER($C67:AH67, ISNUMBER($C67:AH67)), COUNTA(FILTE"&amp;"R($C67:AH67, ISNUMBER($C67:AH67)))),
lastVal + 'K dynamique'!AH67 * ((SQRT('Résultats des tournois'!AH$2 + 1)/'Résultats des tournois'!AH67) - (1 / (1 + 10^((AH$103 - lastVal)/400)))))
)
))"),"")</f>
        <v/>
      </c>
      <c r="AJ67" s="32" t="str">
        <f>IFERROR(__xludf.DUMMYFUNCTION("IF('Résultats des tournois'!AI$2=0,"""",LET(
lastVal, INDEX(FILTER($B67:AI67, ISNUMBER($B67:AI67)), COUNTA(FILTER($B67:AI67, ISNUMBER($B67:AI67)))),
IFERROR(
IF('Résultats des tournois'!AI67="""", INDEX(FILTER($C67:AI67, ISNUMBER($C67:AI67)), COUNTA(FILTE"&amp;"R($C67:AI67, ISNUMBER($C67:AI67)))),
lastVal + 'K dynamique'!AI67 * ((SQRT('Résultats des tournois'!AI$2 + 1)/'Résultats des tournois'!AI67) - (1 / (1 + 10^((AI$103 - lastVal)/400)))))
)
))"),"")</f>
        <v/>
      </c>
      <c r="AK67" s="32" t="str">
        <f>IFERROR(__xludf.DUMMYFUNCTION("IF('Résultats des tournois'!AJ$2=0,"""",LET(
lastVal, INDEX(FILTER($B67:AJ67, ISNUMBER($B67:AJ67)), COUNTA(FILTER($B67:AJ67, ISNUMBER($B67:AJ67)))),
IFERROR(
IF('Résultats des tournois'!AJ67="""", INDEX(FILTER($C67:AJ67, ISNUMBER($C67:AJ67)), COUNTA(FILTE"&amp;"R($C67:AJ67, ISNUMBER($C67:AJ67)))),
lastVal + 'K dynamique'!AJ67 * ((SQRT('Résultats des tournois'!AJ$2 + 1)/'Résultats des tournois'!AJ67) - (1 / (1 + 10^((AJ$103 - lastVal)/400)))))
)
))"),"")</f>
        <v/>
      </c>
      <c r="AL67" s="32" t="str">
        <f>IFERROR(__xludf.DUMMYFUNCTION("IF('Résultats des tournois'!AK$2=0,"""",LET(
lastVal, INDEX(FILTER($B67:AK67, ISNUMBER($B67:AK67)), COUNTA(FILTER($B67:AK67, ISNUMBER($B67:AK67)))),
IFERROR(
IF('Résultats des tournois'!AK67="""", INDEX(FILTER($C67:AK67, ISNUMBER($C67:AK67)), COUNTA(FILTE"&amp;"R($C67:AK67, ISNUMBER($C67:AK67)))),
lastVal + 'K dynamique'!AK67 * ((SQRT('Résultats des tournois'!AK$2 + 1)/'Résultats des tournois'!AK67) - (1 / (1 + 10^((AK$103 - lastVal)/400)))))
)
))"),"")</f>
        <v/>
      </c>
      <c r="AM67" s="32" t="str">
        <f>IFERROR(__xludf.DUMMYFUNCTION("IF('Résultats des tournois'!AL$2=0,"""",LET(
lastVal, INDEX(FILTER($B67:AL67, ISNUMBER($B67:AL67)), COUNTA(FILTER($B67:AL67, ISNUMBER($B67:AL67)))),
IFERROR(
IF('Résultats des tournois'!AL67="""", INDEX(FILTER($C67:AL67, ISNUMBER($C67:AL67)), COUNTA(FILTE"&amp;"R($C67:AL67, ISNUMBER($C67:AL67)))),
lastVal + 'K dynamique'!AL67 * ((SQRT('Résultats des tournois'!AL$2 + 1)/'Résultats des tournois'!AL67) - (1 / (1 + 10^((AL$103 - lastVal)/400)))))
)
))"),"")</f>
        <v/>
      </c>
      <c r="AN67" s="32" t="str">
        <f>IFERROR(__xludf.DUMMYFUNCTION("IF('Résultats des tournois'!AM$2=0,"""",LET(
lastVal, INDEX(FILTER($B67:AM67, ISNUMBER($B67:AM67)), COUNTA(FILTER($B67:AM67, ISNUMBER($B67:AM67)))),
IFERROR(
IF('Résultats des tournois'!AM67="""", INDEX(FILTER($C67:AM67, ISNUMBER($C67:AM67)), COUNTA(FILTE"&amp;"R($C67:AM67, ISNUMBER($C67:AM67)))),
lastVal + 'K dynamique'!AM67 * ((SQRT('Résultats des tournois'!AM$2 + 1)/'Résultats des tournois'!AM67) - (1 / (1 + 10^((AM$103 - lastVal)/400)))))
)
))"),"")</f>
        <v/>
      </c>
      <c r="AO67" s="32" t="str">
        <f>IFERROR(__xludf.DUMMYFUNCTION("IF('Résultats des tournois'!AN$2=0,"""",LET(
lastVal, INDEX(FILTER($B67:AN67, ISNUMBER($B67:AN67)), COUNTA(FILTER($B67:AN67, ISNUMBER($B67:AN67)))),
IFERROR(
IF('Résultats des tournois'!AN67="""", INDEX(FILTER($C67:AN67, ISNUMBER($C67:AN67)), COUNTA(FILTE"&amp;"R($C67:AN67, ISNUMBER($C67:AN67)))),
lastVal + 'K dynamique'!AN67 * ((SQRT('Résultats des tournois'!AN$2 + 1)/'Résultats des tournois'!AN67) - (1 / (1 + 10^((AN$103 - lastVal)/400)))))
)
))"),"")</f>
        <v/>
      </c>
      <c r="AP67" s="32" t="str">
        <f>IFERROR(__xludf.DUMMYFUNCTION("IF('Résultats des tournois'!AO$2=0,"""",LET(
lastVal, INDEX(FILTER($B67:AO67, ISNUMBER($B67:AO67)), COUNTA(FILTER($B67:AO67, ISNUMBER($B67:AO67)))),
IFERROR(
IF('Résultats des tournois'!AO67="""", INDEX(FILTER($C67:AO67, ISNUMBER($C67:AO67)), COUNTA(FILTE"&amp;"R($C67:AO67, ISNUMBER($C67:AO67)))),
lastVal + 'K dynamique'!AO67 * ((SQRT('Résultats des tournois'!AO$2 + 1)/'Résultats des tournois'!AO67) - (1 / (1 + 10^((AO$103 - lastVal)/400)))))
)
))"),"")</f>
        <v/>
      </c>
      <c r="AQ67" s="32" t="str">
        <f>IFERROR(__xludf.DUMMYFUNCTION("IF('Résultats des tournois'!AP$2=0,"""",LET(
lastVal, INDEX(FILTER($B67:AP67, ISNUMBER($B67:AP67)), COUNTA(FILTER($B67:AP67, ISNUMBER($B67:AP67)))),
IFERROR(
IF('Résultats des tournois'!AP67="""", INDEX(FILTER($C67:AP67, ISNUMBER($C67:AP67)), COUNTA(FILTE"&amp;"R($C67:AP67, ISNUMBER($C67:AP67)))),
lastVal + 'K dynamique'!AP67 * ((SQRT('Résultats des tournois'!AP$2 + 1)/'Résultats des tournois'!AP67) - (1 / (1 + 10^((AP$103 - lastVal)/400)))))
)
))"),"")</f>
        <v/>
      </c>
      <c r="AR67" s="32" t="str">
        <f>IFERROR(__xludf.DUMMYFUNCTION("IF('Résultats des tournois'!AQ$2=0,"""",LET(
lastVal, INDEX(FILTER($B67:AQ67, ISNUMBER($B67:AQ67)), COUNTA(FILTER($B67:AQ67, ISNUMBER($B67:AQ67)))),
IFERROR(
IF('Résultats des tournois'!AQ67="""", INDEX(FILTER($C67:AQ67, ISNUMBER($C67:AQ67)), COUNTA(FILTE"&amp;"R($C67:AQ67, ISNUMBER($C67:AQ67)))),
lastVal + 'K dynamique'!AQ67 * ((SQRT('Résultats des tournois'!AQ$2 + 1)/'Résultats des tournois'!AQ67) - (1 / (1 + 10^((AQ$103 - lastVal)/400)))))
)
))"),"")</f>
        <v/>
      </c>
      <c r="AS67" s="32" t="str">
        <f>IFERROR(__xludf.DUMMYFUNCTION("IF('Résultats des tournois'!AR$2=0,"""",LET(
lastVal, INDEX(FILTER($B67:AR67, ISNUMBER($B67:AR67)), COUNTA(FILTER($B67:AR67, ISNUMBER($B67:AR67)))),
IFERROR(
IF('Résultats des tournois'!AR67="""", INDEX(FILTER($C67:AR67, ISNUMBER($C67:AR67)), COUNTA(FILTE"&amp;"R($C67:AR67, ISNUMBER($C67:AR67)))),
lastVal + 'K dynamique'!AR67 * ((SQRT('Résultats des tournois'!AR$2 + 1)/'Résultats des tournois'!AR67) - (1 / (1 + 10^((AR$103 - lastVal)/400)))))
)
))"),"")</f>
        <v/>
      </c>
      <c r="AT67" s="32" t="str">
        <f>IFERROR(__xludf.DUMMYFUNCTION("IF('Résultats des tournois'!AS$2=0,"""",LET(
lastVal, INDEX(FILTER($B67:AS67, ISNUMBER($B67:AS67)), COUNTA(FILTER($B67:AS67, ISNUMBER($B67:AS67)))),
IFERROR(
IF('Résultats des tournois'!AS67="""", INDEX(FILTER($C67:AS67, ISNUMBER($C67:AS67)), COUNTA(FILTE"&amp;"R($C67:AS67, ISNUMBER($C67:AS67)))),
lastVal + 'K dynamique'!AS67 * ((SQRT('Résultats des tournois'!AS$2 + 1)/'Résultats des tournois'!AS67) - (1 / (1 + 10^((AS$103 - lastVal)/400)))))
)
))"),"")</f>
        <v/>
      </c>
      <c r="AU67" s="32" t="str">
        <f>IFERROR(__xludf.DUMMYFUNCTION("IF('Résultats des tournois'!AT$2=0,"""",LET(
lastVal, INDEX(FILTER($B67:AT67, ISNUMBER($B67:AT67)), COUNTA(FILTER($B67:AT67, ISNUMBER($B67:AT67)))),
IFERROR(
IF('Résultats des tournois'!AT67="""", INDEX(FILTER($C67:AT67, ISNUMBER($C67:AT67)), COUNTA(FILTE"&amp;"R($C67:AT67, ISNUMBER($C67:AT67)))),
lastVal + 'K dynamique'!AT67 * ((SQRT('Résultats des tournois'!AT$2 + 1)/'Résultats des tournois'!AT67) - (1 / (1 + 10^((AT$103 - lastVal)/400)))))
)
))"),"")</f>
        <v/>
      </c>
      <c r="AV67" s="32" t="str">
        <f>IFERROR(__xludf.DUMMYFUNCTION("IF('Résultats des tournois'!AU$2=0,"""",LET(
lastVal, INDEX(FILTER($B67:AU67, ISNUMBER($B67:AU67)), COUNTA(FILTER($B67:AU67, ISNUMBER($B67:AU67)))),
IFERROR(
IF('Résultats des tournois'!AU67="""", INDEX(FILTER($C67:AU67, ISNUMBER($C67:AU67)), COUNTA(FILTE"&amp;"R($C67:AU67, ISNUMBER($C67:AU67)))),
lastVal + 'K dynamique'!AU67 * ((SQRT('Résultats des tournois'!AU$2 + 1)/'Résultats des tournois'!AU67) - (1 / (1 + 10^((AU$103 - lastVal)/400)))))
)
))"),"")</f>
        <v/>
      </c>
      <c r="AW67" s="32" t="str">
        <f>IFERROR(__xludf.DUMMYFUNCTION("IF('Résultats des tournois'!AV$2=0,"""",LET(
lastVal, INDEX(FILTER($B67:AV67, ISNUMBER($B67:AV67)), COUNTA(FILTER($B67:AV67, ISNUMBER($B67:AV67)))),
IFERROR(
IF('Résultats des tournois'!AV67="""", INDEX(FILTER($C67:AV67, ISNUMBER($C67:AV67)), COUNTA(FILTE"&amp;"R($C67:AV67, ISNUMBER($C67:AV67)))),
lastVal + 'K dynamique'!AV67 * ((SQRT('Résultats des tournois'!AV$2 + 1)/'Résultats des tournois'!AV67) - (1 / (1 + 10^((AV$103 - lastVal)/400)))))
)
))"),"")</f>
        <v/>
      </c>
      <c r="AX67" s="32" t="str">
        <f>IFERROR(__xludf.DUMMYFUNCTION("IF('Résultats des tournois'!AW$2=0,"""",LET(
lastVal, INDEX(FILTER($B67:AW67, ISNUMBER($B67:AW67)), COUNTA(FILTER($B67:AW67, ISNUMBER($B67:AW67)))),
IFERROR(
IF('Résultats des tournois'!AW67="""", INDEX(FILTER($C67:AW67, ISNUMBER($C67:AW67)), COUNTA(FILTE"&amp;"R($C67:AW67, ISNUMBER($C67:AW67)))),
lastVal + 'K dynamique'!AW67 * ((SQRT('Résultats des tournois'!AW$2 + 1)/'Résultats des tournois'!AW67) - (1 / (1 + 10^((AW$103 - lastVal)/400)))))
)
))"),"")</f>
        <v/>
      </c>
      <c r="AY67" s="32" t="str">
        <f>IFERROR(__xludf.DUMMYFUNCTION("IF('Résultats des tournois'!AX$2=0,"""",LET(
lastVal, INDEX(FILTER($B67:AX67, ISNUMBER($B67:AX67)), COUNTA(FILTER($B67:AX67, ISNUMBER($B67:AX67)))),
IFERROR(
IF('Résultats des tournois'!AX67="""", INDEX(FILTER($C67:AX67, ISNUMBER($C67:AX67)), COUNTA(FILTE"&amp;"R($C67:AX67, ISNUMBER($C67:AX67)))),
lastVal + 'K dynamique'!AX67 * ((SQRT('Résultats des tournois'!AX$2 + 1)/'Résultats des tournois'!AX67) - (1 / (1 + 10^((AX$103 - lastVal)/400)))))
)
))"),"")</f>
        <v/>
      </c>
      <c r="AZ67" s="4" t="str">
        <f t="array" ref="AZ67">IF(MAX(($C67:AY67&lt;&gt;"")*COLUMN($C67:AY67))=0,"",INDEX($C67:AY67,1,MAX(($C67:AY67&lt;&gt;"")*COLUMN($C67:AY67))-COLUMN($C67)+1))</f>
        <v/>
      </c>
      <c r="BA67" s="33" t="str">
        <f t="shared" si="1"/>
        <v/>
      </c>
    </row>
    <row r="68" ht="14.25" customHeight="1">
      <c r="A68" s="32" t="str">
        <f>IF('Résultats des tournois'!A68="","",'Résultats des tournois'!A68)</f>
        <v/>
      </c>
      <c r="B68" s="32">
        <v>1500.0</v>
      </c>
      <c r="C68" s="32" t="str">
        <f>IF('Résultats des tournois'!B68="","",B68+'K dynamique'!B68*((SQRT('Résultats des tournois'!B$2+1)/'Résultats des tournois'!B68)-(1/(1+10^((B68-B68)/400)))))</f>
        <v/>
      </c>
      <c r="D68" s="32" t="str">
        <f>IFERROR(__xludf.DUMMYFUNCTION("IF('Résultats des tournois'!C$2=0,"""",LET(
lastVal, INDEX(FILTER($B68:C68, ISNUMBER($B68:C68)), COUNTA(FILTER($B68:C68, ISNUMBER($B68:C68)))),
IFERROR(
IF('Résultats des tournois'!C68="""", INDEX(FILTER($C68:C68, ISNUMBER($C68:C68)), COUNTA(FILTER($C68:C"&amp;"68, ISNUMBER($C68:C68)))),
lastVal + 'K dynamique'!C68 * ((SQRT('Résultats des tournois'!C$2 + 1)/'Résultats des tournois'!C68) - (1 / (1 + 10^((C$103 - lastVal)/400)))))
)
))"),"")</f>
        <v/>
      </c>
      <c r="E68" s="32" t="str">
        <f>IFERROR(__xludf.DUMMYFUNCTION("IF('Résultats des tournois'!D$2=0,"""",LET(
lastVal, INDEX(FILTER($B68:D68, ISNUMBER($B68:D68)), COUNTA(FILTER($B68:D68, ISNUMBER($B68:D68)))),
IFERROR(
IF('Résultats des tournois'!D68="""", INDEX(FILTER($C68:D68, ISNUMBER($C68:D68)), COUNTA(FILTER($C68:D"&amp;"68, ISNUMBER($C68:D68)))),
lastVal + 'K dynamique'!D68 * ((SQRT('Résultats des tournois'!D$2 + 1)/'Résultats des tournois'!D68) - (1 / (1 + 10^((D$103 - lastVal)/400)))))
)
))"),"")</f>
        <v/>
      </c>
      <c r="F68" s="32" t="str">
        <f>IFERROR(__xludf.DUMMYFUNCTION("IF('Résultats des tournois'!E$2=0,"""",LET(
lastVal, INDEX(FILTER($B68:E68, ISNUMBER($B68:E68)), COUNTA(FILTER($B68:E68, ISNUMBER($B68:E68)))),
IFERROR(
IF('Résultats des tournois'!E68="""", INDEX(FILTER($C68:E68, ISNUMBER($C68:E68)), COUNTA(FILTER($C68:E"&amp;"68, ISNUMBER($C68:E68)))),
lastVal + 'K dynamique'!E68 * ((SQRT('Résultats des tournois'!E$2 + 1)/'Résultats des tournois'!E68) - (1 / (1 + 10^((E$103 - lastVal)/400)))))
)
))"),"")</f>
        <v/>
      </c>
      <c r="G68" s="32" t="str">
        <f>IFERROR(__xludf.DUMMYFUNCTION("IF('Résultats des tournois'!F$2=0,"""",LET(
lastVal, INDEX(FILTER($B68:F68, ISNUMBER($B68:F68)), COUNTA(FILTER($B68:F68, ISNUMBER($B68:F68)))),
IFERROR(
IF('Résultats des tournois'!F68="""", INDEX(FILTER($C68:F68, ISNUMBER($C68:F68)), COUNTA(FILTER($C68:F"&amp;"68, ISNUMBER($C68:F68)))),
lastVal + 'K dynamique'!F68 * ((SQRT('Résultats des tournois'!F$2 + 1)/'Résultats des tournois'!F68) - (1 / (1 + 10^((F$103 - lastVal)/400)))))
)
))"),"")</f>
        <v/>
      </c>
      <c r="H68" s="32" t="str">
        <f>IFERROR(__xludf.DUMMYFUNCTION("IF('Résultats des tournois'!G$2=0,"""",LET(
lastVal, INDEX(FILTER($B68:G68, ISNUMBER($B68:G68)), COUNTA(FILTER($B68:G68, ISNUMBER($B68:G68)))),
IFERROR(
IF('Résultats des tournois'!G68="""", INDEX(FILTER($C68:G68, ISNUMBER($C68:G68)), COUNTA(FILTER($C68:G"&amp;"68, ISNUMBER($C68:G68)))),
lastVal + 'K dynamique'!G68 * ((SQRT('Résultats des tournois'!G$2 + 1)/'Résultats des tournois'!G68) - (1 / (1 + 10^((G$103 - lastVal)/400)))))
)
))"),"")</f>
        <v/>
      </c>
      <c r="I68" s="32" t="str">
        <f>IFERROR(__xludf.DUMMYFUNCTION("IF('Résultats des tournois'!H$2=0,"""",LET(
lastVal, INDEX(FILTER($B68:H68, ISNUMBER($B68:H68)), COUNTA(FILTER($B68:H68, ISNUMBER($B68:H68)))),
IFERROR(
IF('Résultats des tournois'!H68="""", INDEX(FILTER($C68:H68, ISNUMBER($C68:H68)), COUNTA(FILTER($C68:H"&amp;"68, ISNUMBER($C68:H68)))),
lastVal + 'K dynamique'!H68 * ((SQRT('Résultats des tournois'!H$2 + 1)/'Résultats des tournois'!H68) - (1 / (1 + 10^((H$103 - lastVal)/400)))))
)
))"),"")</f>
        <v/>
      </c>
      <c r="J68" s="32" t="str">
        <f>IFERROR(__xludf.DUMMYFUNCTION("IF('Résultats des tournois'!I$2=0,"""",LET(
lastVal, INDEX(FILTER($B68:I68, ISNUMBER($B68:I68)), COUNTA(FILTER($B68:I68, ISNUMBER($B68:I68)))),
IFERROR(
IF('Résultats des tournois'!I68="""", INDEX(FILTER($C68:I68, ISNUMBER($C68:I68)), COUNTA(FILTER($C68:I"&amp;"68, ISNUMBER($C68:I68)))),
lastVal + 'K dynamique'!I68 * ((SQRT('Résultats des tournois'!I$2 + 1)/'Résultats des tournois'!I68) - (1 / (1 + 10^((I$103 - lastVal)/400)))))
)
))"),"")</f>
        <v/>
      </c>
      <c r="K68" s="32" t="str">
        <f>IFERROR(__xludf.DUMMYFUNCTION("IF('Résultats des tournois'!J$2=0,"""",LET(
lastVal, INDEX(FILTER($B68:J68, ISNUMBER($B68:J68)), COUNTA(FILTER($B68:J68, ISNUMBER($B68:J68)))),
IFERROR(
IF('Résultats des tournois'!J68="""", INDEX(FILTER($C68:J68, ISNUMBER($C68:J68)), COUNTA(FILTER($C68:J"&amp;"68, ISNUMBER($C68:J68)))),
lastVal + 'K dynamique'!J68 * ((SQRT('Résultats des tournois'!J$2 + 1)/'Résultats des tournois'!J68) - (1 / (1 + 10^((J$103 - lastVal)/400)))))
)
))"),"")</f>
        <v/>
      </c>
      <c r="L68" s="32" t="str">
        <f>IFERROR(__xludf.DUMMYFUNCTION("IF('Résultats des tournois'!K$2=0,"""",LET(
lastVal, INDEX(FILTER($B68:K68, ISNUMBER($B68:K68)), COUNTA(FILTER($B68:K68, ISNUMBER($B68:K68)))),
IFERROR(
IF('Résultats des tournois'!K68="""", INDEX(FILTER($C68:K68, ISNUMBER($C68:K68)), COUNTA(FILTER($C68:K"&amp;"68, ISNUMBER($C68:K68)))),
lastVal + 'K dynamique'!K68 * ((SQRT('Résultats des tournois'!K$2 + 1)/'Résultats des tournois'!K68) - (1 / (1 + 10^((K$103 - lastVal)/400)))))
)
))"),"")</f>
        <v/>
      </c>
      <c r="M68" s="32" t="str">
        <f>IFERROR(__xludf.DUMMYFUNCTION("IF('Résultats des tournois'!L$2=0,"""",LET(
lastVal, INDEX(FILTER($B68:L68, ISNUMBER($B68:L68)), COUNTA(FILTER($B68:L68, ISNUMBER($B68:L68)))),
IFERROR(
IF('Résultats des tournois'!L68="""", INDEX(FILTER($C68:L68, ISNUMBER($C68:L68)), COUNTA(FILTER($C68:L"&amp;"68, ISNUMBER($C68:L68)))),
lastVal + 'K dynamique'!L68 * ((SQRT('Résultats des tournois'!L$2 + 1)/'Résultats des tournois'!L68) - (1 / (1 + 10^((L$103 - lastVal)/400)))))
)
))"),"")</f>
        <v/>
      </c>
      <c r="N68" s="32" t="str">
        <f>IFERROR(__xludf.DUMMYFUNCTION("IF('Résultats des tournois'!M$2=0,"""",LET(
lastVal, INDEX(FILTER($B68:M68, ISNUMBER($B68:M68)), COUNTA(FILTER($B68:M68, ISNUMBER($B68:M68)))),
IFERROR(
IF('Résultats des tournois'!M68="""", INDEX(FILTER($C68:M68, ISNUMBER($C68:M68)), COUNTA(FILTER($C68:M"&amp;"68, ISNUMBER($C68:M68)))),
lastVal + 'K dynamique'!M68 * ((SQRT('Résultats des tournois'!M$2 + 1)/'Résultats des tournois'!M68) - (1 / (1 + 10^((M$103 - lastVal)/400)))))
)
))"),"")</f>
        <v/>
      </c>
      <c r="O68" s="32" t="str">
        <f>IFERROR(__xludf.DUMMYFUNCTION("IF('Résultats des tournois'!N$2=0,"""",LET(
lastVal, INDEX(FILTER($B68:N68, ISNUMBER($B68:N68)), COUNTA(FILTER($B68:N68, ISNUMBER($B68:N68)))),
IFERROR(
IF('Résultats des tournois'!N68="""", INDEX(FILTER($C68:N68, ISNUMBER($C68:N68)), COUNTA(FILTER($C68:N"&amp;"68, ISNUMBER($C68:N68)))),
lastVal + 'K dynamique'!N68 * ((SQRT('Résultats des tournois'!N$2 + 1)/'Résultats des tournois'!N68) - (1 / (1 + 10^((N$103 - lastVal)/400)))))
)
))"),"")</f>
        <v/>
      </c>
      <c r="P68" s="32" t="str">
        <f>IFERROR(__xludf.DUMMYFUNCTION("IF('Résultats des tournois'!O$2=0,"""",LET(
lastVal, INDEX(FILTER($B68:O68, ISNUMBER($B68:O68)), COUNTA(FILTER($B68:O68, ISNUMBER($B68:O68)))),
IFERROR(
IF('Résultats des tournois'!O68="""", INDEX(FILTER($C68:O68, ISNUMBER($C68:O68)), COUNTA(FILTER($C68:O"&amp;"68, ISNUMBER($C68:O68)))),
lastVal + 'K dynamique'!O68 * ((SQRT('Résultats des tournois'!O$2 + 1)/'Résultats des tournois'!O68) - (1 / (1 + 10^((O$103 - lastVal)/400)))))
)
))"),"")</f>
        <v/>
      </c>
      <c r="Q68" s="32" t="str">
        <f>IFERROR(__xludf.DUMMYFUNCTION("IF('Résultats des tournois'!P$2=0,"""",LET(
lastVal, INDEX(FILTER($B68:P68, ISNUMBER($B68:P68)), COUNTA(FILTER($B68:P68, ISNUMBER($B68:P68)))),
IFERROR(
IF('Résultats des tournois'!P68="""", INDEX(FILTER($C68:P68, ISNUMBER($C68:P68)), COUNTA(FILTER($C68:P"&amp;"68, ISNUMBER($C68:P68)))),
lastVal + 'K dynamique'!P68 * ((SQRT('Résultats des tournois'!P$2 + 1)/'Résultats des tournois'!P68) - (1 / (1 + 10^((P$103 - lastVal)/400)))))
)
))"),"")</f>
        <v/>
      </c>
      <c r="R68" s="32" t="str">
        <f>IFERROR(__xludf.DUMMYFUNCTION("IF('Résultats des tournois'!Q$2=0,"""",LET(
lastVal, INDEX(FILTER($B68:Q68, ISNUMBER($B68:Q68)), COUNTA(FILTER($B68:Q68, ISNUMBER($B68:Q68)))),
IFERROR(
IF('Résultats des tournois'!Q68="""", INDEX(FILTER($C68:Q68, ISNUMBER($C68:Q68)), COUNTA(FILTER($C68:Q"&amp;"68, ISNUMBER($C68:Q68)))),
lastVal + 'K dynamique'!Q68 * ((SQRT('Résultats des tournois'!Q$2 + 1)/'Résultats des tournois'!Q68) - (1 / (1 + 10^((Q$103 - lastVal)/400)))))
)
))"),"")</f>
        <v/>
      </c>
      <c r="S68" s="32" t="str">
        <f>IFERROR(__xludf.DUMMYFUNCTION("IF('Résultats des tournois'!R$2=0,"""",LET(
lastVal, INDEX(FILTER($B68:R68, ISNUMBER($B68:R68)), COUNTA(FILTER($B68:R68, ISNUMBER($B68:R68)))),
IFERROR(
IF('Résultats des tournois'!R68="""", INDEX(FILTER($C68:R68, ISNUMBER($C68:R68)), COUNTA(FILTER($C68:R"&amp;"68, ISNUMBER($C68:R68)))),
lastVal + 'K dynamique'!R68 * ((SQRT('Résultats des tournois'!R$2 + 1)/'Résultats des tournois'!R68) - (1 / (1 + 10^((R$103 - lastVal)/400)))))
)
))"),"")</f>
        <v/>
      </c>
      <c r="T68" s="32" t="str">
        <f>IFERROR(__xludf.DUMMYFUNCTION("IF('Résultats des tournois'!S$2=0,"""",LET(
lastVal, INDEX(FILTER($B68:S68, ISNUMBER($B68:S68)), COUNTA(FILTER($B68:S68, ISNUMBER($B68:S68)))),
IFERROR(
IF('Résultats des tournois'!S68="""", INDEX(FILTER($C68:S68, ISNUMBER($C68:S68)), COUNTA(FILTER($C68:S"&amp;"68, ISNUMBER($C68:S68)))),
lastVal + 'K dynamique'!S68 * ((SQRT('Résultats des tournois'!S$2 + 1)/'Résultats des tournois'!S68) - (1 / (1 + 10^((S$103 - lastVal)/400)))))
)
))"),"")</f>
        <v/>
      </c>
      <c r="U68" s="32" t="str">
        <f>IFERROR(__xludf.DUMMYFUNCTION("IF('Résultats des tournois'!T$2=0,"""",LET(
lastVal, INDEX(FILTER($B68:T68, ISNUMBER($B68:T68)), COUNTA(FILTER($B68:T68, ISNUMBER($B68:T68)))),
IFERROR(
IF('Résultats des tournois'!T68="""", INDEX(FILTER($C68:T68, ISNUMBER($C68:T68)), COUNTA(FILTER($C68:T"&amp;"68, ISNUMBER($C68:T68)))),
lastVal + 'K dynamique'!T68 * ((SQRT('Résultats des tournois'!T$2 + 1)/'Résultats des tournois'!T68) - (1 / (1 + 10^((T$103 - lastVal)/400)))))
)
))"),"")</f>
        <v/>
      </c>
      <c r="V68" s="32" t="str">
        <f>IFERROR(__xludf.DUMMYFUNCTION("IF('Résultats des tournois'!U$2=0,"""",LET(
lastVal, INDEX(FILTER($B68:U68, ISNUMBER($B68:U68)), COUNTA(FILTER($B68:U68, ISNUMBER($B68:U68)))),
IFERROR(
IF('Résultats des tournois'!U68="""", INDEX(FILTER($C68:U68, ISNUMBER($C68:U68)), COUNTA(FILTER($C68:U"&amp;"68, ISNUMBER($C68:U68)))),
lastVal + 'K dynamique'!U68 * ((SQRT('Résultats des tournois'!U$2 + 1)/'Résultats des tournois'!U68) - (1 / (1 + 10^((U$103 - lastVal)/400)))))
)
))"),"")</f>
        <v/>
      </c>
      <c r="W68" s="32" t="str">
        <f>IFERROR(__xludf.DUMMYFUNCTION("IF('Résultats des tournois'!V$2=0,"""",LET(
lastVal, INDEX(FILTER($B68:V68, ISNUMBER($B68:V68)), COUNTA(FILTER($B68:V68, ISNUMBER($B68:V68)))),
IFERROR(
IF('Résultats des tournois'!V68="""", INDEX(FILTER($C68:V68, ISNUMBER($C68:V68)), COUNTA(FILTER($C68:V"&amp;"68, ISNUMBER($C68:V68)))),
lastVal + 'K dynamique'!V68 * ((SQRT('Résultats des tournois'!V$2 + 1)/'Résultats des tournois'!V68) - (1 / (1 + 10^((V$103 - lastVal)/400)))))
)
))"),"")</f>
        <v/>
      </c>
      <c r="X68" s="32" t="str">
        <f>IFERROR(__xludf.DUMMYFUNCTION("IF('Résultats des tournois'!W$2=0,"""",LET(
lastVal, INDEX(FILTER($B68:W68, ISNUMBER($B68:W68)), COUNTA(FILTER($B68:W68, ISNUMBER($B68:W68)))),
IFERROR(
IF('Résultats des tournois'!W68="""", INDEX(FILTER($C68:W68, ISNUMBER($C68:W68)), COUNTA(FILTER($C68:W"&amp;"68, ISNUMBER($C68:W68)))),
lastVal + 'K dynamique'!W68 * ((SQRT('Résultats des tournois'!W$2 + 1)/'Résultats des tournois'!W68) - (1 / (1 + 10^((W$103 - lastVal)/400)))))
)
))"),"")</f>
        <v/>
      </c>
      <c r="Y68" s="32" t="str">
        <f>IFERROR(__xludf.DUMMYFUNCTION("IF('Résultats des tournois'!X$2=0,"""",LET(
lastVal, INDEX(FILTER($B68:X68, ISNUMBER($B68:X68)), COUNTA(FILTER($B68:X68, ISNUMBER($B68:X68)))),
IFERROR(
IF('Résultats des tournois'!X68="""", INDEX(FILTER($C68:X68, ISNUMBER($C68:X68)), COUNTA(FILTER($C68:X"&amp;"68, ISNUMBER($C68:X68)))),
lastVal + 'K dynamique'!X68 * ((SQRT('Résultats des tournois'!X$2 + 1)/'Résultats des tournois'!X68) - (1 / (1 + 10^((X$103 - lastVal)/400)))))
)
))"),"")</f>
        <v/>
      </c>
      <c r="Z68" s="32" t="str">
        <f>IFERROR(__xludf.DUMMYFUNCTION("IF('Résultats des tournois'!Y$2=0,"""",LET(
lastVal, INDEX(FILTER($B68:Y68, ISNUMBER($B68:Y68)), COUNTA(FILTER($B68:Y68, ISNUMBER($B68:Y68)))),
IFERROR(
IF('Résultats des tournois'!Y68="""", INDEX(FILTER($C68:Y68, ISNUMBER($C68:Y68)), COUNTA(FILTER($C68:Y"&amp;"68, ISNUMBER($C68:Y68)))),
lastVal + 'K dynamique'!Y68 * ((SQRT('Résultats des tournois'!Y$2 + 1)/'Résultats des tournois'!Y68) - (1 / (1 + 10^((Y$103 - lastVal)/400)))))
)
))"),"")</f>
        <v/>
      </c>
      <c r="AA68" s="32" t="str">
        <f>IFERROR(__xludf.DUMMYFUNCTION("IF('Résultats des tournois'!Z$2=0,"""",LET(
lastVal, INDEX(FILTER($B68:Z68, ISNUMBER($B68:Z68)), COUNTA(FILTER($B68:Z68, ISNUMBER($B68:Z68)))),
IFERROR(
IF('Résultats des tournois'!Z68="""", INDEX(FILTER($C68:Z68, ISNUMBER($C68:Z68)), COUNTA(FILTER($C68:Z"&amp;"68, ISNUMBER($C68:Z68)))),
lastVal + 'K dynamique'!Z68 * ((SQRT('Résultats des tournois'!Z$2 + 1)/'Résultats des tournois'!Z68) - (1 / (1 + 10^((Z$103 - lastVal)/400)))))
)
))"),"")</f>
        <v/>
      </c>
      <c r="AB68" s="32" t="str">
        <f>IFERROR(__xludf.DUMMYFUNCTION("IF('Résultats des tournois'!AA$2=0,"""",LET(
lastVal, INDEX(FILTER($B68:AA68, ISNUMBER($B68:AA68)), COUNTA(FILTER($B68:AA68, ISNUMBER($B68:AA68)))),
IFERROR(
IF('Résultats des tournois'!AA68="""", INDEX(FILTER($C68:AA68, ISNUMBER($C68:AA68)), COUNTA(FILTE"&amp;"R($C68:AA68, ISNUMBER($C68:AA68)))),
lastVal + 'K dynamique'!AA68 * ((SQRT('Résultats des tournois'!AA$2 + 1)/'Résultats des tournois'!AA68) - (1 / (1 + 10^((AA$103 - lastVal)/400)))))
)
))"),"")</f>
        <v/>
      </c>
      <c r="AC68" s="32" t="str">
        <f>IFERROR(__xludf.DUMMYFUNCTION("IF('Résultats des tournois'!AB$2=0,"""",LET(
lastVal, INDEX(FILTER($B68:AB68, ISNUMBER($B68:AB68)), COUNTA(FILTER($B68:AB68, ISNUMBER($B68:AB68)))),
IFERROR(
IF('Résultats des tournois'!AB68="""", INDEX(FILTER($C68:AB68, ISNUMBER($C68:AB68)), COUNTA(FILTE"&amp;"R($C68:AB68, ISNUMBER($C68:AB68)))),
lastVal + 'K dynamique'!AB68 * ((SQRT('Résultats des tournois'!AB$2 + 1)/'Résultats des tournois'!AB68) - (1 / (1 + 10^((AB$103 - lastVal)/400)))))
)
))"),"")</f>
        <v/>
      </c>
      <c r="AD68" s="32" t="str">
        <f>IFERROR(__xludf.DUMMYFUNCTION("IF('Résultats des tournois'!AC$2=0,"""",LET(
lastVal, INDEX(FILTER($B68:AC68, ISNUMBER($B68:AC68)), COUNTA(FILTER($B68:AC68, ISNUMBER($B68:AC68)))),
IFERROR(
IF('Résultats des tournois'!AC68="""", INDEX(FILTER($C68:AC68, ISNUMBER($C68:AC68)), COUNTA(FILTE"&amp;"R($C68:AC68, ISNUMBER($C68:AC68)))),
lastVal + 'K dynamique'!AC68 * ((SQRT('Résultats des tournois'!AC$2 + 1)/'Résultats des tournois'!AC68) - (1 / (1 + 10^((AC$103 - lastVal)/400)))))
)
))"),"")</f>
        <v/>
      </c>
      <c r="AE68" s="32" t="str">
        <f>IFERROR(__xludf.DUMMYFUNCTION("IF('Résultats des tournois'!AD$2=0,"""",LET(
lastVal, INDEX(FILTER($B68:AD68, ISNUMBER($B68:AD68)), COUNTA(FILTER($B68:AD68, ISNUMBER($B68:AD68)))),
IFERROR(
IF('Résultats des tournois'!AD68="""", INDEX(FILTER($C68:AD68, ISNUMBER($C68:AD68)), COUNTA(FILTE"&amp;"R($C68:AD68, ISNUMBER($C68:AD68)))),
lastVal + 'K dynamique'!AD68 * ((SQRT('Résultats des tournois'!AD$2 + 1)/'Résultats des tournois'!AD68) - (1 / (1 + 10^((AD$103 - lastVal)/400)))))
)
))"),"")</f>
        <v/>
      </c>
      <c r="AF68" s="32" t="str">
        <f>IFERROR(__xludf.DUMMYFUNCTION("IF('Résultats des tournois'!AE$2=0,"""",LET(
lastVal, INDEX(FILTER($B68:AE68, ISNUMBER($B68:AE68)), COUNTA(FILTER($B68:AE68, ISNUMBER($B68:AE68)))),
IFERROR(
IF('Résultats des tournois'!AE68="""", INDEX(FILTER($C68:AE68, ISNUMBER($C68:AE68)), COUNTA(FILTE"&amp;"R($C68:AE68, ISNUMBER($C68:AE68)))),
lastVal + 'K dynamique'!AE68 * ((SQRT('Résultats des tournois'!AE$2 + 1)/'Résultats des tournois'!AE68) - (1 / (1 + 10^((AE$103 - lastVal)/400)))))
)
))"),"")</f>
        <v/>
      </c>
      <c r="AG68" s="32" t="str">
        <f>IFERROR(__xludf.DUMMYFUNCTION("IF('Résultats des tournois'!AF$2=0,"""",LET(
lastVal, INDEX(FILTER($B68:AF68, ISNUMBER($B68:AF68)), COUNTA(FILTER($B68:AF68, ISNUMBER($B68:AF68)))),
IFERROR(
IF('Résultats des tournois'!AF68="""", INDEX(FILTER($C68:AF68, ISNUMBER($C68:AF68)), COUNTA(FILTE"&amp;"R($C68:AF68, ISNUMBER($C68:AF68)))),
lastVal + 'K dynamique'!AF68 * ((SQRT('Résultats des tournois'!AF$2 + 1)/'Résultats des tournois'!AF68) - (1 / (1 + 10^((AF$103 - lastVal)/400)))))
)
))"),"")</f>
        <v/>
      </c>
      <c r="AH68" s="32" t="str">
        <f>IFERROR(__xludf.DUMMYFUNCTION("IF('Résultats des tournois'!AG$2=0,"""",LET(
lastVal, INDEX(FILTER($B68:AG68, ISNUMBER($B68:AG68)), COUNTA(FILTER($B68:AG68, ISNUMBER($B68:AG68)))),
IFERROR(
IF('Résultats des tournois'!AG68="""", INDEX(FILTER($C68:AG68, ISNUMBER($C68:AG68)), COUNTA(FILTE"&amp;"R($C68:AG68, ISNUMBER($C68:AG68)))),
lastVal + 'K dynamique'!AG68 * ((SQRT('Résultats des tournois'!AG$2 + 1)/'Résultats des tournois'!AG68) - (1 / (1 + 10^((AG$103 - lastVal)/400)))))
)
))"),"")</f>
        <v/>
      </c>
      <c r="AI68" s="32" t="str">
        <f>IFERROR(__xludf.DUMMYFUNCTION("IF('Résultats des tournois'!AH$2=0,"""",LET(
lastVal, INDEX(FILTER($B68:AH68, ISNUMBER($B68:AH68)), COUNTA(FILTER($B68:AH68, ISNUMBER($B68:AH68)))),
IFERROR(
IF('Résultats des tournois'!AH68="""", INDEX(FILTER($C68:AH68, ISNUMBER($C68:AH68)), COUNTA(FILTE"&amp;"R($C68:AH68, ISNUMBER($C68:AH68)))),
lastVal + 'K dynamique'!AH68 * ((SQRT('Résultats des tournois'!AH$2 + 1)/'Résultats des tournois'!AH68) - (1 / (1 + 10^((AH$103 - lastVal)/400)))))
)
))"),"")</f>
        <v/>
      </c>
      <c r="AJ68" s="32" t="str">
        <f>IFERROR(__xludf.DUMMYFUNCTION("IF('Résultats des tournois'!AI$2=0,"""",LET(
lastVal, INDEX(FILTER($B68:AI68, ISNUMBER($B68:AI68)), COUNTA(FILTER($B68:AI68, ISNUMBER($B68:AI68)))),
IFERROR(
IF('Résultats des tournois'!AI68="""", INDEX(FILTER($C68:AI68, ISNUMBER($C68:AI68)), COUNTA(FILTE"&amp;"R($C68:AI68, ISNUMBER($C68:AI68)))),
lastVal + 'K dynamique'!AI68 * ((SQRT('Résultats des tournois'!AI$2 + 1)/'Résultats des tournois'!AI68) - (1 / (1 + 10^((AI$103 - lastVal)/400)))))
)
))"),"")</f>
        <v/>
      </c>
      <c r="AK68" s="32" t="str">
        <f>IFERROR(__xludf.DUMMYFUNCTION("IF('Résultats des tournois'!AJ$2=0,"""",LET(
lastVal, INDEX(FILTER($B68:AJ68, ISNUMBER($B68:AJ68)), COUNTA(FILTER($B68:AJ68, ISNUMBER($B68:AJ68)))),
IFERROR(
IF('Résultats des tournois'!AJ68="""", INDEX(FILTER($C68:AJ68, ISNUMBER($C68:AJ68)), COUNTA(FILTE"&amp;"R($C68:AJ68, ISNUMBER($C68:AJ68)))),
lastVal + 'K dynamique'!AJ68 * ((SQRT('Résultats des tournois'!AJ$2 + 1)/'Résultats des tournois'!AJ68) - (1 / (1 + 10^((AJ$103 - lastVal)/400)))))
)
))"),"")</f>
        <v/>
      </c>
      <c r="AL68" s="32" t="str">
        <f>IFERROR(__xludf.DUMMYFUNCTION("IF('Résultats des tournois'!AK$2=0,"""",LET(
lastVal, INDEX(FILTER($B68:AK68, ISNUMBER($B68:AK68)), COUNTA(FILTER($B68:AK68, ISNUMBER($B68:AK68)))),
IFERROR(
IF('Résultats des tournois'!AK68="""", INDEX(FILTER($C68:AK68, ISNUMBER($C68:AK68)), COUNTA(FILTE"&amp;"R($C68:AK68, ISNUMBER($C68:AK68)))),
lastVal + 'K dynamique'!AK68 * ((SQRT('Résultats des tournois'!AK$2 + 1)/'Résultats des tournois'!AK68) - (1 / (1 + 10^((AK$103 - lastVal)/400)))))
)
))"),"")</f>
        <v/>
      </c>
      <c r="AM68" s="32" t="str">
        <f>IFERROR(__xludf.DUMMYFUNCTION("IF('Résultats des tournois'!AL$2=0,"""",LET(
lastVal, INDEX(FILTER($B68:AL68, ISNUMBER($B68:AL68)), COUNTA(FILTER($B68:AL68, ISNUMBER($B68:AL68)))),
IFERROR(
IF('Résultats des tournois'!AL68="""", INDEX(FILTER($C68:AL68, ISNUMBER($C68:AL68)), COUNTA(FILTE"&amp;"R($C68:AL68, ISNUMBER($C68:AL68)))),
lastVal + 'K dynamique'!AL68 * ((SQRT('Résultats des tournois'!AL$2 + 1)/'Résultats des tournois'!AL68) - (1 / (1 + 10^((AL$103 - lastVal)/400)))))
)
))"),"")</f>
        <v/>
      </c>
      <c r="AN68" s="32" t="str">
        <f>IFERROR(__xludf.DUMMYFUNCTION("IF('Résultats des tournois'!AM$2=0,"""",LET(
lastVal, INDEX(FILTER($B68:AM68, ISNUMBER($B68:AM68)), COUNTA(FILTER($B68:AM68, ISNUMBER($B68:AM68)))),
IFERROR(
IF('Résultats des tournois'!AM68="""", INDEX(FILTER($C68:AM68, ISNUMBER($C68:AM68)), COUNTA(FILTE"&amp;"R($C68:AM68, ISNUMBER($C68:AM68)))),
lastVal + 'K dynamique'!AM68 * ((SQRT('Résultats des tournois'!AM$2 + 1)/'Résultats des tournois'!AM68) - (1 / (1 + 10^((AM$103 - lastVal)/400)))))
)
))"),"")</f>
        <v/>
      </c>
      <c r="AO68" s="32" t="str">
        <f>IFERROR(__xludf.DUMMYFUNCTION("IF('Résultats des tournois'!AN$2=0,"""",LET(
lastVal, INDEX(FILTER($B68:AN68, ISNUMBER($B68:AN68)), COUNTA(FILTER($B68:AN68, ISNUMBER($B68:AN68)))),
IFERROR(
IF('Résultats des tournois'!AN68="""", INDEX(FILTER($C68:AN68, ISNUMBER($C68:AN68)), COUNTA(FILTE"&amp;"R($C68:AN68, ISNUMBER($C68:AN68)))),
lastVal + 'K dynamique'!AN68 * ((SQRT('Résultats des tournois'!AN$2 + 1)/'Résultats des tournois'!AN68) - (1 / (1 + 10^((AN$103 - lastVal)/400)))))
)
))"),"")</f>
        <v/>
      </c>
      <c r="AP68" s="32" t="str">
        <f>IFERROR(__xludf.DUMMYFUNCTION("IF('Résultats des tournois'!AO$2=0,"""",LET(
lastVal, INDEX(FILTER($B68:AO68, ISNUMBER($B68:AO68)), COUNTA(FILTER($B68:AO68, ISNUMBER($B68:AO68)))),
IFERROR(
IF('Résultats des tournois'!AO68="""", INDEX(FILTER($C68:AO68, ISNUMBER($C68:AO68)), COUNTA(FILTE"&amp;"R($C68:AO68, ISNUMBER($C68:AO68)))),
lastVal + 'K dynamique'!AO68 * ((SQRT('Résultats des tournois'!AO$2 + 1)/'Résultats des tournois'!AO68) - (1 / (1 + 10^((AO$103 - lastVal)/400)))))
)
))"),"")</f>
        <v/>
      </c>
      <c r="AQ68" s="32" t="str">
        <f>IFERROR(__xludf.DUMMYFUNCTION("IF('Résultats des tournois'!AP$2=0,"""",LET(
lastVal, INDEX(FILTER($B68:AP68, ISNUMBER($B68:AP68)), COUNTA(FILTER($B68:AP68, ISNUMBER($B68:AP68)))),
IFERROR(
IF('Résultats des tournois'!AP68="""", INDEX(FILTER($C68:AP68, ISNUMBER($C68:AP68)), COUNTA(FILTE"&amp;"R($C68:AP68, ISNUMBER($C68:AP68)))),
lastVal + 'K dynamique'!AP68 * ((SQRT('Résultats des tournois'!AP$2 + 1)/'Résultats des tournois'!AP68) - (1 / (1 + 10^((AP$103 - lastVal)/400)))))
)
))"),"")</f>
        <v/>
      </c>
      <c r="AR68" s="32" t="str">
        <f>IFERROR(__xludf.DUMMYFUNCTION("IF('Résultats des tournois'!AQ$2=0,"""",LET(
lastVal, INDEX(FILTER($B68:AQ68, ISNUMBER($B68:AQ68)), COUNTA(FILTER($B68:AQ68, ISNUMBER($B68:AQ68)))),
IFERROR(
IF('Résultats des tournois'!AQ68="""", INDEX(FILTER($C68:AQ68, ISNUMBER($C68:AQ68)), COUNTA(FILTE"&amp;"R($C68:AQ68, ISNUMBER($C68:AQ68)))),
lastVal + 'K dynamique'!AQ68 * ((SQRT('Résultats des tournois'!AQ$2 + 1)/'Résultats des tournois'!AQ68) - (1 / (1 + 10^((AQ$103 - lastVal)/400)))))
)
))"),"")</f>
        <v/>
      </c>
      <c r="AS68" s="32" t="str">
        <f>IFERROR(__xludf.DUMMYFUNCTION("IF('Résultats des tournois'!AR$2=0,"""",LET(
lastVal, INDEX(FILTER($B68:AR68, ISNUMBER($B68:AR68)), COUNTA(FILTER($B68:AR68, ISNUMBER($B68:AR68)))),
IFERROR(
IF('Résultats des tournois'!AR68="""", INDEX(FILTER($C68:AR68, ISNUMBER($C68:AR68)), COUNTA(FILTE"&amp;"R($C68:AR68, ISNUMBER($C68:AR68)))),
lastVal + 'K dynamique'!AR68 * ((SQRT('Résultats des tournois'!AR$2 + 1)/'Résultats des tournois'!AR68) - (1 / (1 + 10^((AR$103 - lastVal)/400)))))
)
))"),"")</f>
        <v/>
      </c>
      <c r="AT68" s="32" t="str">
        <f>IFERROR(__xludf.DUMMYFUNCTION("IF('Résultats des tournois'!AS$2=0,"""",LET(
lastVal, INDEX(FILTER($B68:AS68, ISNUMBER($B68:AS68)), COUNTA(FILTER($B68:AS68, ISNUMBER($B68:AS68)))),
IFERROR(
IF('Résultats des tournois'!AS68="""", INDEX(FILTER($C68:AS68, ISNUMBER($C68:AS68)), COUNTA(FILTE"&amp;"R($C68:AS68, ISNUMBER($C68:AS68)))),
lastVal + 'K dynamique'!AS68 * ((SQRT('Résultats des tournois'!AS$2 + 1)/'Résultats des tournois'!AS68) - (1 / (1 + 10^((AS$103 - lastVal)/400)))))
)
))"),"")</f>
        <v/>
      </c>
      <c r="AU68" s="32" t="str">
        <f>IFERROR(__xludf.DUMMYFUNCTION("IF('Résultats des tournois'!AT$2=0,"""",LET(
lastVal, INDEX(FILTER($B68:AT68, ISNUMBER($B68:AT68)), COUNTA(FILTER($B68:AT68, ISNUMBER($B68:AT68)))),
IFERROR(
IF('Résultats des tournois'!AT68="""", INDEX(FILTER($C68:AT68, ISNUMBER($C68:AT68)), COUNTA(FILTE"&amp;"R($C68:AT68, ISNUMBER($C68:AT68)))),
lastVal + 'K dynamique'!AT68 * ((SQRT('Résultats des tournois'!AT$2 + 1)/'Résultats des tournois'!AT68) - (1 / (1 + 10^((AT$103 - lastVal)/400)))))
)
))"),"")</f>
        <v/>
      </c>
      <c r="AV68" s="32" t="str">
        <f>IFERROR(__xludf.DUMMYFUNCTION("IF('Résultats des tournois'!AU$2=0,"""",LET(
lastVal, INDEX(FILTER($B68:AU68, ISNUMBER($B68:AU68)), COUNTA(FILTER($B68:AU68, ISNUMBER($B68:AU68)))),
IFERROR(
IF('Résultats des tournois'!AU68="""", INDEX(FILTER($C68:AU68, ISNUMBER($C68:AU68)), COUNTA(FILTE"&amp;"R($C68:AU68, ISNUMBER($C68:AU68)))),
lastVal + 'K dynamique'!AU68 * ((SQRT('Résultats des tournois'!AU$2 + 1)/'Résultats des tournois'!AU68) - (1 / (1 + 10^((AU$103 - lastVal)/400)))))
)
))"),"")</f>
        <v/>
      </c>
      <c r="AW68" s="32" t="str">
        <f>IFERROR(__xludf.DUMMYFUNCTION("IF('Résultats des tournois'!AV$2=0,"""",LET(
lastVal, INDEX(FILTER($B68:AV68, ISNUMBER($B68:AV68)), COUNTA(FILTER($B68:AV68, ISNUMBER($B68:AV68)))),
IFERROR(
IF('Résultats des tournois'!AV68="""", INDEX(FILTER($C68:AV68, ISNUMBER($C68:AV68)), COUNTA(FILTE"&amp;"R($C68:AV68, ISNUMBER($C68:AV68)))),
lastVal + 'K dynamique'!AV68 * ((SQRT('Résultats des tournois'!AV$2 + 1)/'Résultats des tournois'!AV68) - (1 / (1 + 10^((AV$103 - lastVal)/400)))))
)
))"),"")</f>
        <v/>
      </c>
      <c r="AX68" s="32" t="str">
        <f>IFERROR(__xludf.DUMMYFUNCTION("IF('Résultats des tournois'!AW$2=0,"""",LET(
lastVal, INDEX(FILTER($B68:AW68, ISNUMBER($B68:AW68)), COUNTA(FILTER($B68:AW68, ISNUMBER($B68:AW68)))),
IFERROR(
IF('Résultats des tournois'!AW68="""", INDEX(FILTER($C68:AW68, ISNUMBER($C68:AW68)), COUNTA(FILTE"&amp;"R($C68:AW68, ISNUMBER($C68:AW68)))),
lastVal + 'K dynamique'!AW68 * ((SQRT('Résultats des tournois'!AW$2 + 1)/'Résultats des tournois'!AW68) - (1 / (1 + 10^((AW$103 - lastVal)/400)))))
)
))"),"")</f>
        <v/>
      </c>
      <c r="AY68" s="32" t="str">
        <f>IFERROR(__xludf.DUMMYFUNCTION("IF('Résultats des tournois'!AX$2=0,"""",LET(
lastVal, INDEX(FILTER($B68:AX68, ISNUMBER($B68:AX68)), COUNTA(FILTER($B68:AX68, ISNUMBER($B68:AX68)))),
IFERROR(
IF('Résultats des tournois'!AX68="""", INDEX(FILTER($C68:AX68, ISNUMBER($C68:AX68)), COUNTA(FILTE"&amp;"R($C68:AX68, ISNUMBER($C68:AX68)))),
lastVal + 'K dynamique'!AX68 * ((SQRT('Résultats des tournois'!AX$2 + 1)/'Résultats des tournois'!AX68) - (1 / (1 + 10^((AX$103 - lastVal)/400)))))
)
))"),"")</f>
        <v/>
      </c>
      <c r="AZ68" s="4" t="str">
        <f t="array" ref="AZ68">IF(MAX(($C68:AY68&lt;&gt;"")*COLUMN($C68:AY68))=0,"",INDEX($C68:AY68,1,MAX(($C68:AY68&lt;&gt;"")*COLUMN($C68:AY68))-COLUMN($C68)+1))</f>
        <v/>
      </c>
      <c r="BA68" s="33" t="str">
        <f t="shared" si="1"/>
        <v/>
      </c>
    </row>
    <row r="69" ht="14.25" customHeight="1">
      <c r="A69" s="32" t="str">
        <f>IF('Résultats des tournois'!A69="","",'Résultats des tournois'!A69)</f>
        <v/>
      </c>
      <c r="B69" s="32">
        <v>1500.0</v>
      </c>
      <c r="C69" s="32" t="str">
        <f>IF('Résultats des tournois'!B69="","",B69+'K dynamique'!B69*((SQRT('Résultats des tournois'!B$2+1)/'Résultats des tournois'!B69)-(1/(1+10^((B69-B69)/400)))))</f>
        <v/>
      </c>
      <c r="D69" s="32" t="str">
        <f>IFERROR(__xludf.DUMMYFUNCTION("IF('Résultats des tournois'!C$2=0,"""",LET(
lastVal, INDEX(FILTER($B69:C69, ISNUMBER($B69:C69)), COUNTA(FILTER($B69:C69, ISNUMBER($B69:C69)))),
IFERROR(
IF('Résultats des tournois'!C69="""", INDEX(FILTER($C69:C69, ISNUMBER($C69:C69)), COUNTA(FILTER($C69:C"&amp;"69, ISNUMBER($C69:C69)))),
lastVal + 'K dynamique'!C69 * ((SQRT('Résultats des tournois'!C$2 + 1)/'Résultats des tournois'!C69) - (1 / (1 + 10^((C$103 - lastVal)/400)))))
)
))"),"")</f>
        <v/>
      </c>
      <c r="E69" s="32" t="str">
        <f>IFERROR(__xludf.DUMMYFUNCTION("IF('Résultats des tournois'!D$2=0,"""",LET(
lastVal, INDEX(FILTER($B69:D69, ISNUMBER($B69:D69)), COUNTA(FILTER($B69:D69, ISNUMBER($B69:D69)))),
IFERROR(
IF('Résultats des tournois'!D69="""", INDEX(FILTER($C69:D69, ISNUMBER($C69:D69)), COUNTA(FILTER($C69:D"&amp;"69, ISNUMBER($C69:D69)))),
lastVal + 'K dynamique'!D69 * ((SQRT('Résultats des tournois'!D$2 + 1)/'Résultats des tournois'!D69) - (1 / (1 + 10^((D$103 - lastVal)/400)))))
)
))"),"")</f>
        <v/>
      </c>
      <c r="F69" s="32" t="str">
        <f>IFERROR(__xludf.DUMMYFUNCTION("IF('Résultats des tournois'!E$2=0,"""",LET(
lastVal, INDEX(FILTER($B69:E69, ISNUMBER($B69:E69)), COUNTA(FILTER($B69:E69, ISNUMBER($B69:E69)))),
IFERROR(
IF('Résultats des tournois'!E69="""", INDEX(FILTER($C69:E69, ISNUMBER($C69:E69)), COUNTA(FILTER($C69:E"&amp;"69, ISNUMBER($C69:E69)))),
lastVal + 'K dynamique'!E69 * ((SQRT('Résultats des tournois'!E$2 + 1)/'Résultats des tournois'!E69) - (1 / (1 + 10^((E$103 - lastVal)/400)))))
)
))"),"")</f>
        <v/>
      </c>
      <c r="G69" s="32" t="str">
        <f>IFERROR(__xludf.DUMMYFUNCTION("IF('Résultats des tournois'!F$2=0,"""",LET(
lastVal, INDEX(FILTER($B69:F69, ISNUMBER($B69:F69)), COUNTA(FILTER($B69:F69, ISNUMBER($B69:F69)))),
IFERROR(
IF('Résultats des tournois'!F69="""", INDEX(FILTER($C69:F69, ISNUMBER($C69:F69)), COUNTA(FILTER($C69:F"&amp;"69, ISNUMBER($C69:F69)))),
lastVal + 'K dynamique'!F69 * ((SQRT('Résultats des tournois'!F$2 + 1)/'Résultats des tournois'!F69) - (1 / (1 + 10^((F$103 - lastVal)/400)))))
)
))"),"")</f>
        <v/>
      </c>
      <c r="H69" s="32" t="str">
        <f>IFERROR(__xludf.DUMMYFUNCTION("IF('Résultats des tournois'!G$2=0,"""",LET(
lastVal, INDEX(FILTER($B69:G69, ISNUMBER($B69:G69)), COUNTA(FILTER($B69:G69, ISNUMBER($B69:G69)))),
IFERROR(
IF('Résultats des tournois'!G69="""", INDEX(FILTER($C69:G69, ISNUMBER($C69:G69)), COUNTA(FILTER($C69:G"&amp;"69, ISNUMBER($C69:G69)))),
lastVal + 'K dynamique'!G69 * ((SQRT('Résultats des tournois'!G$2 + 1)/'Résultats des tournois'!G69) - (1 / (1 + 10^((G$103 - lastVal)/400)))))
)
))"),"")</f>
        <v/>
      </c>
      <c r="I69" s="32" t="str">
        <f>IFERROR(__xludf.DUMMYFUNCTION("IF('Résultats des tournois'!H$2=0,"""",LET(
lastVal, INDEX(FILTER($B69:H69, ISNUMBER($B69:H69)), COUNTA(FILTER($B69:H69, ISNUMBER($B69:H69)))),
IFERROR(
IF('Résultats des tournois'!H69="""", INDEX(FILTER($C69:H69, ISNUMBER($C69:H69)), COUNTA(FILTER($C69:H"&amp;"69, ISNUMBER($C69:H69)))),
lastVal + 'K dynamique'!H69 * ((SQRT('Résultats des tournois'!H$2 + 1)/'Résultats des tournois'!H69) - (1 / (1 + 10^((H$103 - lastVal)/400)))))
)
))"),"")</f>
        <v/>
      </c>
      <c r="J69" s="32" t="str">
        <f>IFERROR(__xludf.DUMMYFUNCTION("IF('Résultats des tournois'!I$2=0,"""",LET(
lastVal, INDEX(FILTER($B69:I69, ISNUMBER($B69:I69)), COUNTA(FILTER($B69:I69, ISNUMBER($B69:I69)))),
IFERROR(
IF('Résultats des tournois'!I69="""", INDEX(FILTER($C69:I69, ISNUMBER($C69:I69)), COUNTA(FILTER($C69:I"&amp;"69, ISNUMBER($C69:I69)))),
lastVal + 'K dynamique'!I69 * ((SQRT('Résultats des tournois'!I$2 + 1)/'Résultats des tournois'!I69) - (1 / (1 + 10^((I$103 - lastVal)/400)))))
)
))"),"")</f>
        <v/>
      </c>
      <c r="K69" s="32" t="str">
        <f>IFERROR(__xludf.DUMMYFUNCTION("IF('Résultats des tournois'!J$2=0,"""",LET(
lastVal, INDEX(FILTER($B69:J69, ISNUMBER($B69:J69)), COUNTA(FILTER($B69:J69, ISNUMBER($B69:J69)))),
IFERROR(
IF('Résultats des tournois'!J69="""", INDEX(FILTER($C69:J69, ISNUMBER($C69:J69)), COUNTA(FILTER($C69:J"&amp;"69, ISNUMBER($C69:J69)))),
lastVal + 'K dynamique'!J69 * ((SQRT('Résultats des tournois'!J$2 + 1)/'Résultats des tournois'!J69) - (1 / (1 + 10^((J$103 - lastVal)/400)))))
)
))"),"")</f>
        <v/>
      </c>
      <c r="L69" s="32" t="str">
        <f>IFERROR(__xludf.DUMMYFUNCTION("IF('Résultats des tournois'!K$2=0,"""",LET(
lastVal, INDEX(FILTER($B69:K69, ISNUMBER($B69:K69)), COUNTA(FILTER($B69:K69, ISNUMBER($B69:K69)))),
IFERROR(
IF('Résultats des tournois'!K69="""", INDEX(FILTER($C69:K69, ISNUMBER($C69:K69)), COUNTA(FILTER($C69:K"&amp;"69, ISNUMBER($C69:K69)))),
lastVal + 'K dynamique'!K69 * ((SQRT('Résultats des tournois'!K$2 + 1)/'Résultats des tournois'!K69) - (1 / (1 + 10^((K$103 - lastVal)/400)))))
)
))"),"")</f>
        <v/>
      </c>
      <c r="M69" s="32" t="str">
        <f>IFERROR(__xludf.DUMMYFUNCTION("IF('Résultats des tournois'!L$2=0,"""",LET(
lastVal, INDEX(FILTER($B69:L69, ISNUMBER($B69:L69)), COUNTA(FILTER($B69:L69, ISNUMBER($B69:L69)))),
IFERROR(
IF('Résultats des tournois'!L69="""", INDEX(FILTER($C69:L69, ISNUMBER($C69:L69)), COUNTA(FILTER($C69:L"&amp;"69, ISNUMBER($C69:L69)))),
lastVal + 'K dynamique'!L69 * ((SQRT('Résultats des tournois'!L$2 + 1)/'Résultats des tournois'!L69) - (1 / (1 + 10^((L$103 - lastVal)/400)))))
)
))"),"")</f>
        <v/>
      </c>
      <c r="N69" s="32" t="str">
        <f>IFERROR(__xludf.DUMMYFUNCTION("IF('Résultats des tournois'!M$2=0,"""",LET(
lastVal, INDEX(FILTER($B69:M69, ISNUMBER($B69:M69)), COUNTA(FILTER($B69:M69, ISNUMBER($B69:M69)))),
IFERROR(
IF('Résultats des tournois'!M69="""", INDEX(FILTER($C69:M69, ISNUMBER($C69:M69)), COUNTA(FILTER($C69:M"&amp;"69, ISNUMBER($C69:M69)))),
lastVal + 'K dynamique'!M69 * ((SQRT('Résultats des tournois'!M$2 + 1)/'Résultats des tournois'!M69) - (1 / (1 + 10^((M$103 - lastVal)/400)))))
)
))"),"")</f>
        <v/>
      </c>
      <c r="O69" s="32" t="str">
        <f>IFERROR(__xludf.DUMMYFUNCTION("IF('Résultats des tournois'!N$2=0,"""",LET(
lastVal, INDEX(FILTER($B69:N69, ISNUMBER($B69:N69)), COUNTA(FILTER($B69:N69, ISNUMBER($B69:N69)))),
IFERROR(
IF('Résultats des tournois'!N69="""", INDEX(FILTER($C69:N69, ISNUMBER($C69:N69)), COUNTA(FILTER($C69:N"&amp;"69, ISNUMBER($C69:N69)))),
lastVal + 'K dynamique'!N69 * ((SQRT('Résultats des tournois'!N$2 + 1)/'Résultats des tournois'!N69) - (1 / (1 + 10^((N$103 - lastVal)/400)))))
)
))"),"")</f>
        <v/>
      </c>
      <c r="P69" s="32" t="str">
        <f>IFERROR(__xludf.DUMMYFUNCTION("IF('Résultats des tournois'!O$2=0,"""",LET(
lastVal, INDEX(FILTER($B69:O69, ISNUMBER($B69:O69)), COUNTA(FILTER($B69:O69, ISNUMBER($B69:O69)))),
IFERROR(
IF('Résultats des tournois'!O69="""", INDEX(FILTER($C69:O69, ISNUMBER($C69:O69)), COUNTA(FILTER($C69:O"&amp;"69, ISNUMBER($C69:O69)))),
lastVal + 'K dynamique'!O69 * ((SQRT('Résultats des tournois'!O$2 + 1)/'Résultats des tournois'!O69) - (1 / (1 + 10^((O$103 - lastVal)/400)))))
)
))"),"")</f>
        <v/>
      </c>
      <c r="Q69" s="32" t="str">
        <f>IFERROR(__xludf.DUMMYFUNCTION("IF('Résultats des tournois'!P$2=0,"""",LET(
lastVal, INDEX(FILTER($B69:P69, ISNUMBER($B69:P69)), COUNTA(FILTER($B69:P69, ISNUMBER($B69:P69)))),
IFERROR(
IF('Résultats des tournois'!P69="""", INDEX(FILTER($C69:P69, ISNUMBER($C69:P69)), COUNTA(FILTER($C69:P"&amp;"69, ISNUMBER($C69:P69)))),
lastVal + 'K dynamique'!P69 * ((SQRT('Résultats des tournois'!P$2 + 1)/'Résultats des tournois'!P69) - (1 / (1 + 10^((P$103 - lastVal)/400)))))
)
))"),"")</f>
        <v/>
      </c>
      <c r="R69" s="32" t="str">
        <f>IFERROR(__xludf.DUMMYFUNCTION("IF('Résultats des tournois'!Q$2=0,"""",LET(
lastVal, INDEX(FILTER($B69:Q69, ISNUMBER($B69:Q69)), COUNTA(FILTER($B69:Q69, ISNUMBER($B69:Q69)))),
IFERROR(
IF('Résultats des tournois'!Q69="""", INDEX(FILTER($C69:Q69, ISNUMBER($C69:Q69)), COUNTA(FILTER($C69:Q"&amp;"69, ISNUMBER($C69:Q69)))),
lastVal + 'K dynamique'!Q69 * ((SQRT('Résultats des tournois'!Q$2 + 1)/'Résultats des tournois'!Q69) - (1 / (1 + 10^((Q$103 - lastVal)/400)))))
)
))"),"")</f>
        <v/>
      </c>
      <c r="S69" s="32" t="str">
        <f>IFERROR(__xludf.DUMMYFUNCTION("IF('Résultats des tournois'!R$2=0,"""",LET(
lastVal, INDEX(FILTER($B69:R69, ISNUMBER($B69:R69)), COUNTA(FILTER($B69:R69, ISNUMBER($B69:R69)))),
IFERROR(
IF('Résultats des tournois'!R69="""", INDEX(FILTER($C69:R69, ISNUMBER($C69:R69)), COUNTA(FILTER($C69:R"&amp;"69, ISNUMBER($C69:R69)))),
lastVal + 'K dynamique'!R69 * ((SQRT('Résultats des tournois'!R$2 + 1)/'Résultats des tournois'!R69) - (1 / (1 + 10^((R$103 - lastVal)/400)))))
)
))"),"")</f>
        <v/>
      </c>
      <c r="T69" s="32" t="str">
        <f>IFERROR(__xludf.DUMMYFUNCTION("IF('Résultats des tournois'!S$2=0,"""",LET(
lastVal, INDEX(FILTER($B69:S69, ISNUMBER($B69:S69)), COUNTA(FILTER($B69:S69, ISNUMBER($B69:S69)))),
IFERROR(
IF('Résultats des tournois'!S69="""", INDEX(FILTER($C69:S69, ISNUMBER($C69:S69)), COUNTA(FILTER($C69:S"&amp;"69, ISNUMBER($C69:S69)))),
lastVal + 'K dynamique'!S69 * ((SQRT('Résultats des tournois'!S$2 + 1)/'Résultats des tournois'!S69) - (1 / (1 + 10^((S$103 - lastVal)/400)))))
)
))"),"")</f>
        <v/>
      </c>
      <c r="U69" s="32" t="str">
        <f>IFERROR(__xludf.DUMMYFUNCTION("IF('Résultats des tournois'!T$2=0,"""",LET(
lastVal, INDEX(FILTER($B69:T69, ISNUMBER($B69:T69)), COUNTA(FILTER($B69:T69, ISNUMBER($B69:T69)))),
IFERROR(
IF('Résultats des tournois'!T69="""", INDEX(FILTER($C69:T69, ISNUMBER($C69:T69)), COUNTA(FILTER($C69:T"&amp;"69, ISNUMBER($C69:T69)))),
lastVal + 'K dynamique'!T69 * ((SQRT('Résultats des tournois'!T$2 + 1)/'Résultats des tournois'!T69) - (1 / (1 + 10^((T$103 - lastVal)/400)))))
)
))"),"")</f>
        <v/>
      </c>
      <c r="V69" s="32" t="str">
        <f>IFERROR(__xludf.DUMMYFUNCTION("IF('Résultats des tournois'!U$2=0,"""",LET(
lastVal, INDEX(FILTER($B69:U69, ISNUMBER($B69:U69)), COUNTA(FILTER($B69:U69, ISNUMBER($B69:U69)))),
IFERROR(
IF('Résultats des tournois'!U69="""", INDEX(FILTER($C69:U69, ISNUMBER($C69:U69)), COUNTA(FILTER($C69:U"&amp;"69, ISNUMBER($C69:U69)))),
lastVal + 'K dynamique'!U69 * ((SQRT('Résultats des tournois'!U$2 + 1)/'Résultats des tournois'!U69) - (1 / (1 + 10^((U$103 - lastVal)/400)))))
)
))"),"")</f>
        <v/>
      </c>
      <c r="W69" s="32" t="str">
        <f>IFERROR(__xludf.DUMMYFUNCTION("IF('Résultats des tournois'!V$2=0,"""",LET(
lastVal, INDEX(FILTER($B69:V69, ISNUMBER($B69:V69)), COUNTA(FILTER($B69:V69, ISNUMBER($B69:V69)))),
IFERROR(
IF('Résultats des tournois'!V69="""", INDEX(FILTER($C69:V69, ISNUMBER($C69:V69)), COUNTA(FILTER($C69:V"&amp;"69, ISNUMBER($C69:V69)))),
lastVal + 'K dynamique'!V69 * ((SQRT('Résultats des tournois'!V$2 + 1)/'Résultats des tournois'!V69) - (1 / (1 + 10^((V$103 - lastVal)/400)))))
)
))"),"")</f>
        <v/>
      </c>
      <c r="X69" s="32" t="str">
        <f>IFERROR(__xludf.DUMMYFUNCTION("IF('Résultats des tournois'!W$2=0,"""",LET(
lastVal, INDEX(FILTER($B69:W69, ISNUMBER($B69:W69)), COUNTA(FILTER($B69:W69, ISNUMBER($B69:W69)))),
IFERROR(
IF('Résultats des tournois'!W69="""", INDEX(FILTER($C69:W69, ISNUMBER($C69:W69)), COUNTA(FILTER($C69:W"&amp;"69, ISNUMBER($C69:W69)))),
lastVal + 'K dynamique'!W69 * ((SQRT('Résultats des tournois'!W$2 + 1)/'Résultats des tournois'!W69) - (1 / (1 + 10^((W$103 - lastVal)/400)))))
)
))"),"")</f>
        <v/>
      </c>
      <c r="Y69" s="32" t="str">
        <f>IFERROR(__xludf.DUMMYFUNCTION("IF('Résultats des tournois'!X$2=0,"""",LET(
lastVal, INDEX(FILTER($B69:X69, ISNUMBER($B69:X69)), COUNTA(FILTER($B69:X69, ISNUMBER($B69:X69)))),
IFERROR(
IF('Résultats des tournois'!X69="""", INDEX(FILTER($C69:X69, ISNUMBER($C69:X69)), COUNTA(FILTER($C69:X"&amp;"69, ISNUMBER($C69:X69)))),
lastVal + 'K dynamique'!X69 * ((SQRT('Résultats des tournois'!X$2 + 1)/'Résultats des tournois'!X69) - (1 / (1 + 10^((X$103 - lastVal)/400)))))
)
))"),"")</f>
        <v/>
      </c>
      <c r="Z69" s="32" t="str">
        <f>IFERROR(__xludf.DUMMYFUNCTION("IF('Résultats des tournois'!Y$2=0,"""",LET(
lastVal, INDEX(FILTER($B69:Y69, ISNUMBER($B69:Y69)), COUNTA(FILTER($B69:Y69, ISNUMBER($B69:Y69)))),
IFERROR(
IF('Résultats des tournois'!Y69="""", INDEX(FILTER($C69:Y69, ISNUMBER($C69:Y69)), COUNTA(FILTER($C69:Y"&amp;"69, ISNUMBER($C69:Y69)))),
lastVal + 'K dynamique'!Y69 * ((SQRT('Résultats des tournois'!Y$2 + 1)/'Résultats des tournois'!Y69) - (1 / (1 + 10^((Y$103 - lastVal)/400)))))
)
))"),"")</f>
        <v/>
      </c>
      <c r="AA69" s="32" t="str">
        <f>IFERROR(__xludf.DUMMYFUNCTION("IF('Résultats des tournois'!Z$2=0,"""",LET(
lastVal, INDEX(FILTER($B69:Z69, ISNUMBER($B69:Z69)), COUNTA(FILTER($B69:Z69, ISNUMBER($B69:Z69)))),
IFERROR(
IF('Résultats des tournois'!Z69="""", INDEX(FILTER($C69:Z69, ISNUMBER($C69:Z69)), COUNTA(FILTER($C69:Z"&amp;"69, ISNUMBER($C69:Z69)))),
lastVal + 'K dynamique'!Z69 * ((SQRT('Résultats des tournois'!Z$2 + 1)/'Résultats des tournois'!Z69) - (1 / (1 + 10^((Z$103 - lastVal)/400)))))
)
))"),"")</f>
        <v/>
      </c>
      <c r="AB69" s="32" t="str">
        <f>IFERROR(__xludf.DUMMYFUNCTION("IF('Résultats des tournois'!AA$2=0,"""",LET(
lastVal, INDEX(FILTER($B69:AA69, ISNUMBER($B69:AA69)), COUNTA(FILTER($B69:AA69, ISNUMBER($B69:AA69)))),
IFERROR(
IF('Résultats des tournois'!AA69="""", INDEX(FILTER($C69:AA69, ISNUMBER($C69:AA69)), COUNTA(FILTE"&amp;"R($C69:AA69, ISNUMBER($C69:AA69)))),
lastVal + 'K dynamique'!AA69 * ((SQRT('Résultats des tournois'!AA$2 + 1)/'Résultats des tournois'!AA69) - (1 / (1 + 10^((AA$103 - lastVal)/400)))))
)
))"),"")</f>
        <v/>
      </c>
      <c r="AC69" s="32" t="str">
        <f>IFERROR(__xludf.DUMMYFUNCTION("IF('Résultats des tournois'!AB$2=0,"""",LET(
lastVal, INDEX(FILTER($B69:AB69, ISNUMBER($B69:AB69)), COUNTA(FILTER($B69:AB69, ISNUMBER($B69:AB69)))),
IFERROR(
IF('Résultats des tournois'!AB69="""", INDEX(FILTER($C69:AB69, ISNUMBER($C69:AB69)), COUNTA(FILTE"&amp;"R($C69:AB69, ISNUMBER($C69:AB69)))),
lastVal + 'K dynamique'!AB69 * ((SQRT('Résultats des tournois'!AB$2 + 1)/'Résultats des tournois'!AB69) - (1 / (1 + 10^((AB$103 - lastVal)/400)))))
)
))"),"")</f>
        <v/>
      </c>
      <c r="AD69" s="32" t="str">
        <f>IFERROR(__xludf.DUMMYFUNCTION("IF('Résultats des tournois'!AC$2=0,"""",LET(
lastVal, INDEX(FILTER($B69:AC69, ISNUMBER($B69:AC69)), COUNTA(FILTER($B69:AC69, ISNUMBER($B69:AC69)))),
IFERROR(
IF('Résultats des tournois'!AC69="""", INDEX(FILTER($C69:AC69, ISNUMBER($C69:AC69)), COUNTA(FILTE"&amp;"R($C69:AC69, ISNUMBER($C69:AC69)))),
lastVal + 'K dynamique'!AC69 * ((SQRT('Résultats des tournois'!AC$2 + 1)/'Résultats des tournois'!AC69) - (1 / (1 + 10^((AC$103 - lastVal)/400)))))
)
))"),"")</f>
        <v/>
      </c>
      <c r="AE69" s="32" t="str">
        <f>IFERROR(__xludf.DUMMYFUNCTION("IF('Résultats des tournois'!AD$2=0,"""",LET(
lastVal, INDEX(FILTER($B69:AD69, ISNUMBER($B69:AD69)), COUNTA(FILTER($B69:AD69, ISNUMBER($B69:AD69)))),
IFERROR(
IF('Résultats des tournois'!AD69="""", INDEX(FILTER($C69:AD69, ISNUMBER($C69:AD69)), COUNTA(FILTE"&amp;"R($C69:AD69, ISNUMBER($C69:AD69)))),
lastVal + 'K dynamique'!AD69 * ((SQRT('Résultats des tournois'!AD$2 + 1)/'Résultats des tournois'!AD69) - (1 / (1 + 10^((AD$103 - lastVal)/400)))))
)
))"),"")</f>
        <v/>
      </c>
      <c r="AF69" s="32" t="str">
        <f>IFERROR(__xludf.DUMMYFUNCTION("IF('Résultats des tournois'!AE$2=0,"""",LET(
lastVal, INDEX(FILTER($B69:AE69, ISNUMBER($B69:AE69)), COUNTA(FILTER($B69:AE69, ISNUMBER($B69:AE69)))),
IFERROR(
IF('Résultats des tournois'!AE69="""", INDEX(FILTER($C69:AE69, ISNUMBER($C69:AE69)), COUNTA(FILTE"&amp;"R($C69:AE69, ISNUMBER($C69:AE69)))),
lastVal + 'K dynamique'!AE69 * ((SQRT('Résultats des tournois'!AE$2 + 1)/'Résultats des tournois'!AE69) - (1 / (1 + 10^((AE$103 - lastVal)/400)))))
)
))"),"")</f>
        <v/>
      </c>
      <c r="AG69" s="32" t="str">
        <f>IFERROR(__xludf.DUMMYFUNCTION("IF('Résultats des tournois'!AF$2=0,"""",LET(
lastVal, INDEX(FILTER($B69:AF69, ISNUMBER($B69:AF69)), COUNTA(FILTER($B69:AF69, ISNUMBER($B69:AF69)))),
IFERROR(
IF('Résultats des tournois'!AF69="""", INDEX(FILTER($C69:AF69, ISNUMBER($C69:AF69)), COUNTA(FILTE"&amp;"R($C69:AF69, ISNUMBER($C69:AF69)))),
lastVal + 'K dynamique'!AF69 * ((SQRT('Résultats des tournois'!AF$2 + 1)/'Résultats des tournois'!AF69) - (1 / (1 + 10^((AF$103 - lastVal)/400)))))
)
))"),"")</f>
        <v/>
      </c>
      <c r="AH69" s="32" t="str">
        <f>IFERROR(__xludf.DUMMYFUNCTION("IF('Résultats des tournois'!AG$2=0,"""",LET(
lastVal, INDEX(FILTER($B69:AG69, ISNUMBER($B69:AG69)), COUNTA(FILTER($B69:AG69, ISNUMBER($B69:AG69)))),
IFERROR(
IF('Résultats des tournois'!AG69="""", INDEX(FILTER($C69:AG69, ISNUMBER($C69:AG69)), COUNTA(FILTE"&amp;"R($C69:AG69, ISNUMBER($C69:AG69)))),
lastVal + 'K dynamique'!AG69 * ((SQRT('Résultats des tournois'!AG$2 + 1)/'Résultats des tournois'!AG69) - (1 / (1 + 10^((AG$103 - lastVal)/400)))))
)
))"),"")</f>
        <v/>
      </c>
      <c r="AI69" s="32" t="str">
        <f>IFERROR(__xludf.DUMMYFUNCTION("IF('Résultats des tournois'!AH$2=0,"""",LET(
lastVal, INDEX(FILTER($B69:AH69, ISNUMBER($B69:AH69)), COUNTA(FILTER($B69:AH69, ISNUMBER($B69:AH69)))),
IFERROR(
IF('Résultats des tournois'!AH69="""", INDEX(FILTER($C69:AH69, ISNUMBER($C69:AH69)), COUNTA(FILTE"&amp;"R($C69:AH69, ISNUMBER($C69:AH69)))),
lastVal + 'K dynamique'!AH69 * ((SQRT('Résultats des tournois'!AH$2 + 1)/'Résultats des tournois'!AH69) - (1 / (1 + 10^((AH$103 - lastVal)/400)))))
)
))"),"")</f>
        <v/>
      </c>
      <c r="AJ69" s="32" t="str">
        <f>IFERROR(__xludf.DUMMYFUNCTION("IF('Résultats des tournois'!AI$2=0,"""",LET(
lastVal, INDEX(FILTER($B69:AI69, ISNUMBER($B69:AI69)), COUNTA(FILTER($B69:AI69, ISNUMBER($B69:AI69)))),
IFERROR(
IF('Résultats des tournois'!AI69="""", INDEX(FILTER($C69:AI69, ISNUMBER($C69:AI69)), COUNTA(FILTE"&amp;"R($C69:AI69, ISNUMBER($C69:AI69)))),
lastVal + 'K dynamique'!AI69 * ((SQRT('Résultats des tournois'!AI$2 + 1)/'Résultats des tournois'!AI69) - (1 / (1 + 10^((AI$103 - lastVal)/400)))))
)
))"),"")</f>
        <v/>
      </c>
      <c r="AK69" s="32" t="str">
        <f>IFERROR(__xludf.DUMMYFUNCTION("IF('Résultats des tournois'!AJ$2=0,"""",LET(
lastVal, INDEX(FILTER($B69:AJ69, ISNUMBER($B69:AJ69)), COUNTA(FILTER($B69:AJ69, ISNUMBER($B69:AJ69)))),
IFERROR(
IF('Résultats des tournois'!AJ69="""", INDEX(FILTER($C69:AJ69, ISNUMBER($C69:AJ69)), COUNTA(FILTE"&amp;"R($C69:AJ69, ISNUMBER($C69:AJ69)))),
lastVal + 'K dynamique'!AJ69 * ((SQRT('Résultats des tournois'!AJ$2 + 1)/'Résultats des tournois'!AJ69) - (1 / (1 + 10^((AJ$103 - lastVal)/400)))))
)
))"),"")</f>
        <v/>
      </c>
      <c r="AL69" s="32" t="str">
        <f>IFERROR(__xludf.DUMMYFUNCTION("IF('Résultats des tournois'!AK$2=0,"""",LET(
lastVal, INDEX(FILTER($B69:AK69, ISNUMBER($B69:AK69)), COUNTA(FILTER($B69:AK69, ISNUMBER($B69:AK69)))),
IFERROR(
IF('Résultats des tournois'!AK69="""", INDEX(FILTER($C69:AK69, ISNUMBER($C69:AK69)), COUNTA(FILTE"&amp;"R($C69:AK69, ISNUMBER($C69:AK69)))),
lastVal + 'K dynamique'!AK69 * ((SQRT('Résultats des tournois'!AK$2 + 1)/'Résultats des tournois'!AK69) - (1 / (1 + 10^((AK$103 - lastVal)/400)))))
)
))"),"")</f>
        <v/>
      </c>
      <c r="AM69" s="32" t="str">
        <f>IFERROR(__xludf.DUMMYFUNCTION("IF('Résultats des tournois'!AL$2=0,"""",LET(
lastVal, INDEX(FILTER($B69:AL69, ISNUMBER($B69:AL69)), COUNTA(FILTER($B69:AL69, ISNUMBER($B69:AL69)))),
IFERROR(
IF('Résultats des tournois'!AL69="""", INDEX(FILTER($C69:AL69, ISNUMBER($C69:AL69)), COUNTA(FILTE"&amp;"R($C69:AL69, ISNUMBER($C69:AL69)))),
lastVal + 'K dynamique'!AL69 * ((SQRT('Résultats des tournois'!AL$2 + 1)/'Résultats des tournois'!AL69) - (1 / (1 + 10^((AL$103 - lastVal)/400)))))
)
))"),"")</f>
        <v/>
      </c>
      <c r="AN69" s="32" t="str">
        <f>IFERROR(__xludf.DUMMYFUNCTION("IF('Résultats des tournois'!AM$2=0,"""",LET(
lastVal, INDEX(FILTER($B69:AM69, ISNUMBER($B69:AM69)), COUNTA(FILTER($B69:AM69, ISNUMBER($B69:AM69)))),
IFERROR(
IF('Résultats des tournois'!AM69="""", INDEX(FILTER($C69:AM69, ISNUMBER($C69:AM69)), COUNTA(FILTE"&amp;"R($C69:AM69, ISNUMBER($C69:AM69)))),
lastVal + 'K dynamique'!AM69 * ((SQRT('Résultats des tournois'!AM$2 + 1)/'Résultats des tournois'!AM69) - (1 / (1 + 10^((AM$103 - lastVal)/400)))))
)
))"),"")</f>
        <v/>
      </c>
      <c r="AO69" s="32" t="str">
        <f>IFERROR(__xludf.DUMMYFUNCTION("IF('Résultats des tournois'!AN$2=0,"""",LET(
lastVal, INDEX(FILTER($B69:AN69, ISNUMBER($B69:AN69)), COUNTA(FILTER($B69:AN69, ISNUMBER($B69:AN69)))),
IFERROR(
IF('Résultats des tournois'!AN69="""", INDEX(FILTER($C69:AN69, ISNUMBER($C69:AN69)), COUNTA(FILTE"&amp;"R($C69:AN69, ISNUMBER($C69:AN69)))),
lastVal + 'K dynamique'!AN69 * ((SQRT('Résultats des tournois'!AN$2 + 1)/'Résultats des tournois'!AN69) - (1 / (1 + 10^((AN$103 - lastVal)/400)))))
)
))"),"")</f>
        <v/>
      </c>
      <c r="AP69" s="32" t="str">
        <f>IFERROR(__xludf.DUMMYFUNCTION("IF('Résultats des tournois'!AO$2=0,"""",LET(
lastVal, INDEX(FILTER($B69:AO69, ISNUMBER($B69:AO69)), COUNTA(FILTER($B69:AO69, ISNUMBER($B69:AO69)))),
IFERROR(
IF('Résultats des tournois'!AO69="""", INDEX(FILTER($C69:AO69, ISNUMBER($C69:AO69)), COUNTA(FILTE"&amp;"R($C69:AO69, ISNUMBER($C69:AO69)))),
lastVal + 'K dynamique'!AO69 * ((SQRT('Résultats des tournois'!AO$2 + 1)/'Résultats des tournois'!AO69) - (1 / (1 + 10^((AO$103 - lastVal)/400)))))
)
))"),"")</f>
        <v/>
      </c>
      <c r="AQ69" s="32" t="str">
        <f>IFERROR(__xludf.DUMMYFUNCTION("IF('Résultats des tournois'!AP$2=0,"""",LET(
lastVal, INDEX(FILTER($B69:AP69, ISNUMBER($B69:AP69)), COUNTA(FILTER($B69:AP69, ISNUMBER($B69:AP69)))),
IFERROR(
IF('Résultats des tournois'!AP69="""", INDEX(FILTER($C69:AP69, ISNUMBER($C69:AP69)), COUNTA(FILTE"&amp;"R($C69:AP69, ISNUMBER($C69:AP69)))),
lastVal + 'K dynamique'!AP69 * ((SQRT('Résultats des tournois'!AP$2 + 1)/'Résultats des tournois'!AP69) - (1 / (1 + 10^((AP$103 - lastVal)/400)))))
)
))"),"")</f>
        <v/>
      </c>
      <c r="AR69" s="32" t="str">
        <f>IFERROR(__xludf.DUMMYFUNCTION("IF('Résultats des tournois'!AQ$2=0,"""",LET(
lastVal, INDEX(FILTER($B69:AQ69, ISNUMBER($B69:AQ69)), COUNTA(FILTER($B69:AQ69, ISNUMBER($B69:AQ69)))),
IFERROR(
IF('Résultats des tournois'!AQ69="""", INDEX(FILTER($C69:AQ69, ISNUMBER($C69:AQ69)), COUNTA(FILTE"&amp;"R($C69:AQ69, ISNUMBER($C69:AQ69)))),
lastVal + 'K dynamique'!AQ69 * ((SQRT('Résultats des tournois'!AQ$2 + 1)/'Résultats des tournois'!AQ69) - (1 / (1 + 10^((AQ$103 - lastVal)/400)))))
)
))"),"")</f>
        <v/>
      </c>
      <c r="AS69" s="32" t="str">
        <f>IFERROR(__xludf.DUMMYFUNCTION("IF('Résultats des tournois'!AR$2=0,"""",LET(
lastVal, INDEX(FILTER($B69:AR69, ISNUMBER($B69:AR69)), COUNTA(FILTER($B69:AR69, ISNUMBER($B69:AR69)))),
IFERROR(
IF('Résultats des tournois'!AR69="""", INDEX(FILTER($C69:AR69, ISNUMBER($C69:AR69)), COUNTA(FILTE"&amp;"R($C69:AR69, ISNUMBER($C69:AR69)))),
lastVal + 'K dynamique'!AR69 * ((SQRT('Résultats des tournois'!AR$2 + 1)/'Résultats des tournois'!AR69) - (1 / (1 + 10^((AR$103 - lastVal)/400)))))
)
))"),"")</f>
        <v/>
      </c>
      <c r="AT69" s="32" t="str">
        <f>IFERROR(__xludf.DUMMYFUNCTION("IF('Résultats des tournois'!AS$2=0,"""",LET(
lastVal, INDEX(FILTER($B69:AS69, ISNUMBER($B69:AS69)), COUNTA(FILTER($B69:AS69, ISNUMBER($B69:AS69)))),
IFERROR(
IF('Résultats des tournois'!AS69="""", INDEX(FILTER($C69:AS69, ISNUMBER($C69:AS69)), COUNTA(FILTE"&amp;"R($C69:AS69, ISNUMBER($C69:AS69)))),
lastVal + 'K dynamique'!AS69 * ((SQRT('Résultats des tournois'!AS$2 + 1)/'Résultats des tournois'!AS69) - (1 / (1 + 10^((AS$103 - lastVal)/400)))))
)
))"),"")</f>
        <v/>
      </c>
      <c r="AU69" s="32" t="str">
        <f>IFERROR(__xludf.DUMMYFUNCTION("IF('Résultats des tournois'!AT$2=0,"""",LET(
lastVal, INDEX(FILTER($B69:AT69, ISNUMBER($B69:AT69)), COUNTA(FILTER($B69:AT69, ISNUMBER($B69:AT69)))),
IFERROR(
IF('Résultats des tournois'!AT69="""", INDEX(FILTER($C69:AT69, ISNUMBER($C69:AT69)), COUNTA(FILTE"&amp;"R($C69:AT69, ISNUMBER($C69:AT69)))),
lastVal + 'K dynamique'!AT69 * ((SQRT('Résultats des tournois'!AT$2 + 1)/'Résultats des tournois'!AT69) - (1 / (1 + 10^((AT$103 - lastVal)/400)))))
)
))"),"")</f>
        <v/>
      </c>
      <c r="AV69" s="32" t="str">
        <f>IFERROR(__xludf.DUMMYFUNCTION("IF('Résultats des tournois'!AU$2=0,"""",LET(
lastVal, INDEX(FILTER($B69:AU69, ISNUMBER($B69:AU69)), COUNTA(FILTER($B69:AU69, ISNUMBER($B69:AU69)))),
IFERROR(
IF('Résultats des tournois'!AU69="""", INDEX(FILTER($C69:AU69, ISNUMBER($C69:AU69)), COUNTA(FILTE"&amp;"R($C69:AU69, ISNUMBER($C69:AU69)))),
lastVal + 'K dynamique'!AU69 * ((SQRT('Résultats des tournois'!AU$2 + 1)/'Résultats des tournois'!AU69) - (1 / (1 + 10^((AU$103 - lastVal)/400)))))
)
))"),"")</f>
        <v/>
      </c>
      <c r="AW69" s="32" t="str">
        <f>IFERROR(__xludf.DUMMYFUNCTION("IF('Résultats des tournois'!AV$2=0,"""",LET(
lastVal, INDEX(FILTER($B69:AV69, ISNUMBER($B69:AV69)), COUNTA(FILTER($B69:AV69, ISNUMBER($B69:AV69)))),
IFERROR(
IF('Résultats des tournois'!AV69="""", INDEX(FILTER($C69:AV69, ISNUMBER($C69:AV69)), COUNTA(FILTE"&amp;"R($C69:AV69, ISNUMBER($C69:AV69)))),
lastVal + 'K dynamique'!AV69 * ((SQRT('Résultats des tournois'!AV$2 + 1)/'Résultats des tournois'!AV69) - (1 / (1 + 10^((AV$103 - lastVal)/400)))))
)
))"),"")</f>
        <v/>
      </c>
      <c r="AX69" s="32" t="str">
        <f>IFERROR(__xludf.DUMMYFUNCTION("IF('Résultats des tournois'!AW$2=0,"""",LET(
lastVal, INDEX(FILTER($B69:AW69, ISNUMBER($B69:AW69)), COUNTA(FILTER($B69:AW69, ISNUMBER($B69:AW69)))),
IFERROR(
IF('Résultats des tournois'!AW69="""", INDEX(FILTER($C69:AW69, ISNUMBER($C69:AW69)), COUNTA(FILTE"&amp;"R($C69:AW69, ISNUMBER($C69:AW69)))),
lastVal + 'K dynamique'!AW69 * ((SQRT('Résultats des tournois'!AW$2 + 1)/'Résultats des tournois'!AW69) - (1 / (1 + 10^((AW$103 - lastVal)/400)))))
)
))"),"")</f>
        <v/>
      </c>
      <c r="AY69" s="32" t="str">
        <f>IFERROR(__xludf.DUMMYFUNCTION("IF('Résultats des tournois'!AX$2=0,"""",LET(
lastVal, INDEX(FILTER($B69:AX69, ISNUMBER($B69:AX69)), COUNTA(FILTER($B69:AX69, ISNUMBER($B69:AX69)))),
IFERROR(
IF('Résultats des tournois'!AX69="""", INDEX(FILTER($C69:AX69, ISNUMBER($C69:AX69)), COUNTA(FILTE"&amp;"R($C69:AX69, ISNUMBER($C69:AX69)))),
lastVal + 'K dynamique'!AX69 * ((SQRT('Résultats des tournois'!AX$2 + 1)/'Résultats des tournois'!AX69) - (1 / (1 + 10^((AX$103 - lastVal)/400)))))
)
))"),"")</f>
        <v/>
      </c>
      <c r="AZ69" s="4" t="str">
        <f t="array" ref="AZ69">IF(MAX(($C69:AY69&lt;&gt;"")*COLUMN($C69:AY69))=0,"",INDEX($C69:AY69,1,MAX(($C69:AY69&lt;&gt;"")*COLUMN($C69:AY69))-COLUMN($C69)+1))</f>
        <v/>
      </c>
      <c r="BA69" s="33" t="str">
        <f t="shared" si="1"/>
        <v/>
      </c>
    </row>
    <row r="70" ht="14.25" customHeight="1">
      <c r="A70" s="32" t="str">
        <f>IF('Résultats des tournois'!A70="","",'Résultats des tournois'!A70)</f>
        <v/>
      </c>
      <c r="B70" s="32">
        <v>1500.0</v>
      </c>
      <c r="C70" s="32" t="str">
        <f>IF('Résultats des tournois'!B70="","",B70+'K dynamique'!B70*((SQRT('Résultats des tournois'!B$2+1)/'Résultats des tournois'!B70)-(1/(1+10^((B70-B70)/400)))))</f>
        <v/>
      </c>
      <c r="D70" s="32" t="str">
        <f>IFERROR(__xludf.DUMMYFUNCTION("IF('Résultats des tournois'!C$2=0,"""",LET(
lastVal, INDEX(FILTER($B70:C70, ISNUMBER($B70:C70)), COUNTA(FILTER($B70:C70, ISNUMBER($B70:C70)))),
IFERROR(
IF('Résultats des tournois'!C70="""", INDEX(FILTER($C70:C70, ISNUMBER($C70:C70)), COUNTA(FILTER($C70:C"&amp;"70, ISNUMBER($C70:C70)))),
lastVal + 'K dynamique'!C70 * ((SQRT('Résultats des tournois'!C$2 + 1)/'Résultats des tournois'!C70) - (1 / (1 + 10^((C$103 - lastVal)/400)))))
)
))"),"")</f>
        <v/>
      </c>
      <c r="E70" s="32" t="str">
        <f>IFERROR(__xludf.DUMMYFUNCTION("IF('Résultats des tournois'!D$2=0,"""",LET(
lastVal, INDEX(FILTER($B70:D70, ISNUMBER($B70:D70)), COUNTA(FILTER($B70:D70, ISNUMBER($B70:D70)))),
IFERROR(
IF('Résultats des tournois'!D70="""", INDEX(FILTER($C70:D70, ISNUMBER($C70:D70)), COUNTA(FILTER($C70:D"&amp;"70, ISNUMBER($C70:D70)))),
lastVal + 'K dynamique'!D70 * ((SQRT('Résultats des tournois'!D$2 + 1)/'Résultats des tournois'!D70) - (1 / (1 + 10^((D$103 - lastVal)/400)))))
)
))"),"")</f>
        <v/>
      </c>
      <c r="F70" s="32" t="str">
        <f>IFERROR(__xludf.DUMMYFUNCTION("IF('Résultats des tournois'!E$2=0,"""",LET(
lastVal, INDEX(FILTER($B70:E70, ISNUMBER($B70:E70)), COUNTA(FILTER($B70:E70, ISNUMBER($B70:E70)))),
IFERROR(
IF('Résultats des tournois'!E70="""", INDEX(FILTER($C70:E70, ISNUMBER($C70:E70)), COUNTA(FILTER($C70:E"&amp;"70, ISNUMBER($C70:E70)))),
lastVal + 'K dynamique'!E70 * ((SQRT('Résultats des tournois'!E$2 + 1)/'Résultats des tournois'!E70) - (1 / (1 + 10^((E$103 - lastVal)/400)))))
)
))"),"")</f>
        <v/>
      </c>
      <c r="G70" s="32" t="str">
        <f>IFERROR(__xludf.DUMMYFUNCTION("IF('Résultats des tournois'!F$2=0,"""",LET(
lastVal, INDEX(FILTER($B70:F70, ISNUMBER($B70:F70)), COUNTA(FILTER($B70:F70, ISNUMBER($B70:F70)))),
IFERROR(
IF('Résultats des tournois'!F70="""", INDEX(FILTER($C70:F70, ISNUMBER($C70:F70)), COUNTA(FILTER($C70:F"&amp;"70, ISNUMBER($C70:F70)))),
lastVal + 'K dynamique'!F70 * ((SQRT('Résultats des tournois'!F$2 + 1)/'Résultats des tournois'!F70) - (1 / (1 + 10^((F$103 - lastVal)/400)))))
)
))"),"")</f>
        <v/>
      </c>
      <c r="H70" s="32" t="str">
        <f>IFERROR(__xludf.DUMMYFUNCTION("IF('Résultats des tournois'!G$2=0,"""",LET(
lastVal, INDEX(FILTER($B70:G70, ISNUMBER($B70:G70)), COUNTA(FILTER($B70:G70, ISNUMBER($B70:G70)))),
IFERROR(
IF('Résultats des tournois'!G70="""", INDEX(FILTER($C70:G70, ISNUMBER($C70:G70)), COUNTA(FILTER($C70:G"&amp;"70, ISNUMBER($C70:G70)))),
lastVal + 'K dynamique'!G70 * ((SQRT('Résultats des tournois'!G$2 + 1)/'Résultats des tournois'!G70) - (1 / (1 + 10^((G$103 - lastVal)/400)))))
)
))"),"")</f>
        <v/>
      </c>
      <c r="I70" s="32" t="str">
        <f>IFERROR(__xludf.DUMMYFUNCTION("IF('Résultats des tournois'!H$2=0,"""",LET(
lastVal, INDEX(FILTER($B70:H70, ISNUMBER($B70:H70)), COUNTA(FILTER($B70:H70, ISNUMBER($B70:H70)))),
IFERROR(
IF('Résultats des tournois'!H70="""", INDEX(FILTER($C70:H70, ISNUMBER($C70:H70)), COUNTA(FILTER($C70:H"&amp;"70, ISNUMBER($C70:H70)))),
lastVal + 'K dynamique'!H70 * ((SQRT('Résultats des tournois'!H$2 + 1)/'Résultats des tournois'!H70) - (1 / (1 + 10^((H$103 - lastVal)/400)))))
)
))"),"")</f>
        <v/>
      </c>
      <c r="J70" s="32" t="str">
        <f>IFERROR(__xludf.DUMMYFUNCTION("IF('Résultats des tournois'!I$2=0,"""",LET(
lastVal, INDEX(FILTER($B70:I70, ISNUMBER($B70:I70)), COUNTA(FILTER($B70:I70, ISNUMBER($B70:I70)))),
IFERROR(
IF('Résultats des tournois'!I70="""", INDEX(FILTER($C70:I70, ISNUMBER($C70:I70)), COUNTA(FILTER($C70:I"&amp;"70, ISNUMBER($C70:I70)))),
lastVal + 'K dynamique'!I70 * ((SQRT('Résultats des tournois'!I$2 + 1)/'Résultats des tournois'!I70) - (1 / (1 + 10^((I$103 - lastVal)/400)))))
)
))"),"")</f>
        <v/>
      </c>
      <c r="K70" s="32" t="str">
        <f>IFERROR(__xludf.DUMMYFUNCTION("IF('Résultats des tournois'!J$2=0,"""",LET(
lastVal, INDEX(FILTER($B70:J70, ISNUMBER($B70:J70)), COUNTA(FILTER($B70:J70, ISNUMBER($B70:J70)))),
IFERROR(
IF('Résultats des tournois'!J70="""", INDEX(FILTER($C70:J70, ISNUMBER($C70:J70)), COUNTA(FILTER($C70:J"&amp;"70, ISNUMBER($C70:J70)))),
lastVal + 'K dynamique'!J70 * ((SQRT('Résultats des tournois'!J$2 + 1)/'Résultats des tournois'!J70) - (1 / (1 + 10^((J$103 - lastVal)/400)))))
)
))"),"")</f>
        <v/>
      </c>
      <c r="L70" s="32" t="str">
        <f>IFERROR(__xludf.DUMMYFUNCTION("IF('Résultats des tournois'!K$2=0,"""",LET(
lastVal, INDEX(FILTER($B70:K70, ISNUMBER($B70:K70)), COUNTA(FILTER($B70:K70, ISNUMBER($B70:K70)))),
IFERROR(
IF('Résultats des tournois'!K70="""", INDEX(FILTER($C70:K70, ISNUMBER($C70:K70)), COUNTA(FILTER($C70:K"&amp;"70, ISNUMBER($C70:K70)))),
lastVal + 'K dynamique'!K70 * ((SQRT('Résultats des tournois'!K$2 + 1)/'Résultats des tournois'!K70) - (1 / (1 + 10^((K$103 - lastVal)/400)))))
)
))"),"")</f>
        <v/>
      </c>
      <c r="M70" s="32" t="str">
        <f>IFERROR(__xludf.DUMMYFUNCTION("IF('Résultats des tournois'!L$2=0,"""",LET(
lastVal, INDEX(FILTER($B70:L70, ISNUMBER($B70:L70)), COUNTA(FILTER($B70:L70, ISNUMBER($B70:L70)))),
IFERROR(
IF('Résultats des tournois'!L70="""", INDEX(FILTER($C70:L70, ISNUMBER($C70:L70)), COUNTA(FILTER($C70:L"&amp;"70, ISNUMBER($C70:L70)))),
lastVal + 'K dynamique'!L70 * ((SQRT('Résultats des tournois'!L$2 + 1)/'Résultats des tournois'!L70) - (1 / (1 + 10^((L$103 - lastVal)/400)))))
)
))"),"")</f>
        <v/>
      </c>
      <c r="N70" s="32" t="str">
        <f>IFERROR(__xludf.DUMMYFUNCTION("IF('Résultats des tournois'!M$2=0,"""",LET(
lastVal, INDEX(FILTER($B70:M70, ISNUMBER($B70:M70)), COUNTA(FILTER($B70:M70, ISNUMBER($B70:M70)))),
IFERROR(
IF('Résultats des tournois'!M70="""", INDEX(FILTER($C70:M70, ISNUMBER($C70:M70)), COUNTA(FILTER($C70:M"&amp;"70, ISNUMBER($C70:M70)))),
lastVal + 'K dynamique'!M70 * ((SQRT('Résultats des tournois'!M$2 + 1)/'Résultats des tournois'!M70) - (1 / (1 + 10^((M$103 - lastVal)/400)))))
)
))"),"")</f>
        <v/>
      </c>
      <c r="O70" s="32" t="str">
        <f>IFERROR(__xludf.DUMMYFUNCTION("IF('Résultats des tournois'!N$2=0,"""",LET(
lastVal, INDEX(FILTER($B70:N70, ISNUMBER($B70:N70)), COUNTA(FILTER($B70:N70, ISNUMBER($B70:N70)))),
IFERROR(
IF('Résultats des tournois'!N70="""", INDEX(FILTER($C70:N70, ISNUMBER($C70:N70)), COUNTA(FILTER($C70:N"&amp;"70, ISNUMBER($C70:N70)))),
lastVal + 'K dynamique'!N70 * ((SQRT('Résultats des tournois'!N$2 + 1)/'Résultats des tournois'!N70) - (1 / (1 + 10^((N$103 - lastVal)/400)))))
)
))"),"")</f>
        <v/>
      </c>
      <c r="P70" s="32" t="str">
        <f>IFERROR(__xludf.DUMMYFUNCTION("IF('Résultats des tournois'!O$2=0,"""",LET(
lastVal, INDEX(FILTER($B70:O70, ISNUMBER($B70:O70)), COUNTA(FILTER($B70:O70, ISNUMBER($B70:O70)))),
IFERROR(
IF('Résultats des tournois'!O70="""", INDEX(FILTER($C70:O70, ISNUMBER($C70:O70)), COUNTA(FILTER($C70:O"&amp;"70, ISNUMBER($C70:O70)))),
lastVal + 'K dynamique'!O70 * ((SQRT('Résultats des tournois'!O$2 + 1)/'Résultats des tournois'!O70) - (1 / (1 + 10^((O$103 - lastVal)/400)))))
)
))"),"")</f>
        <v/>
      </c>
      <c r="Q70" s="32" t="str">
        <f>IFERROR(__xludf.DUMMYFUNCTION("IF('Résultats des tournois'!P$2=0,"""",LET(
lastVal, INDEX(FILTER($B70:P70, ISNUMBER($B70:P70)), COUNTA(FILTER($B70:P70, ISNUMBER($B70:P70)))),
IFERROR(
IF('Résultats des tournois'!P70="""", INDEX(FILTER($C70:P70, ISNUMBER($C70:P70)), COUNTA(FILTER($C70:P"&amp;"70, ISNUMBER($C70:P70)))),
lastVal + 'K dynamique'!P70 * ((SQRT('Résultats des tournois'!P$2 + 1)/'Résultats des tournois'!P70) - (1 / (1 + 10^((P$103 - lastVal)/400)))))
)
))"),"")</f>
        <v/>
      </c>
      <c r="R70" s="32" t="str">
        <f>IFERROR(__xludf.DUMMYFUNCTION("IF('Résultats des tournois'!Q$2=0,"""",LET(
lastVal, INDEX(FILTER($B70:Q70, ISNUMBER($B70:Q70)), COUNTA(FILTER($B70:Q70, ISNUMBER($B70:Q70)))),
IFERROR(
IF('Résultats des tournois'!Q70="""", INDEX(FILTER($C70:Q70, ISNUMBER($C70:Q70)), COUNTA(FILTER($C70:Q"&amp;"70, ISNUMBER($C70:Q70)))),
lastVal + 'K dynamique'!Q70 * ((SQRT('Résultats des tournois'!Q$2 + 1)/'Résultats des tournois'!Q70) - (1 / (1 + 10^((Q$103 - lastVal)/400)))))
)
))"),"")</f>
        <v/>
      </c>
      <c r="S70" s="32" t="str">
        <f>IFERROR(__xludf.DUMMYFUNCTION("IF('Résultats des tournois'!R$2=0,"""",LET(
lastVal, INDEX(FILTER($B70:R70, ISNUMBER($B70:R70)), COUNTA(FILTER($B70:R70, ISNUMBER($B70:R70)))),
IFERROR(
IF('Résultats des tournois'!R70="""", INDEX(FILTER($C70:R70, ISNUMBER($C70:R70)), COUNTA(FILTER($C70:R"&amp;"70, ISNUMBER($C70:R70)))),
lastVal + 'K dynamique'!R70 * ((SQRT('Résultats des tournois'!R$2 + 1)/'Résultats des tournois'!R70) - (1 / (1 + 10^((R$103 - lastVal)/400)))))
)
))"),"")</f>
        <v/>
      </c>
      <c r="T70" s="32" t="str">
        <f>IFERROR(__xludf.DUMMYFUNCTION("IF('Résultats des tournois'!S$2=0,"""",LET(
lastVal, INDEX(FILTER($B70:S70, ISNUMBER($B70:S70)), COUNTA(FILTER($B70:S70, ISNUMBER($B70:S70)))),
IFERROR(
IF('Résultats des tournois'!S70="""", INDEX(FILTER($C70:S70, ISNUMBER($C70:S70)), COUNTA(FILTER($C70:S"&amp;"70, ISNUMBER($C70:S70)))),
lastVal + 'K dynamique'!S70 * ((SQRT('Résultats des tournois'!S$2 + 1)/'Résultats des tournois'!S70) - (1 / (1 + 10^((S$103 - lastVal)/400)))))
)
))"),"")</f>
        <v/>
      </c>
      <c r="U70" s="32" t="str">
        <f>IFERROR(__xludf.DUMMYFUNCTION("IF('Résultats des tournois'!T$2=0,"""",LET(
lastVal, INDEX(FILTER($B70:T70, ISNUMBER($B70:T70)), COUNTA(FILTER($B70:T70, ISNUMBER($B70:T70)))),
IFERROR(
IF('Résultats des tournois'!T70="""", INDEX(FILTER($C70:T70, ISNUMBER($C70:T70)), COUNTA(FILTER($C70:T"&amp;"70, ISNUMBER($C70:T70)))),
lastVal + 'K dynamique'!T70 * ((SQRT('Résultats des tournois'!T$2 + 1)/'Résultats des tournois'!T70) - (1 / (1 + 10^((T$103 - lastVal)/400)))))
)
))"),"")</f>
        <v/>
      </c>
      <c r="V70" s="32" t="str">
        <f>IFERROR(__xludf.DUMMYFUNCTION("IF('Résultats des tournois'!U$2=0,"""",LET(
lastVal, INDEX(FILTER($B70:U70, ISNUMBER($B70:U70)), COUNTA(FILTER($B70:U70, ISNUMBER($B70:U70)))),
IFERROR(
IF('Résultats des tournois'!U70="""", INDEX(FILTER($C70:U70, ISNUMBER($C70:U70)), COUNTA(FILTER($C70:U"&amp;"70, ISNUMBER($C70:U70)))),
lastVal + 'K dynamique'!U70 * ((SQRT('Résultats des tournois'!U$2 + 1)/'Résultats des tournois'!U70) - (1 / (1 + 10^((U$103 - lastVal)/400)))))
)
))"),"")</f>
        <v/>
      </c>
      <c r="W70" s="32" t="str">
        <f>IFERROR(__xludf.DUMMYFUNCTION("IF('Résultats des tournois'!V$2=0,"""",LET(
lastVal, INDEX(FILTER($B70:V70, ISNUMBER($B70:V70)), COUNTA(FILTER($B70:V70, ISNUMBER($B70:V70)))),
IFERROR(
IF('Résultats des tournois'!V70="""", INDEX(FILTER($C70:V70, ISNUMBER($C70:V70)), COUNTA(FILTER($C70:V"&amp;"70, ISNUMBER($C70:V70)))),
lastVal + 'K dynamique'!V70 * ((SQRT('Résultats des tournois'!V$2 + 1)/'Résultats des tournois'!V70) - (1 / (1 + 10^((V$103 - lastVal)/400)))))
)
))"),"")</f>
        <v/>
      </c>
      <c r="X70" s="32" t="str">
        <f>IFERROR(__xludf.DUMMYFUNCTION("IF('Résultats des tournois'!W$2=0,"""",LET(
lastVal, INDEX(FILTER($B70:W70, ISNUMBER($B70:W70)), COUNTA(FILTER($B70:W70, ISNUMBER($B70:W70)))),
IFERROR(
IF('Résultats des tournois'!W70="""", INDEX(FILTER($C70:W70, ISNUMBER($C70:W70)), COUNTA(FILTER($C70:W"&amp;"70, ISNUMBER($C70:W70)))),
lastVal + 'K dynamique'!W70 * ((SQRT('Résultats des tournois'!W$2 + 1)/'Résultats des tournois'!W70) - (1 / (1 + 10^((W$103 - lastVal)/400)))))
)
))"),"")</f>
        <v/>
      </c>
      <c r="Y70" s="32" t="str">
        <f>IFERROR(__xludf.DUMMYFUNCTION("IF('Résultats des tournois'!X$2=0,"""",LET(
lastVal, INDEX(FILTER($B70:X70, ISNUMBER($B70:X70)), COUNTA(FILTER($B70:X70, ISNUMBER($B70:X70)))),
IFERROR(
IF('Résultats des tournois'!X70="""", INDEX(FILTER($C70:X70, ISNUMBER($C70:X70)), COUNTA(FILTER($C70:X"&amp;"70, ISNUMBER($C70:X70)))),
lastVal + 'K dynamique'!X70 * ((SQRT('Résultats des tournois'!X$2 + 1)/'Résultats des tournois'!X70) - (1 / (1 + 10^((X$103 - lastVal)/400)))))
)
))"),"")</f>
        <v/>
      </c>
      <c r="Z70" s="32" t="str">
        <f>IFERROR(__xludf.DUMMYFUNCTION("IF('Résultats des tournois'!Y$2=0,"""",LET(
lastVal, INDEX(FILTER($B70:Y70, ISNUMBER($B70:Y70)), COUNTA(FILTER($B70:Y70, ISNUMBER($B70:Y70)))),
IFERROR(
IF('Résultats des tournois'!Y70="""", INDEX(FILTER($C70:Y70, ISNUMBER($C70:Y70)), COUNTA(FILTER($C70:Y"&amp;"70, ISNUMBER($C70:Y70)))),
lastVal + 'K dynamique'!Y70 * ((SQRT('Résultats des tournois'!Y$2 + 1)/'Résultats des tournois'!Y70) - (1 / (1 + 10^((Y$103 - lastVal)/400)))))
)
))"),"")</f>
        <v/>
      </c>
      <c r="AA70" s="32" t="str">
        <f>IFERROR(__xludf.DUMMYFUNCTION("IF('Résultats des tournois'!Z$2=0,"""",LET(
lastVal, INDEX(FILTER($B70:Z70, ISNUMBER($B70:Z70)), COUNTA(FILTER($B70:Z70, ISNUMBER($B70:Z70)))),
IFERROR(
IF('Résultats des tournois'!Z70="""", INDEX(FILTER($C70:Z70, ISNUMBER($C70:Z70)), COUNTA(FILTER($C70:Z"&amp;"70, ISNUMBER($C70:Z70)))),
lastVal + 'K dynamique'!Z70 * ((SQRT('Résultats des tournois'!Z$2 + 1)/'Résultats des tournois'!Z70) - (1 / (1 + 10^((Z$103 - lastVal)/400)))))
)
))"),"")</f>
        <v/>
      </c>
      <c r="AB70" s="32" t="str">
        <f>IFERROR(__xludf.DUMMYFUNCTION("IF('Résultats des tournois'!AA$2=0,"""",LET(
lastVal, INDEX(FILTER($B70:AA70, ISNUMBER($B70:AA70)), COUNTA(FILTER($B70:AA70, ISNUMBER($B70:AA70)))),
IFERROR(
IF('Résultats des tournois'!AA70="""", INDEX(FILTER($C70:AA70, ISNUMBER($C70:AA70)), COUNTA(FILTE"&amp;"R($C70:AA70, ISNUMBER($C70:AA70)))),
lastVal + 'K dynamique'!AA70 * ((SQRT('Résultats des tournois'!AA$2 + 1)/'Résultats des tournois'!AA70) - (1 / (1 + 10^((AA$103 - lastVal)/400)))))
)
))"),"")</f>
        <v/>
      </c>
      <c r="AC70" s="32" t="str">
        <f>IFERROR(__xludf.DUMMYFUNCTION("IF('Résultats des tournois'!AB$2=0,"""",LET(
lastVal, INDEX(FILTER($B70:AB70, ISNUMBER($B70:AB70)), COUNTA(FILTER($B70:AB70, ISNUMBER($B70:AB70)))),
IFERROR(
IF('Résultats des tournois'!AB70="""", INDEX(FILTER($C70:AB70, ISNUMBER($C70:AB70)), COUNTA(FILTE"&amp;"R($C70:AB70, ISNUMBER($C70:AB70)))),
lastVal + 'K dynamique'!AB70 * ((SQRT('Résultats des tournois'!AB$2 + 1)/'Résultats des tournois'!AB70) - (1 / (1 + 10^((AB$103 - lastVal)/400)))))
)
))"),"")</f>
        <v/>
      </c>
      <c r="AD70" s="32" t="str">
        <f>IFERROR(__xludf.DUMMYFUNCTION("IF('Résultats des tournois'!AC$2=0,"""",LET(
lastVal, INDEX(FILTER($B70:AC70, ISNUMBER($B70:AC70)), COUNTA(FILTER($B70:AC70, ISNUMBER($B70:AC70)))),
IFERROR(
IF('Résultats des tournois'!AC70="""", INDEX(FILTER($C70:AC70, ISNUMBER($C70:AC70)), COUNTA(FILTE"&amp;"R($C70:AC70, ISNUMBER($C70:AC70)))),
lastVal + 'K dynamique'!AC70 * ((SQRT('Résultats des tournois'!AC$2 + 1)/'Résultats des tournois'!AC70) - (1 / (1 + 10^((AC$103 - lastVal)/400)))))
)
))"),"")</f>
        <v/>
      </c>
      <c r="AE70" s="32" t="str">
        <f>IFERROR(__xludf.DUMMYFUNCTION("IF('Résultats des tournois'!AD$2=0,"""",LET(
lastVal, INDEX(FILTER($B70:AD70, ISNUMBER($B70:AD70)), COUNTA(FILTER($B70:AD70, ISNUMBER($B70:AD70)))),
IFERROR(
IF('Résultats des tournois'!AD70="""", INDEX(FILTER($C70:AD70, ISNUMBER($C70:AD70)), COUNTA(FILTE"&amp;"R($C70:AD70, ISNUMBER($C70:AD70)))),
lastVal + 'K dynamique'!AD70 * ((SQRT('Résultats des tournois'!AD$2 + 1)/'Résultats des tournois'!AD70) - (1 / (1 + 10^((AD$103 - lastVal)/400)))))
)
))"),"")</f>
        <v/>
      </c>
      <c r="AF70" s="32" t="str">
        <f>IFERROR(__xludf.DUMMYFUNCTION("IF('Résultats des tournois'!AE$2=0,"""",LET(
lastVal, INDEX(FILTER($B70:AE70, ISNUMBER($B70:AE70)), COUNTA(FILTER($B70:AE70, ISNUMBER($B70:AE70)))),
IFERROR(
IF('Résultats des tournois'!AE70="""", INDEX(FILTER($C70:AE70, ISNUMBER($C70:AE70)), COUNTA(FILTE"&amp;"R($C70:AE70, ISNUMBER($C70:AE70)))),
lastVal + 'K dynamique'!AE70 * ((SQRT('Résultats des tournois'!AE$2 + 1)/'Résultats des tournois'!AE70) - (1 / (1 + 10^((AE$103 - lastVal)/400)))))
)
))"),"")</f>
        <v/>
      </c>
      <c r="AG70" s="32" t="str">
        <f>IFERROR(__xludf.DUMMYFUNCTION("IF('Résultats des tournois'!AF$2=0,"""",LET(
lastVal, INDEX(FILTER($B70:AF70, ISNUMBER($B70:AF70)), COUNTA(FILTER($B70:AF70, ISNUMBER($B70:AF70)))),
IFERROR(
IF('Résultats des tournois'!AF70="""", INDEX(FILTER($C70:AF70, ISNUMBER($C70:AF70)), COUNTA(FILTE"&amp;"R($C70:AF70, ISNUMBER($C70:AF70)))),
lastVal + 'K dynamique'!AF70 * ((SQRT('Résultats des tournois'!AF$2 + 1)/'Résultats des tournois'!AF70) - (1 / (1 + 10^((AF$103 - lastVal)/400)))))
)
))"),"")</f>
        <v/>
      </c>
      <c r="AH70" s="32" t="str">
        <f>IFERROR(__xludf.DUMMYFUNCTION("IF('Résultats des tournois'!AG$2=0,"""",LET(
lastVal, INDEX(FILTER($B70:AG70, ISNUMBER($B70:AG70)), COUNTA(FILTER($B70:AG70, ISNUMBER($B70:AG70)))),
IFERROR(
IF('Résultats des tournois'!AG70="""", INDEX(FILTER($C70:AG70, ISNUMBER($C70:AG70)), COUNTA(FILTE"&amp;"R($C70:AG70, ISNUMBER($C70:AG70)))),
lastVal + 'K dynamique'!AG70 * ((SQRT('Résultats des tournois'!AG$2 + 1)/'Résultats des tournois'!AG70) - (1 / (1 + 10^((AG$103 - lastVal)/400)))))
)
))"),"")</f>
        <v/>
      </c>
      <c r="AI70" s="32" t="str">
        <f>IFERROR(__xludf.DUMMYFUNCTION("IF('Résultats des tournois'!AH$2=0,"""",LET(
lastVal, INDEX(FILTER($B70:AH70, ISNUMBER($B70:AH70)), COUNTA(FILTER($B70:AH70, ISNUMBER($B70:AH70)))),
IFERROR(
IF('Résultats des tournois'!AH70="""", INDEX(FILTER($C70:AH70, ISNUMBER($C70:AH70)), COUNTA(FILTE"&amp;"R($C70:AH70, ISNUMBER($C70:AH70)))),
lastVal + 'K dynamique'!AH70 * ((SQRT('Résultats des tournois'!AH$2 + 1)/'Résultats des tournois'!AH70) - (1 / (1 + 10^((AH$103 - lastVal)/400)))))
)
))"),"")</f>
        <v/>
      </c>
      <c r="AJ70" s="32" t="str">
        <f>IFERROR(__xludf.DUMMYFUNCTION("IF('Résultats des tournois'!AI$2=0,"""",LET(
lastVal, INDEX(FILTER($B70:AI70, ISNUMBER($B70:AI70)), COUNTA(FILTER($B70:AI70, ISNUMBER($B70:AI70)))),
IFERROR(
IF('Résultats des tournois'!AI70="""", INDEX(FILTER($C70:AI70, ISNUMBER($C70:AI70)), COUNTA(FILTE"&amp;"R($C70:AI70, ISNUMBER($C70:AI70)))),
lastVal + 'K dynamique'!AI70 * ((SQRT('Résultats des tournois'!AI$2 + 1)/'Résultats des tournois'!AI70) - (1 / (1 + 10^((AI$103 - lastVal)/400)))))
)
))"),"")</f>
        <v/>
      </c>
      <c r="AK70" s="32" t="str">
        <f>IFERROR(__xludf.DUMMYFUNCTION("IF('Résultats des tournois'!AJ$2=0,"""",LET(
lastVal, INDEX(FILTER($B70:AJ70, ISNUMBER($B70:AJ70)), COUNTA(FILTER($B70:AJ70, ISNUMBER($B70:AJ70)))),
IFERROR(
IF('Résultats des tournois'!AJ70="""", INDEX(FILTER($C70:AJ70, ISNUMBER($C70:AJ70)), COUNTA(FILTE"&amp;"R($C70:AJ70, ISNUMBER($C70:AJ70)))),
lastVal + 'K dynamique'!AJ70 * ((SQRT('Résultats des tournois'!AJ$2 + 1)/'Résultats des tournois'!AJ70) - (1 / (1 + 10^((AJ$103 - lastVal)/400)))))
)
))"),"")</f>
        <v/>
      </c>
      <c r="AL70" s="32" t="str">
        <f>IFERROR(__xludf.DUMMYFUNCTION("IF('Résultats des tournois'!AK$2=0,"""",LET(
lastVal, INDEX(FILTER($B70:AK70, ISNUMBER($B70:AK70)), COUNTA(FILTER($B70:AK70, ISNUMBER($B70:AK70)))),
IFERROR(
IF('Résultats des tournois'!AK70="""", INDEX(FILTER($C70:AK70, ISNUMBER($C70:AK70)), COUNTA(FILTE"&amp;"R($C70:AK70, ISNUMBER($C70:AK70)))),
lastVal + 'K dynamique'!AK70 * ((SQRT('Résultats des tournois'!AK$2 + 1)/'Résultats des tournois'!AK70) - (1 / (1 + 10^((AK$103 - lastVal)/400)))))
)
))"),"")</f>
        <v/>
      </c>
      <c r="AM70" s="32" t="str">
        <f>IFERROR(__xludf.DUMMYFUNCTION("IF('Résultats des tournois'!AL$2=0,"""",LET(
lastVal, INDEX(FILTER($B70:AL70, ISNUMBER($B70:AL70)), COUNTA(FILTER($B70:AL70, ISNUMBER($B70:AL70)))),
IFERROR(
IF('Résultats des tournois'!AL70="""", INDEX(FILTER($C70:AL70, ISNUMBER($C70:AL70)), COUNTA(FILTE"&amp;"R($C70:AL70, ISNUMBER($C70:AL70)))),
lastVal + 'K dynamique'!AL70 * ((SQRT('Résultats des tournois'!AL$2 + 1)/'Résultats des tournois'!AL70) - (1 / (1 + 10^((AL$103 - lastVal)/400)))))
)
))"),"")</f>
        <v/>
      </c>
      <c r="AN70" s="32" t="str">
        <f>IFERROR(__xludf.DUMMYFUNCTION("IF('Résultats des tournois'!AM$2=0,"""",LET(
lastVal, INDEX(FILTER($B70:AM70, ISNUMBER($B70:AM70)), COUNTA(FILTER($B70:AM70, ISNUMBER($B70:AM70)))),
IFERROR(
IF('Résultats des tournois'!AM70="""", INDEX(FILTER($C70:AM70, ISNUMBER($C70:AM70)), COUNTA(FILTE"&amp;"R($C70:AM70, ISNUMBER($C70:AM70)))),
lastVal + 'K dynamique'!AM70 * ((SQRT('Résultats des tournois'!AM$2 + 1)/'Résultats des tournois'!AM70) - (1 / (1 + 10^((AM$103 - lastVal)/400)))))
)
))"),"")</f>
        <v/>
      </c>
      <c r="AO70" s="32" t="str">
        <f>IFERROR(__xludf.DUMMYFUNCTION("IF('Résultats des tournois'!AN$2=0,"""",LET(
lastVal, INDEX(FILTER($B70:AN70, ISNUMBER($B70:AN70)), COUNTA(FILTER($B70:AN70, ISNUMBER($B70:AN70)))),
IFERROR(
IF('Résultats des tournois'!AN70="""", INDEX(FILTER($C70:AN70, ISNUMBER($C70:AN70)), COUNTA(FILTE"&amp;"R($C70:AN70, ISNUMBER($C70:AN70)))),
lastVal + 'K dynamique'!AN70 * ((SQRT('Résultats des tournois'!AN$2 + 1)/'Résultats des tournois'!AN70) - (1 / (1 + 10^((AN$103 - lastVal)/400)))))
)
))"),"")</f>
        <v/>
      </c>
      <c r="AP70" s="32" t="str">
        <f>IFERROR(__xludf.DUMMYFUNCTION("IF('Résultats des tournois'!AO$2=0,"""",LET(
lastVal, INDEX(FILTER($B70:AO70, ISNUMBER($B70:AO70)), COUNTA(FILTER($B70:AO70, ISNUMBER($B70:AO70)))),
IFERROR(
IF('Résultats des tournois'!AO70="""", INDEX(FILTER($C70:AO70, ISNUMBER($C70:AO70)), COUNTA(FILTE"&amp;"R($C70:AO70, ISNUMBER($C70:AO70)))),
lastVal + 'K dynamique'!AO70 * ((SQRT('Résultats des tournois'!AO$2 + 1)/'Résultats des tournois'!AO70) - (1 / (1 + 10^((AO$103 - lastVal)/400)))))
)
))"),"")</f>
        <v/>
      </c>
      <c r="AQ70" s="32" t="str">
        <f>IFERROR(__xludf.DUMMYFUNCTION("IF('Résultats des tournois'!AP$2=0,"""",LET(
lastVal, INDEX(FILTER($B70:AP70, ISNUMBER($B70:AP70)), COUNTA(FILTER($B70:AP70, ISNUMBER($B70:AP70)))),
IFERROR(
IF('Résultats des tournois'!AP70="""", INDEX(FILTER($C70:AP70, ISNUMBER($C70:AP70)), COUNTA(FILTE"&amp;"R($C70:AP70, ISNUMBER($C70:AP70)))),
lastVal + 'K dynamique'!AP70 * ((SQRT('Résultats des tournois'!AP$2 + 1)/'Résultats des tournois'!AP70) - (1 / (1 + 10^((AP$103 - lastVal)/400)))))
)
))"),"")</f>
        <v/>
      </c>
      <c r="AR70" s="32" t="str">
        <f>IFERROR(__xludf.DUMMYFUNCTION("IF('Résultats des tournois'!AQ$2=0,"""",LET(
lastVal, INDEX(FILTER($B70:AQ70, ISNUMBER($B70:AQ70)), COUNTA(FILTER($B70:AQ70, ISNUMBER($B70:AQ70)))),
IFERROR(
IF('Résultats des tournois'!AQ70="""", INDEX(FILTER($C70:AQ70, ISNUMBER($C70:AQ70)), COUNTA(FILTE"&amp;"R($C70:AQ70, ISNUMBER($C70:AQ70)))),
lastVal + 'K dynamique'!AQ70 * ((SQRT('Résultats des tournois'!AQ$2 + 1)/'Résultats des tournois'!AQ70) - (1 / (1 + 10^((AQ$103 - lastVal)/400)))))
)
))"),"")</f>
        <v/>
      </c>
      <c r="AS70" s="32" t="str">
        <f>IFERROR(__xludf.DUMMYFUNCTION("IF('Résultats des tournois'!AR$2=0,"""",LET(
lastVal, INDEX(FILTER($B70:AR70, ISNUMBER($B70:AR70)), COUNTA(FILTER($B70:AR70, ISNUMBER($B70:AR70)))),
IFERROR(
IF('Résultats des tournois'!AR70="""", INDEX(FILTER($C70:AR70, ISNUMBER($C70:AR70)), COUNTA(FILTE"&amp;"R($C70:AR70, ISNUMBER($C70:AR70)))),
lastVal + 'K dynamique'!AR70 * ((SQRT('Résultats des tournois'!AR$2 + 1)/'Résultats des tournois'!AR70) - (1 / (1 + 10^((AR$103 - lastVal)/400)))))
)
))"),"")</f>
        <v/>
      </c>
      <c r="AT70" s="32" t="str">
        <f>IFERROR(__xludf.DUMMYFUNCTION("IF('Résultats des tournois'!AS$2=0,"""",LET(
lastVal, INDEX(FILTER($B70:AS70, ISNUMBER($B70:AS70)), COUNTA(FILTER($B70:AS70, ISNUMBER($B70:AS70)))),
IFERROR(
IF('Résultats des tournois'!AS70="""", INDEX(FILTER($C70:AS70, ISNUMBER($C70:AS70)), COUNTA(FILTE"&amp;"R($C70:AS70, ISNUMBER($C70:AS70)))),
lastVal + 'K dynamique'!AS70 * ((SQRT('Résultats des tournois'!AS$2 + 1)/'Résultats des tournois'!AS70) - (1 / (1 + 10^((AS$103 - lastVal)/400)))))
)
))"),"")</f>
        <v/>
      </c>
      <c r="AU70" s="32" t="str">
        <f>IFERROR(__xludf.DUMMYFUNCTION("IF('Résultats des tournois'!AT$2=0,"""",LET(
lastVal, INDEX(FILTER($B70:AT70, ISNUMBER($B70:AT70)), COUNTA(FILTER($B70:AT70, ISNUMBER($B70:AT70)))),
IFERROR(
IF('Résultats des tournois'!AT70="""", INDEX(FILTER($C70:AT70, ISNUMBER($C70:AT70)), COUNTA(FILTE"&amp;"R($C70:AT70, ISNUMBER($C70:AT70)))),
lastVal + 'K dynamique'!AT70 * ((SQRT('Résultats des tournois'!AT$2 + 1)/'Résultats des tournois'!AT70) - (1 / (1 + 10^((AT$103 - lastVal)/400)))))
)
))"),"")</f>
        <v/>
      </c>
      <c r="AV70" s="32" t="str">
        <f>IFERROR(__xludf.DUMMYFUNCTION("IF('Résultats des tournois'!AU$2=0,"""",LET(
lastVal, INDEX(FILTER($B70:AU70, ISNUMBER($B70:AU70)), COUNTA(FILTER($B70:AU70, ISNUMBER($B70:AU70)))),
IFERROR(
IF('Résultats des tournois'!AU70="""", INDEX(FILTER($C70:AU70, ISNUMBER($C70:AU70)), COUNTA(FILTE"&amp;"R($C70:AU70, ISNUMBER($C70:AU70)))),
lastVal + 'K dynamique'!AU70 * ((SQRT('Résultats des tournois'!AU$2 + 1)/'Résultats des tournois'!AU70) - (1 / (1 + 10^((AU$103 - lastVal)/400)))))
)
))"),"")</f>
        <v/>
      </c>
      <c r="AW70" s="32" t="str">
        <f>IFERROR(__xludf.DUMMYFUNCTION("IF('Résultats des tournois'!AV$2=0,"""",LET(
lastVal, INDEX(FILTER($B70:AV70, ISNUMBER($B70:AV70)), COUNTA(FILTER($B70:AV70, ISNUMBER($B70:AV70)))),
IFERROR(
IF('Résultats des tournois'!AV70="""", INDEX(FILTER($C70:AV70, ISNUMBER($C70:AV70)), COUNTA(FILTE"&amp;"R($C70:AV70, ISNUMBER($C70:AV70)))),
lastVal + 'K dynamique'!AV70 * ((SQRT('Résultats des tournois'!AV$2 + 1)/'Résultats des tournois'!AV70) - (1 / (1 + 10^((AV$103 - lastVal)/400)))))
)
))"),"")</f>
        <v/>
      </c>
      <c r="AX70" s="32" t="str">
        <f>IFERROR(__xludf.DUMMYFUNCTION("IF('Résultats des tournois'!AW$2=0,"""",LET(
lastVal, INDEX(FILTER($B70:AW70, ISNUMBER($B70:AW70)), COUNTA(FILTER($B70:AW70, ISNUMBER($B70:AW70)))),
IFERROR(
IF('Résultats des tournois'!AW70="""", INDEX(FILTER($C70:AW70, ISNUMBER($C70:AW70)), COUNTA(FILTE"&amp;"R($C70:AW70, ISNUMBER($C70:AW70)))),
lastVal + 'K dynamique'!AW70 * ((SQRT('Résultats des tournois'!AW$2 + 1)/'Résultats des tournois'!AW70) - (1 / (1 + 10^((AW$103 - lastVal)/400)))))
)
))"),"")</f>
        <v/>
      </c>
      <c r="AY70" s="32" t="str">
        <f>IFERROR(__xludf.DUMMYFUNCTION("IF('Résultats des tournois'!AX$2=0,"""",LET(
lastVal, INDEX(FILTER($B70:AX70, ISNUMBER($B70:AX70)), COUNTA(FILTER($B70:AX70, ISNUMBER($B70:AX70)))),
IFERROR(
IF('Résultats des tournois'!AX70="""", INDEX(FILTER($C70:AX70, ISNUMBER($C70:AX70)), COUNTA(FILTE"&amp;"R($C70:AX70, ISNUMBER($C70:AX70)))),
lastVal + 'K dynamique'!AX70 * ((SQRT('Résultats des tournois'!AX$2 + 1)/'Résultats des tournois'!AX70) - (1 / (1 + 10^((AX$103 - lastVal)/400)))))
)
))"),"")</f>
        <v/>
      </c>
      <c r="AZ70" s="4" t="str">
        <f t="array" ref="AZ70">IF(MAX(($C70:AY70&lt;&gt;"")*COLUMN($C70:AY70))=0,"",INDEX($C70:AY70,1,MAX(($C70:AY70&lt;&gt;"")*COLUMN($C70:AY70))-COLUMN($C70)+1))</f>
        <v/>
      </c>
      <c r="BA70" s="33" t="str">
        <f t="shared" si="1"/>
        <v/>
      </c>
    </row>
    <row r="71" ht="14.25" customHeight="1">
      <c r="A71" s="32" t="str">
        <f>IF('Résultats des tournois'!A71="","",'Résultats des tournois'!A71)</f>
        <v/>
      </c>
      <c r="B71" s="32">
        <v>1500.0</v>
      </c>
      <c r="C71" s="32" t="str">
        <f>IF('Résultats des tournois'!B71="","",B71+'K dynamique'!B71*((SQRT('Résultats des tournois'!B$2+1)/'Résultats des tournois'!B71)-(1/(1+10^((B71-B71)/400)))))</f>
        <v/>
      </c>
      <c r="D71" s="32" t="str">
        <f>IFERROR(__xludf.DUMMYFUNCTION("IF('Résultats des tournois'!C$2=0,"""",LET(
lastVal, INDEX(FILTER($B71:C71, ISNUMBER($B71:C71)), COUNTA(FILTER($B71:C71, ISNUMBER($B71:C71)))),
IFERROR(
IF('Résultats des tournois'!C71="""", INDEX(FILTER($C71:C71, ISNUMBER($C71:C71)), COUNTA(FILTER($C71:C"&amp;"71, ISNUMBER($C71:C71)))),
lastVal + 'K dynamique'!C71 * ((SQRT('Résultats des tournois'!C$2 + 1)/'Résultats des tournois'!C71) - (1 / (1 + 10^((C$103 - lastVal)/400)))))
)
))"),"")</f>
        <v/>
      </c>
      <c r="E71" s="32" t="str">
        <f>IFERROR(__xludf.DUMMYFUNCTION("IF('Résultats des tournois'!D$2=0,"""",LET(
lastVal, INDEX(FILTER($B71:D71, ISNUMBER($B71:D71)), COUNTA(FILTER($B71:D71, ISNUMBER($B71:D71)))),
IFERROR(
IF('Résultats des tournois'!D71="""", INDEX(FILTER($C71:D71, ISNUMBER($C71:D71)), COUNTA(FILTER($C71:D"&amp;"71, ISNUMBER($C71:D71)))),
lastVal + 'K dynamique'!D71 * ((SQRT('Résultats des tournois'!D$2 + 1)/'Résultats des tournois'!D71) - (1 / (1 + 10^((D$103 - lastVal)/400)))))
)
))"),"")</f>
        <v/>
      </c>
      <c r="F71" s="32" t="str">
        <f>IFERROR(__xludf.DUMMYFUNCTION("IF('Résultats des tournois'!E$2=0,"""",LET(
lastVal, INDEX(FILTER($B71:E71, ISNUMBER($B71:E71)), COUNTA(FILTER($B71:E71, ISNUMBER($B71:E71)))),
IFERROR(
IF('Résultats des tournois'!E71="""", INDEX(FILTER($C71:E71, ISNUMBER($C71:E71)), COUNTA(FILTER($C71:E"&amp;"71, ISNUMBER($C71:E71)))),
lastVal + 'K dynamique'!E71 * ((SQRT('Résultats des tournois'!E$2 + 1)/'Résultats des tournois'!E71) - (1 / (1 + 10^((E$103 - lastVal)/400)))))
)
))"),"")</f>
        <v/>
      </c>
      <c r="G71" s="32" t="str">
        <f>IFERROR(__xludf.DUMMYFUNCTION("IF('Résultats des tournois'!F$2=0,"""",LET(
lastVal, INDEX(FILTER($B71:F71, ISNUMBER($B71:F71)), COUNTA(FILTER($B71:F71, ISNUMBER($B71:F71)))),
IFERROR(
IF('Résultats des tournois'!F71="""", INDEX(FILTER($C71:F71, ISNUMBER($C71:F71)), COUNTA(FILTER($C71:F"&amp;"71, ISNUMBER($C71:F71)))),
lastVal + 'K dynamique'!F71 * ((SQRT('Résultats des tournois'!F$2 + 1)/'Résultats des tournois'!F71) - (1 / (1 + 10^((F$103 - lastVal)/400)))))
)
))"),"")</f>
        <v/>
      </c>
      <c r="H71" s="32" t="str">
        <f>IFERROR(__xludf.DUMMYFUNCTION("IF('Résultats des tournois'!G$2=0,"""",LET(
lastVal, INDEX(FILTER($B71:G71, ISNUMBER($B71:G71)), COUNTA(FILTER($B71:G71, ISNUMBER($B71:G71)))),
IFERROR(
IF('Résultats des tournois'!G71="""", INDEX(FILTER($C71:G71, ISNUMBER($C71:G71)), COUNTA(FILTER($C71:G"&amp;"71, ISNUMBER($C71:G71)))),
lastVal + 'K dynamique'!G71 * ((SQRT('Résultats des tournois'!G$2 + 1)/'Résultats des tournois'!G71) - (1 / (1 + 10^((G$103 - lastVal)/400)))))
)
))"),"")</f>
        <v/>
      </c>
      <c r="I71" s="32" t="str">
        <f>IFERROR(__xludf.DUMMYFUNCTION("IF('Résultats des tournois'!H$2=0,"""",LET(
lastVal, INDEX(FILTER($B71:H71, ISNUMBER($B71:H71)), COUNTA(FILTER($B71:H71, ISNUMBER($B71:H71)))),
IFERROR(
IF('Résultats des tournois'!H71="""", INDEX(FILTER($C71:H71, ISNUMBER($C71:H71)), COUNTA(FILTER($C71:H"&amp;"71, ISNUMBER($C71:H71)))),
lastVal + 'K dynamique'!H71 * ((SQRT('Résultats des tournois'!H$2 + 1)/'Résultats des tournois'!H71) - (1 / (1 + 10^((H$103 - lastVal)/400)))))
)
))"),"")</f>
        <v/>
      </c>
      <c r="J71" s="32" t="str">
        <f>IFERROR(__xludf.DUMMYFUNCTION("IF('Résultats des tournois'!I$2=0,"""",LET(
lastVal, INDEX(FILTER($B71:I71, ISNUMBER($B71:I71)), COUNTA(FILTER($B71:I71, ISNUMBER($B71:I71)))),
IFERROR(
IF('Résultats des tournois'!I71="""", INDEX(FILTER($C71:I71, ISNUMBER($C71:I71)), COUNTA(FILTER($C71:I"&amp;"71, ISNUMBER($C71:I71)))),
lastVal + 'K dynamique'!I71 * ((SQRT('Résultats des tournois'!I$2 + 1)/'Résultats des tournois'!I71) - (1 / (1 + 10^((I$103 - lastVal)/400)))))
)
))"),"")</f>
        <v/>
      </c>
      <c r="K71" s="32" t="str">
        <f>IFERROR(__xludf.DUMMYFUNCTION("IF('Résultats des tournois'!J$2=0,"""",LET(
lastVal, INDEX(FILTER($B71:J71, ISNUMBER($B71:J71)), COUNTA(FILTER($B71:J71, ISNUMBER($B71:J71)))),
IFERROR(
IF('Résultats des tournois'!J71="""", INDEX(FILTER($C71:J71, ISNUMBER($C71:J71)), COUNTA(FILTER($C71:J"&amp;"71, ISNUMBER($C71:J71)))),
lastVal + 'K dynamique'!J71 * ((SQRT('Résultats des tournois'!J$2 + 1)/'Résultats des tournois'!J71) - (1 / (1 + 10^((J$103 - lastVal)/400)))))
)
))"),"")</f>
        <v/>
      </c>
      <c r="L71" s="32" t="str">
        <f>IFERROR(__xludf.DUMMYFUNCTION("IF('Résultats des tournois'!K$2=0,"""",LET(
lastVal, INDEX(FILTER($B71:K71, ISNUMBER($B71:K71)), COUNTA(FILTER($B71:K71, ISNUMBER($B71:K71)))),
IFERROR(
IF('Résultats des tournois'!K71="""", INDEX(FILTER($C71:K71, ISNUMBER($C71:K71)), COUNTA(FILTER($C71:K"&amp;"71, ISNUMBER($C71:K71)))),
lastVal + 'K dynamique'!K71 * ((SQRT('Résultats des tournois'!K$2 + 1)/'Résultats des tournois'!K71) - (1 / (1 + 10^((K$103 - lastVal)/400)))))
)
))"),"")</f>
        <v/>
      </c>
      <c r="M71" s="32" t="str">
        <f>IFERROR(__xludf.DUMMYFUNCTION("IF('Résultats des tournois'!L$2=0,"""",LET(
lastVal, INDEX(FILTER($B71:L71, ISNUMBER($B71:L71)), COUNTA(FILTER($B71:L71, ISNUMBER($B71:L71)))),
IFERROR(
IF('Résultats des tournois'!L71="""", INDEX(FILTER($C71:L71, ISNUMBER($C71:L71)), COUNTA(FILTER($C71:L"&amp;"71, ISNUMBER($C71:L71)))),
lastVal + 'K dynamique'!L71 * ((SQRT('Résultats des tournois'!L$2 + 1)/'Résultats des tournois'!L71) - (1 / (1 + 10^((L$103 - lastVal)/400)))))
)
))"),"")</f>
        <v/>
      </c>
      <c r="N71" s="32" t="str">
        <f>IFERROR(__xludf.DUMMYFUNCTION("IF('Résultats des tournois'!M$2=0,"""",LET(
lastVal, INDEX(FILTER($B71:M71, ISNUMBER($B71:M71)), COUNTA(FILTER($B71:M71, ISNUMBER($B71:M71)))),
IFERROR(
IF('Résultats des tournois'!M71="""", INDEX(FILTER($C71:M71, ISNUMBER($C71:M71)), COUNTA(FILTER($C71:M"&amp;"71, ISNUMBER($C71:M71)))),
lastVal + 'K dynamique'!M71 * ((SQRT('Résultats des tournois'!M$2 + 1)/'Résultats des tournois'!M71) - (1 / (1 + 10^((M$103 - lastVal)/400)))))
)
))"),"")</f>
        <v/>
      </c>
      <c r="O71" s="32" t="str">
        <f>IFERROR(__xludf.DUMMYFUNCTION("IF('Résultats des tournois'!N$2=0,"""",LET(
lastVal, INDEX(FILTER($B71:N71, ISNUMBER($B71:N71)), COUNTA(FILTER($B71:N71, ISNUMBER($B71:N71)))),
IFERROR(
IF('Résultats des tournois'!N71="""", INDEX(FILTER($C71:N71, ISNUMBER($C71:N71)), COUNTA(FILTER($C71:N"&amp;"71, ISNUMBER($C71:N71)))),
lastVal + 'K dynamique'!N71 * ((SQRT('Résultats des tournois'!N$2 + 1)/'Résultats des tournois'!N71) - (1 / (1 + 10^((N$103 - lastVal)/400)))))
)
))"),"")</f>
        <v/>
      </c>
      <c r="P71" s="32" t="str">
        <f>IFERROR(__xludf.DUMMYFUNCTION("IF('Résultats des tournois'!O$2=0,"""",LET(
lastVal, INDEX(FILTER($B71:O71, ISNUMBER($B71:O71)), COUNTA(FILTER($B71:O71, ISNUMBER($B71:O71)))),
IFERROR(
IF('Résultats des tournois'!O71="""", INDEX(FILTER($C71:O71, ISNUMBER($C71:O71)), COUNTA(FILTER($C71:O"&amp;"71, ISNUMBER($C71:O71)))),
lastVal + 'K dynamique'!O71 * ((SQRT('Résultats des tournois'!O$2 + 1)/'Résultats des tournois'!O71) - (1 / (1 + 10^((O$103 - lastVal)/400)))))
)
))"),"")</f>
        <v/>
      </c>
      <c r="Q71" s="32" t="str">
        <f>IFERROR(__xludf.DUMMYFUNCTION("IF('Résultats des tournois'!P$2=0,"""",LET(
lastVal, INDEX(FILTER($B71:P71, ISNUMBER($B71:P71)), COUNTA(FILTER($B71:P71, ISNUMBER($B71:P71)))),
IFERROR(
IF('Résultats des tournois'!P71="""", INDEX(FILTER($C71:P71, ISNUMBER($C71:P71)), COUNTA(FILTER($C71:P"&amp;"71, ISNUMBER($C71:P71)))),
lastVal + 'K dynamique'!P71 * ((SQRT('Résultats des tournois'!P$2 + 1)/'Résultats des tournois'!P71) - (1 / (1 + 10^((P$103 - lastVal)/400)))))
)
))"),"")</f>
        <v/>
      </c>
      <c r="R71" s="32" t="str">
        <f>IFERROR(__xludf.DUMMYFUNCTION("IF('Résultats des tournois'!Q$2=0,"""",LET(
lastVal, INDEX(FILTER($B71:Q71, ISNUMBER($B71:Q71)), COUNTA(FILTER($B71:Q71, ISNUMBER($B71:Q71)))),
IFERROR(
IF('Résultats des tournois'!Q71="""", INDEX(FILTER($C71:Q71, ISNUMBER($C71:Q71)), COUNTA(FILTER($C71:Q"&amp;"71, ISNUMBER($C71:Q71)))),
lastVal + 'K dynamique'!Q71 * ((SQRT('Résultats des tournois'!Q$2 + 1)/'Résultats des tournois'!Q71) - (1 / (1 + 10^((Q$103 - lastVal)/400)))))
)
))"),"")</f>
        <v/>
      </c>
      <c r="S71" s="32" t="str">
        <f>IFERROR(__xludf.DUMMYFUNCTION("IF('Résultats des tournois'!R$2=0,"""",LET(
lastVal, INDEX(FILTER($B71:R71, ISNUMBER($B71:R71)), COUNTA(FILTER($B71:R71, ISNUMBER($B71:R71)))),
IFERROR(
IF('Résultats des tournois'!R71="""", INDEX(FILTER($C71:R71, ISNUMBER($C71:R71)), COUNTA(FILTER($C71:R"&amp;"71, ISNUMBER($C71:R71)))),
lastVal + 'K dynamique'!R71 * ((SQRT('Résultats des tournois'!R$2 + 1)/'Résultats des tournois'!R71) - (1 / (1 + 10^((R$103 - lastVal)/400)))))
)
))"),"")</f>
        <v/>
      </c>
      <c r="T71" s="32" t="str">
        <f>IFERROR(__xludf.DUMMYFUNCTION("IF('Résultats des tournois'!S$2=0,"""",LET(
lastVal, INDEX(FILTER($B71:S71, ISNUMBER($B71:S71)), COUNTA(FILTER($B71:S71, ISNUMBER($B71:S71)))),
IFERROR(
IF('Résultats des tournois'!S71="""", INDEX(FILTER($C71:S71, ISNUMBER($C71:S71)), COUNTA(FILTER($C71:S"&amp;"71, ISNUMBER($C71:S71)))),
lastVal + 'K dynamique'!S71 * ((SQRT('Résultats des tournois'!S$2 + 1)/'Résultats des tournois'!S71) - (1 / (1 + 10^((S$103 - lastVal)/400)))))
)
))"),"")</f>
        <v/>
      </c>
      <c r="U71" s="32" t="str">
        <f>IFERROR(__xludf.DUMMYFUNCTION("IF('Résultats des tournois'!T$2=0,"""",LET(
lastVal, INDEX(FILTER($B71:T71, ISNUMBER($B71:T71)), COUNTA(FILTER($B71:T71, ISNUMBER($B71:T71)))),
IFERROR(
IF('Résultats des tournois'!T71="""", INDEX(FILTER($C71:T71, ISNUMBER($C71:T71)), COUNTA(FILTER($C71:T"&amp;"71, ISNUMBER($C71:T71)))),
lastVal + 'K dynamique'!T71 * ((SQRT('Résultats des tournois'!T$2 + 1)/'Résultats des tournois'!T71) - (1 / (1 + 10^((T$103 - lastVal)/400)))))
)
))"),"")</f>
        <v/>
      </c>
      <c r="V71" s="32" t="str">
        <f>IFERROR(__xludf.DUMMYFUNCTION("IF('Résultats des tournois'!U$2=0,"""",LET(
lastVal, INDEX(FILTER($B71:U71, ISNUMBER($B71:U71)), COUNTA(FILTER($B71:U71, ISNUMBER($B71:U71)))),
IFERROR(
IF('Résultats des tournois'!U71="""", INDEX(FILTER($C71:U71, ISNUMBER($C71:U71)), COUNTA(FILTER($C71:U"&amp;"71, ISNUMBER($C71:U71)))),
lastVal + 'K dynamique'!U71 * ((SQRT('Résultats des tournois'!U$2 + 1)/'Résultats des tournois'!U71) - (1 / (1 + 10^((U$103 - lastVal)/400)))))
)
))"),"")</f>
        <v/>
      </c>
      <c r="W71" s="32" t="str">
        <f>IFERROR(__xludf.DUMMYFUNCTION("IF('Résultats des tournois'!V$2=0,"""",LET(
lastVal, INDEX(FILTER($B71:V71, ISNUMBER($B71:V71)), COUNTA(FILTER($B71:V71, ISNUMBER($B71:V71)))),
IFERROR(
IF('Résultats des tournois'!V71="""", INDEX(FILTER($C71:V71, ISNUMBER($C71:V71)), COUNTA(FILTER($C71:V"&amp;"71, ISNUMBER($C71:V71)))),
lastVal + 'K dynamique'!V71 * ((SQRT('Résultats des tournois'!V$2 + 1)/'Résultats des tournois'!V71) - (1 / (1 + 10^((V$103 - lastVal)/400)))))
)
))"),"")</f>
        <v/>
      </c>
      <c r="X71" s="32" t="str">
        <f>IFERROR(__xludf.DUMMYFUNCTION("IF('Résultats des tournois'!W$2=0,"""",LET(
lastVal, INDEX(FILTER($B71:W71, ISNUMBER($B71:W71)), COUNTA(FILTER($B71:W71, ISNUMBER($B71:W71)))),
IFERROR(
IF('Résultats des tournois'!W71="""", INDEX(FILTER($C71:W71, ISNUMBER($C71:W71)), COUNTA(FILTER($C71:W"&amp;"71, ISNUMBER($C71:W71)))),
lastVal + 'K dynamique'!W71 * ((SQRT('Résultats des tournois'!W$2 + 1)/'Résultats des tournois'!W71) - (1 / (1 + 10^((W$103 - lastVal)/400)))))
)
))"),"")</f>
        <v/>
      </c>
      <c r="Y71" s="32" t="str">
        <f>IFERROR(__xludf.DUMMYFUNCTION("IF('Résultats des tournois'!X$2=0,"""",LET(
lastVal, INDEX(FILTER($B71:X71, ISNUMBER($B71:X71)), COUNTA(FILTER($B71:X71, ISNUMBER($B71:X71)))),
IFERROR(
IF('Résultats des tournois'!X71="""", INDEX(FILTER($C71:X71, ISNUMBER($C71:X71)), COUNTA(FILTER($C71:X"&amp;"71, ISNUMBER($C71:X71)))),
lastVal + 'K dynamique'!X71 * ((SQRT('Résultats des tournois'!X$2 + 1)/'Résultats des tournois'!X71) - (1 / (1 + 10^((X$103 - lastVal)/400)))))
)
))"),"")</f>
        <v/>
      </c>
      <c r="Z71" s="32" t="str">
        <f>IFERROR(__xludf.DUMMYFUNCTION("IF('Résultats des tournois'!Y$2=0,"""",LET(
lastVal, INDEX(FILTER($B71:Y71, ISNUMBER($B71:Y71)), COUNTA(FILTER($B71:Y71, ISNUMBER($B71:Y71)))),
IFERROR(
IF('Résultats des tournois'!Y71="""", INDEX(FILTER($C71:Y71, ISNUMBER($C71:Y71)), COUNTA(FILTER($C71:Y"&amp;"71, ISNUMBER($C71:Y71)))),
lastVal + 'K dynamique'!Y71 * ((SQRT('Résultats des tournois'!Y$2 + 1)/'Résultats des tournois'!Y71) - (1 / (1 + 10^((Y$103 - lastVal)/400)))))
)
))"),"")</f>
        <v/>
      </c>
      <c r="AA71" s="32" t="str">
        <f>IFERROR(__xludf.DUMMYFUNCTION("IF('Résultats des tournois'!Z$2=0,"""",LET(
lastVal, INDEX(FILTER($B71:Z71, ISNUMBER($B71:Z71)), COUNTA(FILTER($B71:Z71, ISNUMBER($B71:Z71)))),
IFERROR(
IF('Résultats des tournois'!Z71="""", INDEX(FILTER($C71:Z71, ISNUMBER($C71:Z71)), COUNTA(FILTER($C71:Z"&amp;"71, ISNUMBER($C71:Z71)))),
lastVal + 'K dynamique'!Z71 * ((SQRT('Résultats des tournois'!Z$2 + 1)/'Résultats des tournois'!Z71) - (1 / (1 + 10^((Z$103 - lastVal)/400)))))
)
))"),"")</f>
        <v/>
      </c>
      <c r="AB71" s="32" t="str">
        <f>IFERROR(__xludf.DUMMYFUNCTION("IF('Résultats des tournois'!AA$2=0,"""",LET(
lastVal, INDEX(FILTER($B71:AA71, ISNUMBER($B71:AA71)), COUNTA(FILTER($B71:AA71, ISNUMBER($B71:AA71)))),
IFERROR(
IF('Résultats des tournois'!AA71="""", INDEX(FILTER($C71:AA71, ISNUMBER($C71:AA71)), COUNTA(FILTE"&amp;"R($C71:AA71, ISNUMBER($C71:AA71)))),
lastVal + 'K dynamique'!AA71 * ((SQRT('Résultats des tournois'!AA$2 + 1)/'Résultats des tournois'!AA71) - (1 / (1 + 10^((AA$103 - lastVal)/400)))))
)
))"),"")</f>
        <v/>
      </c>
      <c r="AC71" s="32" t="str">
        <f>IFERROR(__xludf.DUMMYFUNCTION("IF('Résultats des tournois'!AB$2=0,"""",LET(
lastVal, INDEX(FILTER($B71:AB71, ISNUMBER($B71:AB71)), COUNTA(FILTER($B71:AB71, ISNUMBER($B71:AB71)))),
IFERROR(
IF('Résultats des tournois'!AB71="""", INDEX(FILTER($C71:AB71, ISNUMBER($C71:AB71)), COUNTA(FILTE"&amp;"R($C71:AB71, ISNUMBER($C71:AB71)))),
lastVal + 'K dynamique'!AB71 * ((SQRT('Résultats des tournois'!AB$2 + 1)/'Résultats des tournois'!AB71) - (1 / (1 + 10^((AB$103 - lastVal)/400)))))
)
))"),"")</f>
        <v/>
      </c>
      <c r="AD71" s="32" t="str">
        <f>IFERROR(__xludf.DUMMYFUNCTION("IF('Résultats des tournois'!AC$2=0,"""",LET(
lastVal, INDEX(FILTER($B71:AC71, ISNUMBER($B71:AC71)), COUNTA(FILTER($B71:AC71, ISNUMBER($B71:AC71)))),
IFERROR(
IF('Résultats des tournois'!AC71="""", INDEX(FILTER($C71:AC71, ISNUMBER($C71:AC71)), COUNTA(FILTE"&amp;"R($C71:AC71, ISNUMBER($C71:AC71)))),
lastVal + 'K dynamique'!AC71 * ((SQRT('Résultats des tournois'!AC$2 + 1)/'Résultats des tournois'!AC71) - (1 / (1 + 10^((AC$103 - lastVal)/400)))))
)
))"),"")</f>
        <v/>
      </c>
      <c r="AE71" s="32" t="str">
        <f>IFERROR(__xludf.DUMMYFUNCTION("IF('Résultats des tournois'!AD$2=0,"""",LET(
lastVal, INDEX(FILTER($B71:AD71, ISNUMBER($B71:AD71)), COUNTA(FILTER($B71:AD71, ISNUMBER($B71:AD71)))),
IFERROR(
IF('Résultats des tournois'!AD71="""", INDEX(FILTER($C71:AD71, ISNUMBER($C71:AD71)), COUNTA(FILTE"&amp;"R($C71:AD71, ISNUMBER($C71:AD71)))),
lastVal + 'K dynamique'!AD71 * ((SQRT('Résultats des tournois'!AD$2 + 1)/'Résultats des tournois'!AD71) - (1 / (1 + 10^((AD$103 - lastVal)/400)))))
)
))"),"")</f>
        <v/>
      </c>
      <c r="AF71" s="32" t="str">
        <f>IFERROR(__xludf.DUMMYFUNCTION("IF('Résultats des tournois'!AE$2=0,"""",LET(
lastVal, INDEX(FILTER($B71:AE71, ISNUMBER($B71:AE71)), COUNTA(FILTER($B71:AE71, ISNUMBER($B71:AE71)))),
IFERROR(
IF('Résultats des tournois'!AE71="""", INDEX(FILTER($C71:AE71, ISNUMBER($C71:AE71)), COUNTA(FILTE"&amp;"R($C71:AE71, ISNUMBER($C71:AE71)))),
lastVal + 'K dynamique'!AE71 * ((SQRT('Résultats des tournois'!AE$2 + 1)/'Résultats des tournois'!AE71) - (1 / (1 + 10^((AE$103 - lastVal)/400)))))
)
))"),"")</f>
        <v/>
      </c>
      <c r="AG71" s="32" t="str">
        <f>IFERROR(__xludf.DUMMYFUNCTION("IF('Résultats des tournois'!AF$2=0,"""",LET(
lastVal, INDEX(FILTER($B71:AF71, ISNUMBER($B71:AF71)), COUNTA(FILTER($B71:AF71, ISNUMBER($B71:AF71)))),
IFERROR(
IF('Résultats des tournois'!AF71="""", INDEX(FILTER($C71:AF71, ISNUMBER($C71:AF71)), COUNTA(FILTE"&amp;"R($C71:AF71, ISNUMBER($C71:AF71)))),
lastVal + 'K dynamique'!AF71 * ((SQRT('Résultats des tournois'!AF$2 + 1)/'Résultats des tournois'!AF71) - (1 / (1 + 10^((AF$103 - lastVal)/400)))))
)
))"),"")</f>
        <v/>
      </c>
      <c r="AH71" s="32" t="str">
        <f>IFERROR(__xludf.DUMMYFUNCTION("IF('Résultats des tournois'!AG$2=0,"""",LET(
lastVal, INDEX(FILTER($B71:AG71, ISNUMBER($B71:AG71)), COUNTA(FILTER($B71:AG71, ISNUMBER($B71:AG71)))),
IFERROR(
IF('Résultats des tournois'!AG71="""", INDEX(FILTER($C71:AG71, ISNUMBER($C71:AG71)), COUNTA(FILTE"&amp;"R($C71:AG71, ISNUMBER($C71:AG71)))),
lastVal + 'K dynamique'!AG71 * ((SQRT('Résultats des tournois'!AG$2 + 1)/'Résultats des tournois'!AG71) - (1 / (1 + 10^((AG$103 - lastVal)/400)))))
)
))"),"")</f>
        <v/>
      </c>
      <c r="AI71" s="32" t="str">
        <f>IFERROR(__xludf.DUMMYFUNCTION("IF('Résultats des tournois'!AH$2=0,"""",LET(
lastVal, INDEX(FILTER($B71:AH71, ISNUMBER($B71:AH71)), COUNTA(FILTER($B71:AH71, ISNUMBER($B71:AH71)))),
IFERROR(
IF('Résultats des tournois'!AH71="""", INDEX(FILTER($C71:AH71, ISNUMBER($C71:AH71)), COUNTA(FILTE"&amp;"R($C71:AH71, ISNUMBER($C71:AH71)))),
lastVal + 'K dynamique'!AH71 * ((SQRT('Résultats des tournois'!AH$2 + 1)/'Résultats des tournois'!AH71) - (1 / (1 + 10^((AH$103 - lastVal)/400)))))
)
))"),"")</f>
        <v/>
      </c>
      <c r="AJ71" s="32" t="str">
        <f>IFERROR(__xludf.DUMMYFUNCTION("IF('Résultats des tournois'!AI$2=0,"""",LET(
lastVal, INDEX(FILTER($B71:AI71, ISNUMBER($B71:AI71)), COUNTA(FILTER($B71:AI71, ISNUMBER($B71:AI71)))),
IFERROR(
IF('Résultats des tournois'!AI71="""", INDEX(FILTER($C71:AI71, ISNUMBER($C71:AI71)), COUNTA(FILTE"&amp;"R($C71:AI71, ISNUMBER($C71:AI71)))),
lastVal + 'K dynamique'!AI71 * ((SQRT('Résultats des tournois'!AI$2 + 1)/'Résultats des tournois'!AI71) - (1 / (1 + 10^((AI$103 - lastVal)/400)))))
)
))"),"")</f>
        <v/>
      </c>
      <c r="AK71" s="32" t="str">
        <f>IFERROR(__xludf.DUMMYFUNCTION("IF('Résultats des tournois'!AJ$2=0,"""",LET(
lastVal, INDEX(FILTER($B71:AJ71, ISNUMBER($B71:AJ71)), COUNTA(FILTER($B71:AJ71, ISNUMBER($B71:AJ71)))),
IFERROR(
IF('Résultats des tournois'!AJ71="""", INDEX(FILTER($C71:AJ71, ISNUMBER($C71:AJ71)), COUNTA(FILTE"&amp;"R($C71:AJ71, ISNUMBER($C71:AJ71)))),
lastVal + 'K dynamique'!AJ71 * ((SQRT('Résultats des tournois'!AJ$2 + 1)/'Résultats des tournois'!AJ71) - (1 / (1 + 10^((AJ$103 - lastVal)/400)))))
)
))"),"")</f>
        <v/>
      </c>
      <c r="AL71" s="32" t="str">
        <f>IFERROR(__xludf.DUMMYFUNCTION("IF('Résultats des tournois'!AK$2=0,"""",LET(
lastVal, INDEX(FILTER($B71:AK71, ISNUMBER($B71:AK71)), COUNTA(FILTER($B71:AK71, ISNUMBER($B71:AK71)))),
IFERROR(
IF('Résultats des tournois'!AK71="""", INDEX(FILTER($C71:AK71, ISNUMBER($C71:AK71)), COUNTA(FILTE"&amp;"R($C71:AK71, ISNUMBER($C71:AK71)))),
lastVal + 'K dynamique'!AK71 * ((SQRT('Résultats des tournois'!AK$2 + 1)/'Résultats des tournois'!AK71) - (1 / (1 + 10^((AK$103 - lastVal)/400)))))
)
))"),"")</f>
        <v/>
      </c>
      <c r="AM71" s="32" t="str">
        <f>IFERROR(__xludf.DUMMYFUNCTION("IF('Résultats des tournois'!AL$2=0,"""",LET(
lastVal, INDEX(FILTER($B71:AL71, ISNUMBER($B71:AL71)), COUNTA(FILTER($B71:AL71, ISNUMBER($B71:AL71)))),
IFERROR(
IF('Résultats des tournois'!AL71="""", INDEX(FILTER($C71:AL71, ISNUMBER($C71:AL71)), COUNTA(FILTE"&amp;"R($C71:AL71, ISNUMBER($C71:AL71)))),
lastVal + 'K dynamique'!AL71 * ((SQRT('Résultats des tournois'!AL$2 + 1)/'Résultats des tournois'!AL71) - (1 / (1 + 10^((AL$103 - lastVal)/400)))))
)
))"),"")</f>
        <v/>
      </c>
      <c r="AN71" s="32" t="str">
        <f>IFERROR(__xludf.DUMMYFUNCTION("IF('Résultats des tournois'!AM$2=0,"""",LET(
lastVal, INDEX(FILTER($B71:AM71, ISNUMBER($B71:AM71)), COUNTA(FILTER($B71:AM71, ISNUMBER($B71:AM71)))),
IFERROR(
IF('Résultats des tournois'!AM71="""", INDEX(FILTER($C71:AM71, ISNUMBER($C71:AM71)), COUNTA(FILTE"&amp;"R($C71:AM71, ISNUMBER($C71:AM71)))),
lastVal + 'K dynamique'!AM71 * ((SQRT('Résultats des tournois'!AM$2 + 1)/'Résultats des tournois'!AM71) - (1 / (1 + 10^((AM$103 - lastVal)/400)))))
)
))"),"")</f>
        <v/>
      </c>
      <c r="AO71" s="32" t="str">
        <f>IFERROR(__xludf.DUMMYFUNCTION("IF('Résultats des tournois'!AN$2=0,"""",LET(
lastVal, INDEX(FILTER($B71:AN71, ISNUMBER($B71:AN71)), COUNTA(FILTER($B71:AN71, ISNUMBER($B71:AN71)))),
IFERROR(
IF('Résultats des tournois'!AN71="""", INDEX(FILTER($C71:AN71, ISNUMBER($C71:AN71)), COUNTA(FILTE"&amp;"R($C71:AN71, ISNUMBER($C71:AN71)))),
lastVal + 'K dynamique'!AN71 * ((SQRT('Résultats des tournois'!AN$2 + 1)/'Résultats des tournois'!AN71) - (1 / (1 + 10^((AN$103 - lastVal)/400)))))
)
))"),"")</f>
        <v/>
      </c>
      <c r="AP71" s="32" t="str">
        <f>IFERROR(__xludf.DUMMYFUNCTION("IF('Résultats des tournois'!AO$2=0,"""",LET(
lastVal, INDEX(FILTER($B71:AO71, ISNUMBER($B71:AO71)), COUNTA(FILTER($B71:AO71, ISNUMBER($B71:AO71)))),
IFERROR(
IF('Résultats des tournois'!AO71="""", INDEX(FILTER($C71:AO71, ISNUMBER($C71:AO71)), COUNTA(FILTE"&amp;"R($C71:AO71, ISNUMBER($C71:AO71)))),
lastVal + 'K dynamique'!AO71 * ((SQRT('Résultats des tournois'!AO$2 + 1)/'Résultats des tournois'!AO71) - (1 / (1 + 10^((AO$103 - lastVal)/400)))))
)
))"),"")</f>
        <v/>
      </c>
      <c r="AQ71" s="32" t="str">
        <f>IFERROR(__xludf.DUMMYFUNCTION("IF('Résultats des tournois'!AP$2=0,"""",LET(
lastVal, INDEX(FILTER($B71:AP71, ISNUMBER($B71:AP71)), COUNTA(FILTER($B71:AP71, ISNUMBER($B71:AP71)))),
IFERROR(
IF('Résultats des tournois'!AP71="""", INDEX(FILTER($C71:AP71, ISNUMBER($C71:AP71)), COUNTA(FILTE"&amp;"R($C71:AP71, ISNUMBER($C71:AP71)))),
lastVal + 'K dynamique'!AP71 * ((SQRT('Résultats des tournois'!AP$2 + 1)/'Résultats des tournois'!AP71) - (1 / (1 + 10^((AP$103 - lastVal)/400)))))
)
))"),"")</f>
        <v/>
      </c>
      <c r="AR71" s="32" t="str">
        <f>IFERROR(__xludf.DUMMYFUNCTION("IF('Résultats des tournois'!AQ$2=0,"""",LET(
lastVal, INDEX(FILTER($B71:AQ71, ISNUMBER($B71:AQ71)), COUNTA(FILTER($B71:AQ71, ISNUMBER($B71:AQ71)))),
IFERROR(
IF('Résultats des tournois'!AQ71="""", INDEX(FILTER($C71:AQ71, ISNUMBER($C71:AQ71)), COUNTA(FILTE"&amp;"R($C71:AQ71, ISNUMBER($C71:AQ71)))),
lastVal + 'K dynamique'!AQ71 * ((SQRT('Résultats des tournois'!AQ$2 + 1)/'Résultats des tournois'!AQ71) - (1 / (1 + 10^((AQ$103 - lastVal)/400)))))
)
))"),"")</f>
        <v/>
      </c>
      <c r="AS71" s="32" t="str">
        <f>IFERROR(__xludf.DUMMYFUNCTION("IF('Résultats des tournois'!AR$2=0,"""",LET(
lastVal, INDEX(FILTER($B71:AR71, ISNUMBER($B71:AR71)), COUNTA(FILTER($B71:AR71, ISNUMBER($B71:AR71)))),
IFERROR(
IF('Résultats des tournois'!AR71="""", INDEX(FILTER($C71:AR71, ISNUMBER($C71:AR71)), COUNTA(FILTE"&amp;"R($C71:AR71, ISNUMBER($C71:AR71)))),
lastVal + 'K dynamique'!AR71 * ((SQRT('Résultats des tournois'!AR$2 + 1)/'Résultats des tournois'!AR71) - (1 / (1 + 10^((AR$103 - lastVal)/400)))))
)
))"),"")</f>
        <v/>
      </c>
      <c r="AT71" s="32" t="str">
        <f>IFERROR(__xludf.DUMMYFUNCTION("IF('Résultats des tournois'!AS$2=0,"""",LET(
lastVal, INDEX(FILTER($B71:AS71, ISNUMBER($B71:AS71)), COUNTA(FILTER($B71:AS71, ISNUMBER($B71:AS71)))),
IFERROR(
IF('Résultats des tournois'!AS71="""", INDEX(FILTER($C71:AS71, ISNUMBER($C71:AS71)), COUNTA(FILTE"&amp;"R($C71:AS71, ISNUMBER($C71:AS71)))),
lastVal + 'K dynamique'!AS71 * ((SQRT('Résultats des tournois'!AS$2 + 1)/'Résultats des tournois'!AS71) - (1 / (1 + 10^((AS$103 - lastVal)/400)))))
)
))"),"")</f>
        <v/>
      </c>
      <c r="AU71" s="32" t="str">
        <f>IFERROR(__xludf.DUMMYFUNCTION("IF('Résultats des tournois'!AT$2=0,"""",LET(
lastVal, INDEX(FILTER($B71:AT71, ISNUMBER($B71:AT71)), COUNTA(FILTER($B71:AT71, ISNUMBER($B71:AT71)))),
IFERROR(
IF('Résultats des tournois'!AT71="""", INDEX(FILTER($C71:AT71, ISNUMBER($C71:AT71)), COUNTA(FILTE"&amp;"R($C71:AT71, ISNUMBER($C71:AT71)))),
lastVal + 'K dynamique'!AT71 * ((SQRT('Résultats des tournois'!AT$2 + 1)/'Résultats des tournois'!AT71) - (1 / (1 + 10^((AT$103 - lastVal)/400)))))
)
))"),"")</f>
        <v/>
      </c>
      <c r="AV71" s="32" t="str">
        <f>IFERROR(__xludf.DUMMYFUNCTION("IF('Résultats des tournois'!AU$2=0,"""",LET(
lastVal, INDEX(FILTER($B71:AU71, ISNUMBER($B71:AU71)), COUNTA(FILTER($B71:AU71, ISNUMBER($B71:AU71)))),
IFERROR(
IF('Résultats des tournois'!AU71="""", INDEX(FILTER($C71:AU71, ISNUMBER($C71:AU71)), COUNTA(FILTE"&amp;"R($C71:AU71, ISNUMBER($C71:AU71)))),
lastVal + 'K dynamique'!AU71 * ((SQRT('Résultats des tournois'!AU$2 + 1)/'Résultats des tournois'!AU71) - (1 / (1 + 10^((AU$103 - lastVal)/400)))))
)
))"),"")</f>
        <v/>
      </c>
      <c r="AW71" s="32" t="str">
        <f>IFERROR(__xludf.DUMMYFUNCTION("IF('Résultats des tournois'!AV$2=0,"""",LET(
lastVal, INDEX(FILTER($B71:AV71, ISNUMBER($B71:AV71)), COUNTA(FILTER($B71:AV71, ISNUMBER($B71:AV71)))),
IFERROR(
IF('Résultats des tournois'!AV71="""", INDEX(FILTER($C71:AV71, ISNUMBER($C71:AV71)), COUNTA(FILTE"&amp;"R($C71:AV71, ISNUMBER($C71:AV71)))),
lastVal + 'K dynamique'!AV71 * ((SQRT('Résultats des tournois'!AV$2 + 1)/'Résultats des tournois'!AV71) - (1 / (1 + 10^((AV$103 - lastVal)/400)))))
)
))"),"")</f>
        <v/>
      </c>
      <c r="AX71" s="32" t="str">
        <f>IFERROR(__xludf.DUMMYFUNCTION("IF('Résultats des tournois'!AW$2=0,"""",LET(
lastVal, INDEX(FILTER($B71:AW71, ISNUMBER($B71:AW71)), COUNTA(FILTER($B71:AW71, ISNUMBER($B71:AW71)))),
IFERROR(
IF('Résultats des tournois'!AW71="""", INDEX(FILTER($C71:AW71, ISNUMBER($C71:AW71)), COUNTA(FILTE"&amp;"R($C71:AW71, ISNUMBER($C71:AW71)))),
lastVal + 'K dynamique'!AW71 * ((SQRT('Résultats des tournois'!AW$2 + 1)/'Résultats des tournois'!AW71) - (1 / (1 + 10^((AW$103 - lastVal)/400)))))
)
))"),"")</f>
        <v/>
      </c>
      <c r="AY71" s="32" t="str">
        <f>IFERROR(__xludf.DUMMYFUNCTION("IF('Résultats des tournois'!AX$2=0,"""",LET(
lastVal, INDEX(FILTER($B71:AX71, ISNUMBER($B71:AX71)), COUNTA(FILTER($B71:AX71, ISNUMBER($B71:AX71)))),
IFERROR(
IF('Résultats des tournois'!AX71="""", INDEX(FILTER($C71:AX71, ISNUMBER($C71:AX71)), COUNTA(FILTE"&amp;"R($C71:AX71, ISNUMBER($C71:AX71)))),
lastVal + 'K dynamique'!AX71 * ((SQRT('Résultats des tournois'!AX$2 + 1)/'Résultats des tournois'!AX71) - (1 / (1 + 10^((AX$103 - lastVal)/400)))))
)
))"),"")</f>
        <v/>
      </c>
      <c r="AZ71" s="4" t="str">
        <f t="array" ref="AZ71">IF(MAX(($C71:AY71&lt;&gt;"")*COLUMN($C71:AY71))=0,"",INDEX($C71:AY71,1,MAX(($C71:AY71&lt;&gt;"")*COLUMN($C71:AY71))-COLUMN($C71)+1))</f>
        <v/>
      </c>
      <c r="BA71" s="33" t="str">
        <f t="shared" si="1"/>
        <v/>
      </c>
    </row>
    <row r="72" ht="14.25" customHeight="1">
      <c r="A72" s="32" t="str">
        <f>IF('Résultats des tournois'!A72="","",'Résultats des tournois'!A72)</f>
        <v/>
      </c>
      <c r="B72" s="32">
        <v>1500.0</v>
      </c>
      <c r="C72" s="32" t="str">
        <f>IF('Résultats des tournois'!B72="","",B72+'K dynamique'!B72*((SQRT('Résultats des tournois'!B$2+1)/'Résultats des tournois'!B72)-(1/(1+10^((B72-B72)/400)))))</f>
        <v/>
      </c>
      <c r="D72" s="32" t="str">
        <f>IFERROR(__xludf.DUMMYFUNCTION("IF('Résultats des tournois'!C$2=0,"""",LET(
lastVal, INDEX(FILTER($B72:C72, ISNUMBER($B72:C72)), COUNTA(FILTER($B72:C72, ISNUMBER($B72:C72)))),
IFERROR(
IF('Résultats des tournois'!C72="""", INDEX(FILTER($C72:C72, ISNUMBER($C72:C72)), COUNTA(FILTER($C72:C"&amp;"72, ISNUMBER($C72:C72)))),
lastVal + 'K dynamique'!C72 * ((SQRT('Résultats des tournois'!C$2 + 1)/'Résultats des tournois'!C72) - (1 / (1 + 10^((C$103 - lastVal)/400)))))
)
))"),"")</f>
        <v/>
      </c>
      <c r="E72" s="32" t="str">
        <f>IFERROR(__xludf.DUMMYFUNCTION("IF('Résultats des tournois'!D$2=0,"""",LET(
lastVal, INDEX(FILTER($B72:D72, ISNUMBER($B72:D72)), COUNTA(FILTER($B72:D72, ISNUMBER($B72:D72)))),
IFERROR(
IF('Résultats des tournois'!D72="""", INDEX(FILTER($C72:D72, ISNUMBER($C72:D72)), COUNTA(FILTER($C72:D"&amp;"72, ISNUMBER($C72:D72)))),
lastVal + 'K dynamique'!D72 * ((SQRT('Résultats des tournois'!D$2 + 1)/'Résultats des tournois'!D72) - (1 / (1 + 10^((D$103 - lastVal)/400)))))
)
))"),"")</f>
        <v/>
      </c>
      <c r="F72" s="32" t="str">
        <f>IFERROR(__xludf.DUMMYFUNCTION("IF('Résultats des tournois'!E$2=0,"""",LET(
lastVal, INDEX(FILTER($B72:E72, ISNUMBER($B72:E72)), COUNTA(FILTER($B72:E72, ISNUMBER($B72:E72)))),
IFERROR(
IF('Résultats des tournois'!E72="""", INDEX(FILTER($C72:E72, ISNUMBER($C72:E72)), COUNTA(FILTER($C72:E"&amp;"72, ISNUMBER($C72:E72)))),
lastVal + 'K dynamique'!E72 * ((SQRT('Résultats des tournois'!E$2 + 1)/'Résultats des tournois'!E72) - (1 / (1 + 10^((E$103 - lastVal)/400)))))
)
))"),"")</f>
        <v/>
      </c>
      <c r="G72" s="32" t="str">
        <f>IFERROR(__xludf.DUMMYFUNCTION("IF('Résultats des tournois'!F$2=0,"""",LET(
lastVal, INDEX(FILTER($B72:F72, ISNUMBER($B72:F72)), COUNTA(FILTER($B72:F72, ISNUMBER($B72:F72)))),
IFERROR(
IF('Résultats des tournois'!F72="""", INDEX(FILTER($C72:F72, ISNUMBER($C72:F72)), COUNTA(FILTER($C72:F"&amp;"72, ISNUMBER($C72:F72)))),
lastVal + 'K dynamique'!F72 * ((SQRT('Résultats des tournois'!F$2 + 1)/'Résultats des tournois'!F72) - (1 / (1 + 10^((F$103 - lastVal)/400)))))
)
))"),"")</f>
        <v/>
      </c>
      <c r="H72" s="32" t="str">
        <f>IFERROR(__xludf.DUMMYFUNCTION("IF('Résultats des tournois'!G$2=0,"""",LET(
lastVal, INDEX(FILTER($B72:G72, ISNUMBER($B72:G72)), COUNTA(FILTER($B72:G72, ISNUMBER($B72:G72)))),
IFERROR(
IF('Résultats des tournois'!G72="""", INDEX(FILTER($C72:G72, ISNUMBER($C72:G72)), COUNTA(FILTER($C72:G"&amp;"72, ISNUMBER($C72:G72)))),
lastVal + 'K dynamique'!G72 * ((SQRT('Résultats des tournois'!G$2 + 1)/'Résultats des tournois'!G72) - (1 / (1 + 10^((G$103 - lastVal)/400)))))
)
))"),"")</f>
        <v/>
      </c>
      <c r="I72" s="32" t="str">
        <f>IFERROR(__xludf.DUMMYFUNCTION("IF('Résultats des tournois'!H$2=0,"""",LET(
lastVal, INDEX(FILTER($B72:H72, ISNUMBER($B72:H72)), COUNTA(FILTER($B72:H72, ISNUMBER($B72:H72)))),
IFERROR(
IF('Résultats des tournois'!H72="""", INDEX(FILTER($C72:H72, ISNUMBER($C72:H72)), COUNTA(FILTER($C72:H"&amp;"72, ISNUMBER($C72:H72)))),
lastVal + 'K dynamique'!H72 * ((SQRT('Résultats des tournois'!H$2 + 1)/'Résultats des tournois'!H72) - (1 / (1 + 10^((H$103 - lastVal)/400)))))
)
))"),"")</f>
        <v/>
      </c>
      <c r="J72" s="32" t="str">
        <f>IFERROR(__xludf.DUMMYFUNCTION("IF('Résultats des tournois'!I$2=0,"""",LET(
lastVal, INDEX(FILTER($B72:I72, ISNUMBER($B72:I72)), COUNTA(FILTER($B72:I72, ISNUMBER($B72:I72)))),
IFERROR(
IF('Résultats des tournois'!I72="""", INDEX(FILTER($C72:I72, ISNUMBER($C72:I72)), COUNTA(FILTER($C72:I"&amp;"72, ISNUMBER($C72:I72)))),
lastVal + 'K dynamique'!I72 * ((SQRT('Résultats des tournois'!I$2 + 1)/'Résultats des tournois'!I72) - (1 / (1 + 10^((I$103 - lastVal)/400)))))
)
))"),"")</f>
        <v/>
      </c>
      <c r="K72" s="32" t="str">
        <f>IFERROR(__xludf.DUMMYFUNCTION("IF('Résultats des tournois'!J$2=0,"""",LET(
lastVal, INDEX(FILTER($B72:J72, ISNUMBER($B72:J72)), COUNTA(FILTER($B72:J72, ISNUMBER($B72:J72)))),
IFERROR(
IF('Résultats des tournois'!J72="""", INDEX(FILTER($C72:J72, ISNUMBER($C72:J72)), COUNTA(FILTER($C72:J"&amp;"72, ISNUMBER($C72:J72)))),
lastVal + 'K dynamique'!J72 * ((SQRT('Résultats des tournois'!J$2 + 1)/'Résultats des tournois'!J72) - (1 / (1 + 10^((J$103 - lastVal)/400)))))
)
))"),"")</f>
        <v/>
      </c>
      <c r="L72" s="32" t="str">
        <f>IFERROR(__xludf.DUMMYFUNCTION("IF('Résultats des tournois'!K$2=0,"""",LET(
lastVal, INDEX(FILTER($B72:K72, ISNUMBER($B72:K72)), COUNTA(FILTER($B72:K72, ISNUMBER($B72:K72)))),
IFERROR(
IF('Résultats des tournois'!K72="""", INDEX(FILTER($C72:K72, ISNUMBER($C72:K72)), COUNTA(FILTER($C72:K"&amp;"72, ISNUMBER($C72:K72)))),
lastVal + 'K dynamique'!K72 * ((SQRT('Résultats des tournois'!K$2 + 1)/'Résultats des tournois'!K72) - (1 / (1 + 10^((K$103 - lastVal)/400)))))
)
))"),"")</f>
        <v/>
      </c>
      <c r="M72" s="32" t="str">
        <f>IFERROR(__xludf.DUMMYFUNCTION("IF('Résultats des tournois'!L$2=0,"""",LET(
lastVal, INDEX(FILTER($B72:L72, ISNUMBER($B72:L72)), COUNTA(FILTER($B72:L72, ISNUMBER($B72:L72)))),
IFERROR(
IF('Résultats des tournois'!L72="""", INDEX(FILTER($C72:L72, ISNUMBER($C72:L72)), COUNTA(FILTER($C72:L"&amp;"72, ISNUMBER($C72:L72)))),
lastVal + 'K dynamique'!L72 * ((SQRT('Résultats des tournois'!L$2 + 1)/'Résultats des tournois'!L72) - (1 / (1 + 10^((L$103 - lastVal)/400)))))
)
))"),"")</f>
        <v/>
      </c>
      <c r="N72" s="32" t="str">
        <f>IFERROR(__xludf.DUMMYFUNCTION("IF('Résultats des tournois'!M$2=0,"""",LET(
lastVal, INDEX(FILTER($B72:M72, ISNUMBER($B72:M72)), COUNTA(FILTER($B72:M72, ISNUMBER($B72:M72)))),
IFERROR(
IF('Résultats des tournois'!M72="""", INDEX(FILTER($C72:M72, ISNUMBER($C72:M72)), COUNTA(FILTER($C72:M"&amp;"72, ISNUMBER($C72:M72)))),
lastVal + 'K dynamique'!M72 * ((SQRT('Résultats des tournois'!M$2 + 1)/'Résultats des tournois'!M72) - (1 / (1 + 10^((M$103 - lastVal)/400)))))
)
))"),"")</f>
        <v/>
      </c>
      <c r="O72" s="32" t="str">
        <f>IFERROR(__xludf.DUMMYFUNCTION("IF('Résultats des tournois'!N$2=0,"""",LET(
lastVal, INDEX(FILTER($B72:N72, ISNUMBER($B72:N72)), COUNTA(FILTER($B72:N72, ISNUMBER($B72:N72)))),
IFERROR(
IF('Résultats des tournois'!N72="""", INDEX(FILTER($C72:N72, ISNUMBER($C72:N72)), COUNTA(FILTER($C72:N"&amp;"72, ISNUMBER($C72:N72)))),
lastVal + 'K dynamique'!N72 * ((SQRT('Résultats des tournois'!N$2 + 1)/'Résultats des tournois'!N72) - (1 / (1 + 10^((N$103 - lastVal)/400)))))
)
))"),"")</f>
        <v/>
      </c>
      <c r="P72" s="32" t="str">
        <f>IFERROR(__xludf.DUMMYFUNCTION("IF('Résultats des tournois'!O$2=0,"""",LET(
lastVal, INDEX(FILTER($B72:O72, ISNUMBER($B72:O72)), COUNTA(FILTER($B72:O72, ISNUMBER($B72:O72)))),
IFERROR(
IF('Résultats des tournois'!O72="""", INDEX(FILTER($C72:O72, ISNUMBER($C72:O72)), COUNTA(FILTER($C72:O"&amp;"72, ISNUMBER($C72:O72)))),
lastVal + 'K dynamique'!O72 * ((SQRT('Résultats des tournois'!O$2 + 1)/'Résultats des tournois'!O72) - (1 / (1 + 10^((O$103 - lastVal)/400)))))
)
))"),"")</f>
        <v/>
      </c>
      <c r="Q72" s="32" t="str">
        <f>IFERROR(__xludf.DUMMYFUNCTION("IF('Résultats des tournois'!P$2=0,"""",LET(
lastVal, INDEX(FILTER($B72:P72, ISNUMBER($B72:P72)), COUNTA(FILTER($B72:P72, ISNUMBER($B72:P72)))),
IFERROR(
IF('Résultats des tournois'!P72="""", INDEX(FILTER($C72:P72, ISNUMBER($C72:P72)), COUNTA(FILTER($C72:P"&amp;"72, ISNUMBER($C72:P72)))),
lastVal + 'K dynamique'!P72 * ((SQRT('Résultats des tournois'!P$2 + 1)/'Résultats des tournois'!P72) - (1 / (1 + 10^((P$103 - lastVal)/400)))))
)
))"),"")</f>
        <v/>
      </c>
      <c r="R72" s="32" t="str">
        <f>IFERROR(__xludf.DUMMYFUNCTION("IF('Résultats des tournois'!Q$2=0,"""",LET(
lastVal, INDEX(FILTER($B72:Q72, ISNUMBER($B72:Q72)), COUNTA(FILTER($B72:Q72, ISNUMBER($B72:Q72)))),
IFERROR(
IF('Résultats des tournois'!Q72="""", INDEX(FILTER($C72:Q72, ISNUMBER($C72:Q72)), COUNTA(FILTER($C72:Q"&amp;"72, ISNUMBER($C72:Q72)))),
lastVal + 'K dynamique'!Q72 * ((SQRT('Résultats des tournois'!Q$2 + 1)/'Résultats des tournois'!Q72) - (1 / (1 + 10^((Q$103 - lastVal)/400)))))
)
))"),"")</f>
        <v/>
      </c>
      <c r="S72" s="32" t="str">
        <f>IFERROR(__xludf.DUMMYFUNCTION("IF('Résultats des tournois'!R$2=0,"""",LET(
lastVal, INDEX(FILTER($B72:R72, ISNUMBER($B72:R72)), COUNTA(FILTER($B72:R72, ISNUMBER($B72:R72)))),
IFERROR(
IF('Résultats des tournois'!R72="""", INDEX(FILTER($C72:R72, ISNUMBER($C72:R72)), COUNTA(FILTER($C72:R"&amp;"72, ISNUMBER($C72:R72)))),
lastVal + 'K dynamique'!R72 * ((SQRT('Résultats des tournois'!R$2 + 1)/'Résultats des tournois'!R72) - (1 / (1 + 10^((R$103 - lastVal)/400)))))
)
))"),"")</f>
        <v/>
      </c>
      <c r="T72" s="32" t="str">
        <f>IFERROR(__xludf.DUMMYFUNCTION("IF('Résultats des tournois'!S$2=0,"""",LET(
lastVal, INDEX(FILTER($B72:S72, ISNUMBER($B72:S72)), COUNTA(FILTER($B72:S72, ISNUMBER($B72:S72)))),
IFERROR(
IF('Résultats des tournois'!S72="""", INDEX(FILTER($C72:S72, ISNUMBER($C72:S72)), COUNTA(FILTER($C72:S"&amp;"72, ISNUMBER($C72:S72)))),
lastVal + 'K dynamique'!S72 * ((SQRT('Résultats des tournois'!S$2 + 1)/'Résultats des tournois'!S72) - (1 / (1 + 10^((S$103 - lastVal)/400)))))
)
))"),"")</f>
        <v/>
      </c>
      <c r="U72" s="32" t="str">
        <f>IFERROR(__xludf.DUMMYFUNCTION("IF('Résultats des tournois'!T$2=0,"""",LET(
lastVal, INDEX(FILTER($B72:T72, ISNUMBER($B72:T72)), COUNTA(FILTER($B72:T72, ISNUMBER($B72:T72)))),
IFERROR(
IF('Résultats des tournois'!T72="""", INDEX(FILTER($C72:T72, ISNUMBER($C72:T72)), COUNTA(FILTER($C72:T"&amp;"72, ISNUMBER($C72:T72)))),
lastVal + 'K dynamique'!T72 * ((SQRT('Résultats des tournois'!T$2 + 1)/'Résultats des tournois'!T72) - (1 / (1 + 10^((T$103 - lastVal)/400)))))
)
))"),"")</f>
        <v/>
      </c>
      <c r="V72" s="32" t="str">
        <f>IFERROR(__xludf.DUMMYFUNCTION("IF('Résultats des tournois'!U$2=0,"""",LET(
lastVal, INDEX(FILTER($B72:U72, ISNUMBER($B72:U72)), COUNTA(FILTER($B72:U72, ISNUMBER($B72:U72)))),
IFERROR(
IF('Résultats des tournois'!U72="""", INDEX(FILTER($C72:U72, ISNUMBER($C72:U72)), COUNTA(FILTER($C72:U"&amp;"72, ISNUMBER($C72:U72)))),
lastVal + 'K dynamique'!U72 * ((SQRT('Résultats des tournois'!U$2 + 1)/'Résultats des tournois'!U72) - (1 / (1 + 10^((U$103 - lastVal)/400)))))
)
))"),"")</f>
        <v/>
      </c>
      <c r="W72" s="32" t="str">
        <f>IFERROR(__xludf.DUMMYFUNCTION("IF('Résultats des tournois'!V$2=0,"""",LET(
lastVal, INDEX(FILTER($B72:V72, ISNUMBER($B72:V72)), COUNTA(FILTER($B72:V72, ISNUMBER($B72:V72)))),
IFERROR(
IF('Résultats des tournois'!V72="""", INDEX(FILTER($C72:V72, ISNUMBER($C72:V72)), COUNTA(FILTER($C72:V"&amp;"72, ISNUMBER($C72:V72)))),
lastVal + 'K dynamique'!V72 * ((SQRT('Résultats des tournois'!V$2 + 1)/'Résultats des tournois'!V72) - (1 / (1 + 10^((V$103 - lastVal)/400)))))
)
))"),"")</f>
        <v/>
      </c>
      <c r="X72" s="32" t="str">
        <f>IFERROR(__xludf.DUMMYFUNCTION("IF('Résultats des tournois'!W$2=0,"""",LET(
lastVal, INDEX(FILTER($B72:W72, ISNUMBER($B72:W72)), COUNTA(FILTER($B72:W72, ISNUMBER($B72:W72)))),
IFERROR(
IF('Résultats des tournois'!W72="""", INDEX(FILTER($C72:W72, ISNUMBER($C72:W72)), COUNTA(FILTER($C72:W"&amp;"72, ISNUMBER($C72:W72)))),
lastVal + 'K dynamique'!W72 * ((SQRT('Résultats des tournois'!W$2 + 1)/'Résultats des tournois'!W72) - (1 / (1 + 10^((W$103 - lastVal)/400)))))
)
))"),"")</f>
        <v/>
      </c>
      <c r="Y72" s="32" t="str">
        <f>IFERROR(__xludf.DUMMYFUNCTION("IF('Résultats des tournois'!X$2=0,"""",LET(
lastVal, INDEX(FILTER($B72:X72, ISNUMBER($B72:X72)), COUNTA(FILTER($B72:X72, ISNUMBER($B72:X72)))),
IFERROR(
IF('Résultats des tournois'!X72="""", INDEX(FILTER($C72:X72, ISNUMBER($C72:X72)), COUNTA(FILTER($C72:X"&amp;"72, ISNUMBER($C72:X72)))),
lastVal + 'K dynamique'!X72 * ((SQRT('Résultats des tournois'!X$2 + 1)/'Résultats des tournois'!X72) - (1 / (1 + 10^((X$103 - lastVal)/400)))))
)
))"),"")</f>
        <v/>
      </c>
      <c r="Z72" s="32" t="str">
        <f>IFERROR(__xludf.DUMMYFUNCTION("IF('Résultats des tournois'!Y$2=0,"""",LET(
lastVal, INDEX(FILTER($B72:Y72, ISNUMBER($B72:Y72)), COUNTA(FILTER($B72:Y72, ISNUMBER($B72:Y72)))),
IFERROR(
IF('Résultats des tournois'!Y72="""", INDEX(FILTER($C72:Y72, ISNUMBER($C72:Y72)), COUNTA(FILTER($C72:Y"&amp;"72, ISNUMBER($C72:Y72)))),
lastVal + 'K dynamique'!Y72 * ((SQRT('Résultats des tournois'!Y$2 + 1)/'Résultats des tournois'!Y72) - (1 / (1 + 10^((Y$103 - lastVal)/400)))))
)
))"),"")</f>
        <v/>
      </c>
      <c r="AA72" s="32" t="str">
        <f>IFERROR(__xludf.DUMMYFUNCTION("IF('Résultats des tournois'!Z$2=0,"""",LET(
lastVal, INDEX(FILTER($B72:Z72, ISNUMBER($B72:Z72)), COUNTA(FILTER($B72:Z72, ISNUMBER($B72:Z72)))),
IFERROR(
IF('Résultats des tournois'!Z72="""", INDEX(FILTER($C72:Z72, ISNUMBER($C72:Z72)), COUNTA(FILTER($C72:Z"&amp;"72, ISNUMBER($C72:Z72)))),
lastVal + 'K dynamique'!Z72 * ((SQRT('Résultats des tournois'!Z$2 + 1)/'Résultats des tournois'!Z72) - (1 / (1 + 10^((Z$103 - lastVal)/400)))))
)
))"),"")</f>
        <v/>
      </c>
      <c r="AB72" s="32" t="str">
        <f>IFERROR(__xludf.DUMMYFUNCTION("IF('Résultats des tournois'!AA$2=0,"""",LET(
lastVal, INDEX(FILTER($B72:AA72, ISNUMBER($B72:AA72)), COUNTA(FILTER($B72:AA72, ISNUMBER($B72:AA72)))),
IFERROR(
IF('Résultats des tournois'!AA72="""", INDEX(FILTER($C72:AA72, ISNUMBER($C72:AA72)), COUNTA(FILTE"&amp;"R($C72:AA72, ISNUMBER($C72:AA72)))),
lastVal + 'K dynamique'!AA72 * ((SQRT('Résultats des tournois'!AA$2 + 1)/'Résultats des tournois'!AA72) - (1 / (1 + 10^((AA$103 - lastVal)/400)))))
)
))"),"")</f>
        <v/>
      </c>
      <c r="AC72" s="32" t="str">
        <f>IFERROR(__xludf.DUMMYFUNCTION("IF('Résultats des tournois'!AB$2=0,"""",LET(
lastVal, INDEX(FILTER($B72:AB72, ISNUMBER($B72:AB72)), COUNTA(FILTER($B72:AB72, ISNUMBER($B72:AB72)))),
IFERROR(
IF('Résultats des tournois'!AB72="""", INDEX(FILTER($C72:AB72, ISNUMBER($C72:AB72)), COUNTA(FILTE"&amp;"R($C72:AB72, ISNUMBER($C72:AB72)))),
lastVal + 'K dynamique'!AB72 * ((SQRT('Résultats des tournois'!AB$2 + 1)/'Résultats des tournois'!AB72) - (1 / (1 + 10^((AB$103 - lastVal)/400)))))
)
))"),"")</f>
        <v/>
      </c>
      <c r="AD72" s="32" t="str">
        <f>IFERROR(__xludf.DUMMYFUNCTION("IF('Résultats des tournois'!AC$2=0,"""",LET(
lastVal, INDEX(FILTER($B72:AC72, ISNUMBER($B72:AC72)), COUNTA(FILTER($B72:AC72, ISNUMBER($B72:AC72)))),
IFERROR(
IF('Résultats des tournois'!AC72="""", INDEX(FILTER($C72:AC72, ISNUMBER($C72:AC72)), COUNTA(FILTE"&amp;"R($C72:AC72, ISNUMBER($C72:AC72)))),
lastVal + 'K dynamique'!AC72 * ((SQRT('Résultats des tournois'!AC$2 + 1)/'Résultats des tournois'!AC72) - (1 / (1 + 10^((AC$103 - lastVal)/400)))))
)
))"),"")</f>
        <v/>
      </c>
      <c r="AE72" s="32" t="str">
        <f>IFERROR(__xludf.DUMMYFUNCTION("IF('Résultats des tournois'!AD$2=0,"""",LET(
lastVal, INDEX(FILTER($B72:AD72, ISNUMBER($B72:AD72)), COUNTA(FILTER($B72:AD72, ISNUMBER($B72:AD72)))),
IFERROR(
IF('Résultats des tournois'!AD72="""", INDEX(FILTER($C72:AD72, ISNUMBER($C72:AD72)), COUNTA(FILTE"&amp;"R($C72:AD72, ISNUMBER($C72:AD72)))),
lastVal + 'K dynamique'!AD72 * ((SQRT('Résultats des tournois'!AD$2 + 1)/'Résultats des tournois'!AD72) - (1 / (1 + 10^((AD$103 - lastVal)/400)))))
)
))"),"")</f>
        <v/>
      </c>
      <c r="AF72" s="32" t="str">
        <f>IFERROR(__xludf.DUMMYFUNCTION("IF('Résultats des tournois'!AE$2=0,"""",LET(
lastVal, INDEX(FILTER($B72:AE72, ISNUMBER($B72:AE72)), COUNTA(FILTER($B72:AE72, ISNUMBER($B72:AE72)))),
IFERROR(
IF('Résultats des tournois'!AE72="""", INDEX(FILTER($C72:AE72, ISNUMBER($C72:AE72)), COUNTA(FILTE"&amp;"R($C72:AE72, ISNUMBER($C72:AE72)))),
lastVal + 'K dynamique'!AE72 * ((SQRT('Résultats des tournois'!AE$2 + 1)/'Résultats des tournois'!AE72) - (1 / (1 + 10^((AE$103 - lastVal)/400)))))
)
))"),"")</f>
        <v/>
      </c>
      <c r="AG72" s="32" t="str">
        <f>IFERROR(__xludf.DUMMYFUNCTION("IF('Résultats des tournois'!AF$2=0,"""",LET(
lastVal, INDEX(FILTER($B72:AF72, ISNUMBER($B72:AF72)), COUNTA(FILTER($B72:AF72, ISNUMBER($B72:AF72)))),
IFERROR(
IF('Résultats des tournois'!AF72="""", INDEX(FILTER($C72:AF72, ISNUMBER($C72:AF72)), COUNTA(FILTE"&amp;"R($C72:AF72, ISNUMBER($C72:AF72)))),
lastVal + 'K dynamique'!AF72 * ((SQRT('Résultats des tournois'!AF$2 + 1)/'Résultats des tournois'!AF72) - (1 / (1 + 10^((AF$103 - lastVal)/400)))))
)
))"),"")</f>
        <v/>
      </c>
      <c r="AH72" s="32" t="str">
        <f>IFERROR(__xludf.DUMMYFUNCTION("IF('Résultats des tournois'!AG$2=0,"""",LET(
lastVal, INDEX(FILTER($B72:AG72, ISNUMBER($B72:AG72)), COUNTA(FILTER($B72:AG72, ISNUMBER($B72:AG72)))),
IFERROR(
IF('Résultats des tournois'!AG72="""", INDEX(FILTER($C72:AG72, ISNUMBER($C72:AG72)), COUNTA(FILTE"&amp;"R($C72:AG72, ISNUMBER($C72:AG72)))),
lastVal + 'K dynamique'!AG72 * ((SQRT('Résultats des tournois'!AG$2 + 1)/'Résultats des tournois'!AG72) - (1 / (1 + 10^((AG$103 - lastVal)/400)))))
)
))"),"")</f>
        <v/>
      </c>
      <c r="AI72" s="32" t="str">
        <f>IFERROR(__xludf.DUMMYFUNCTION("IF('Résultats des tournois'!AH$2=0,"""",LET(
lastVal, INDEX(FILTER($B72:AH72, ISNUMBER($B72:AH72)), COUNTA(FILTER($B72:AH72, ISNUMBER($B72:AH72)))),
IFERROR(
IF('Résultats des tournois'!AH72="""", INDEX(FILTER($C72:AH72, ISNUMBER($C72:AH72)), COUNTA(FILTE"&amp;"R($C72:AH72, ISNUMBER($C72:AH72)))),
lastVal + 'K dynamique'!AH72 * ((SQRT('Résultats des tournois'!AH$2 + 1)/'Résultats des tournois'!AH72) - (1 / (1 + 10^((AH$103 - lastVal)/400)))))
)
))"),"")</f>
        <v/>
      </c>
      <c r="AJ72" s="32" t="str">
        <f>IFERROR(__xludf.DUMMYFUNCTION("IF('Résultats des tournois'!AI$2=0,"""",LET(
lastVal, INDEX(FILTER($B72:AI72, ISNUMBER($B72:AI72)), COUNTA(FILTER($B72:AI72, ISNUMBER($B72:AI72)))),
IFERROR(
IF('Résultats des tournois'!AI72="""", INDEX(FILTER($C72:AI72, ISNUMBER($C72:AI72)), COUNTA(FILTE"&amp;"R($C72:AI72, ISNUMBER($C72:AI72)))),
lastVal + 'K dynamique'!AI72 * ((SQRT('Résultats des tournois'!AI$2 + 1)/'Résultats des tournois'!AI72) - (1 / (1 + 10^((AI$103 - lastVal)/400)))))
)
))"),"")</f>
        <v/>
      </c>
      <c r="AK72" s="32" t="str">
        <f>IFERROR(__xludf.DUMMYFUNCTION("IF('Résultats des tournois'!AJ$2=0,"""",LET(
lastVal, INDEX(FILTER($B72:AJ72, ISNUMBER($B72:AJ72)), COUNTA(FILTER($B72:AJ72, ISNUMBER($B72:AJ72)))),
IFERROR(
IF('Résultats des tournois'!AJ72="""", INDEX(FILTER($C72:AJ72, ISNUMBER($C72:AJ72)), COUNTA(FILTE"&amp;"R($C72:AJ72, ISNUMBER($C72:AJ72)))),
lastVal + 'K dynamique'!AJ72 * ((SQRT('Résultats des tournois'!AJ$2 + 1)/'Résultats des tournois'!AJ72) - (1 / (1 + 10^((AJ$103 - lastVal)/400)))))
)
))"),"")</f>
        <v/>
      </c>
      <c r="AL72" s="32" t="str">
        <f>IFERROR(__xludf.DUMMYFUNCTION("IF('Résultats des tournois'!AK$2=0,"""",LET(
lastVal, INDEX(FILTER($B72:AK72, ISNUMBER($B72:AK72)), COUNTA(FILTER($B72:AK72, ISNUMBER($B72:AK72)))),
IFERROR(
IF('Résultats des tournois'!AK72="""", INDEX(FILTER($C72:AK72, ISNUMBER($C72:AK72)), COUNTA(FILTE"&amp;"R($C72:AK72, ISNUMBER($C72:AK72)))),
lastVal + 'K dynamique'!AK72 * ((SQRT('Résultats des tournois'!AK$2 + 1)/'Résultats des tournois'!AK72) - (1 / (1 + 10^((AK$103 - lastVal)/400)))))
)
))"),"")</f>
        <v/>
      </c>
      <c r="AM72" s="32" t="str">
        <f>IFERROR(__xludf.DUMMYFUNCTION("IF('Résultats des tournois'!AL$2=0,"""",LET(
lastVal, INDEX(FILTER($B72:AL72, ISNUMBER($B72:AL72)), COUNTA(FILTER($B72:AL72, ISNUMBER($B72:AL72)))),
IFERROR(
IF('Résultats des tournois'!AL72="""", INDEX(FILTER($C72:AL72, ISNUMBER($C72:AL72)), COUNTA(FILTE"&amp;"R($C72:AL72, ISNUMBER($C72:AL72)))),
lastVal + 'K dynamique'!AL72 * ((SQRT('Résultats des tournois'!AL$2 + 1)/'Résultats des tournois'!AL72) - (1 / (1 + 10^((AL$103 - lastVal)/400)))))
)
))"),"")</f>
        <v/>
      </c>
      <c r="AN72" s="32" t="str">
        <f>IFERROR(__xludf.DUMMYFUNCTION("IF('Résultats des tournois'!AM$2=0,"""",LET(
lastVal, INDEX(FILTER($B72:AM72, ISNUMBER($B72:AM72)), COUNTA(FILTER($B72:AM72, ISNUMBER($B72:AM72)))),
IFERROR(
IF('Résultats des tournois'!AM72="""", INDEX(FILTER($C72:AM72, ISNUMBER($C72:AM72)), COUNTA(FILTE"&amp;"R($C72:AM72, ISNUMBER($C72:AM72)))),
lastVal + 'K dynamique'!AM72 * ((SQRT('Résultats des tournois'!AM$2 + 1)/'Résultats des tournois'!AM72) - (1 / (1 + 10^((AM$103 - lastVal)/400)))))
)
))"),"")</f>
        <v/>
      </c>
      <c r="AO72" s="32" t="str">
        <f>IFERROR(__xludf.DUMMYFUNCTION("IF('Résultats des tournois'!AN$2=0,"""",LET(
lastVal, INDEX(FILTER($B72:AN72, ISNUMBER($B72:AN72)), COUNTA(FILTER($B72:AN72, ISNUMBER($B72:AN72)))),
IFERROR(
IF('Résultats des tournois'!AN72="""", INDEX(FILTER($C72:AN72, ISNUMBER($C72:AN72)), COUNTA(FILTE"&amp;"R($C72:AN72, ISNUMBER($C72:AN72)))),
lastVal + 'K dynamique'!AN72 * ((SQRT('Résultats des tournois'!AN$2 + 1)/'Résultats des tournois'!AN72) - (1 / (1 + 10^((AN$103 - lastVal)/400)))))
)
))"),"")</f>
        <v/>
      </c>
      <c r="AP72" s="32" t="str">
        <f>IFERROR(__xludf.DUMMYFUNCTION("IF('Résultats des tournois'!AO$2=0,"""",LET(
lastVal, INDEX(FILTER($B72:AO72, ISNUMBER($B72:AO72)), COUNTA(FILTER($B72:AO72, ISNUMBER($B72:AO72)))),
IFERROR(
IF('Résultats des tournois'!AO72="""", INDEX(FILTER($C72:AO72, ISNUMBER($C72:AO72)), COUNTA(FILTE"&amp;"R($C72:AO72, ISNUMBER($C72:AO72)))),
lastVal + 'K dynamique'!AO72 * ((SQRT('Résultats des tournois'!AO$2 + 1)/'Résultats des tournois'!AO72) - (1 / (1 + 10^((AO$103 - lastVal)/400)))))
)
))"),"")</f>
        <v/>
      </c>
      <c r="AQ72" s="32" t="str">
        <f>IFERROR(__xludf.DUMMYFUNCTION("IF('Résultats des tournois'!AP$2=0,"""",LET(
lastVal, INDEX(FILTER($B72:AP72, ISNUMBER($B72:AP72)), COUNTA(FILTER($B72:AP72, ISNUMBER($B72:AP72)))),
IFERROR(
IF('Résultats des tournois'!AP72="""", INDEX(FILTER($C72:AP72, ISNUMBER($C72:AP72)), COUNTA(FILTE"&amp;"R($C72:AP72, ISNUMBER($C72:AP72)))),
lastVal + 'K dynamique'!AP72 * ((SQRT('Résultats des tournois'!AP$2 + 1)/'Résultats des tournois'!AP72) - (1 / (1 + 10^((AP$103 - lastVal)/400)))))
)
))"),"")</f>
        <v/>
      </c>
      <c r="AR72" s="32" t="str">
        <f>IFERROR(__xludf.DUMMYFUNCTION("IF('Résultats des tournois'!AQ$2=0,"""",LET(
lastVal, INDEX(FILTER($B72:AQ72, ISNUMBER($B72:AQ72)), COUNTA(FILTER($B72:AQ72, ISNUMBER($B72:AQ72)))),
IFERROR(
IF('Résultats des tournois'!AQ72="""", INDEX(FILTER($C72:AQ72, ISNUMBER($C72:AQ72)), COUNTA(FILTE"&amp;"R($C72:AQ72, ISNUMBER($C72:AQ72)))),
lastVal + 'K dynamique'!AQ72 * ((SQRT('Résultats des tournois'!AQ$2 + 1)/'Résultats des tournois'!AQ72) - (1 / (1 + 10^((AQ$103 - lastVal)/400)))))
)
))"),"")</f>
        <v/>
      </c>
      <c r="AS72" s="32" t="str">
        <f>IFERROR(__xludf.DUMMYFUNCTION("IF('Résultats des tournois'!AR$2=0,"""",LET(
lastVal, INDEX(FILTER($B72:AR72, ISNUMBER($B72:AR72)), COUNTA(FILTER($B72:AR72, ISNUMBER($B72:AR72)))),
IFERROR(
IF('Résultats des tournois'!AR72="""", INDEX(FILTER($C72:AR72, ISNUMBER($C72:AR72)), COUNTA(FILTE"&amp;"R($C72:AR72, ISNUMBER($C72:AR72)))),
lastVal + 'K dynamique'!AR72 * ((SQRT('Résultats des tournois'!AR$2 + 1)/'Résultats des tournois'!AR72) - (1 / (1 + 10^((AR$103 - lastVal)/400)))))
)
))"),"")</f>
        <v/>
      </c>
      <c r="AT72" s="32" t="str">
        <f>IFERROR(__xludf.DUMMYFUNCTION("IF('Résultats des tournois'!AS$2=0,"""",LET(
lastVal, INDEX(FILTER($B72:AS72, ISNUMBER($B72:AS72)), COUNTA(FILTER($B72:AS72, ISNUMBER($B72:AS72)))),
IFERROR(
IF('Résultats des tournois'!AS72="""", INDEX(FILTER($C72:AS72, ISNUMBER($C72:AS72)), COUNTA(FILTE"&amp;"R($C72:AS72, ISNUMBER($C72:AS72)))),
lastVal + 'K dynamique'!AS72 * ((SQRT('Résultats des tournois'!AS$2 + 1)/'Résultats des tournois'!AS72) - (1 / (1 + 10^((AS$103 - lastVal)/400)))))
)
))"),"")</f>
        <v/>
      </c>
      <c r="AU72" s="32" t="str">
        <f>IFERROR(__xludf.DUMMYFUNCTION("IF('Résultats des tournois'!AT$2=0,"""",LET(
lastVal, INDEX(FILTER($B72:AT72, ISNUMBER($B72:AT72)), COUNTA(FILTER($B72:AT72, ISNUMBER($B72:AT72)))),
IFERROR(
IF('Résultats des tournois'!AT72="""", INDEX(FILTER($C72:AT72, ISNUMBER($C72:AT72)), COUNTA(FILTE"&amp;"R($C72:AT72, ISNUMBER($C72:AT72)))),
lastVal + 'K dynamique'!AT72 * ((SQRT('Résultats des tournois'!AT$2 + 1)/'Résultats des tournois'!AT72) - (1 / (1 + 10^((AT$103 - lastVal)/400)))))
)
))"),"")</f>
        <v/>
      </c>
      <c r="AV72" s="32" t="str">
        <f>IFERROR(__xludf.DUMMYFUNCTION("IF('Résultats des tournois'!AU$2=0,"""",LET(
lastVal, INDEX(FILTER($B72:AU72, ISNUMBER($B72:AU72)), COUNTA(FILTER($B72:AU72, ISNUMBER($B72:AU72)))),
IFERROR(
IF('Résultats des tournois'!AU72="""", INDEX(FILTER($C72:AU72, ISNUMBER($C72:AU72)), COUNTA(FILTE"&amp;"R($C72:AU72, ISNUMBER($C72:AU72)))),
lastVal + 'K dynamique'!AU72 * ((SQRT('Résultats des tournois'!AU$2 + 1)/'Résultats des tournois'!AU72) - (1 / (1 + 10^((AU$103 - lastVal)/400)))))
)
))"),"")</f>
        <v/>
      </c>
      <c r="AW72" s="32" t="str">
        <f>IFERROR(__xludf.DUMMYFUNCTION("IF('Résultats des tournois'!AV$2=0,"""",LET(
lastVal, INDEX(FILTER($B72:AV72, ISNUMBER($B72:AV72)), COUNTA(FILTER($B72:AV72, ISNUMBER($B72:AV72)))),
IFERROR(
IF('Résultats des tournois'!AV72="""", INDEX(FILTER($C72:AV72, ISNUMBER($C72:AV72)), COUNTA(FILTE"&amp;"R($C72:AV72, ISNUMBER($C72:AV72)))),
lastVal + 'K dynamique'!AV72 * ((SQRT('Résultats des tournois'!AV$2 + 1)/'Résultats des tournois'!AV72) - (1 / (1 + 10^((AV$103 - lastVal)/400)))))
)
))"),"")</f>
        <v/>
      </c>
      <c r="AX72" s="32" t="str">
        <f>IFERROR(__xludf.DUMMYFUNCTION("IF('Résultats des tournois'!AW$2=0,"""",LET(
lastVal, INDEX(FILTER($B72:AW72, ISNUMBER($B72:AW72)), COUNTA(FILTER($B72:AW72, ISNUMBER($B72:AW72)))),
IFERROR(
IF('Résultats des tournois'!AW72="""", INDEX(FILTER($C72:AW72, ISNUMBER($C72:AW72)), COUNTA(FILTE"&amp;"R($C72:AW72, ISNUMBER($C72:AW72)))),
lastVal + 'K dynamique'!AW72 * ((SQRT('Résultats des tournois'!AW$2 + 1)/'Résultats des tournois'!AW72) - (1 / (1 + 10^((AW$103 - lastVal)/400)))))
)
))"),"")</f>
        <v/>
      </c>
      <c r="AY72" s="32" t="str">
        <f>IFERROR(__xludf.DUMMYFUNCTION("IF('Résultats des tournois'!AX$2=0,"""",LET(
lastVal, INDEX(FILTER($B72:AX72, ISNUMBER($B72:AX72)), COUNTA(FILTER($B72:AX72, ISNUMBER($B72:AX72)))),
IFERROR(
IF('Résultats des tournois'!AX72="""", INDEX(FILTER($C72:AX72, ISNUMBER($C72:AX72)), COUNTA(FILTE"&amp;"R($C72:AX72, ISNUMBER($C72:AX72)))),
lastVal + 'K dynamique'!AX72 * ((SQRT('Résultats des tournois'!AX$2 + 1)/'Résultats des tournois'!AX72) - (1 / (1 + 10^((AX$103 - lastVal)/400)))))
)
))"),"")</f>
        <v/>
      </c>
      <c r="AZ72" s="4" t="str">
        <f t="array" ref="AZ72">IF(MAX(($C72:AY72&lt;&gt;"")*COLUMN($C72:AY72))=0,"",INDEX($C72:AY72,1,MAX(($C72:AY72&lt;&gt;"")*COLUMN($C72:AY72))-COLUMN($C72)+1))</f>
        <v/>
      </c>
      <c r="BA72" s="33" t="str">
        <f t="shared" si="1"/>
        <v/>
      </c>
    </row>
    <row r="73" ht="14.25" customHeight="1">
      <c r="A73" s="32" t="str">
        <f>IF('Résultats des tournois'!A73="","",'Résultats des tournois'!A73)</f>
        <v/>
      </c>
      <c r="B73" s="32">
        <v>1500.0</v>
      </c>
      <c r="C73" s="32" t="str">
        <f>IF('Résultats des tournois'!B73="","",B73+'K dynamique'!B73*((SQRT('Résultats des tournois'!B$2+1)/'Résultats des tournois'!B73)-(1/(1+10^((B73-B73)/400)))))</f>
        <v/>
      </c>
      <c r="D73" s="32" t="str">
        <f>IFERROR(__xludf.DUMMYFUNCTION("IF('Résultats des tournois'!C$2=0,"""",LET(
lastVal, INDEX(FILTER($B73:C73, ISNUMBER($B73:C73)), COUNTA(FILTER($B73:C73, ISNUMBER($B73:C73)))),
IFERROR(
IF('Résultats des tournois'!C73="""", INDEX(FILTER($C73:C73, ISNUMBER($C73:C73)), COUNTA(FILTER($C73:C"&amp;"73, ISNUMBER($C73:C73)))),
lastVal + 'K dynamique'!C73 * ((SQRT('Résultats des tournois'!C$2 + 1)/'Résultats des tournois'!C73) - (1 / (1 + 10^((C$103 - lastVal)/400)))))
)
))"),"")</f>
        <v/>
      </c>
      <c r="E73" s="32" t="str">
        <f>IFERROR(__xludf.DUMMYFUNCTION("IF('Résultats des tournois'!D$2=0,"""",LET(
lastVal, INDEX(FILTER($B73:D73, ISNUMBER($B73:D73)), COUNTA(FILTER($B73:D73, ISNUMBER($B73:D73)))),
IFERROR(
IF('Résultats des tournois'!D73="""", INDEX(FILTER($C73:D73, ISNUMBER($C73:D73)), COUNTA(FILTER($C73:D"&amp;"73, ISNUMBER($C73:D73)))),
lastVal + 'K dynamique'!D73 * ((SQRT('Résultats des tournois'!D$2 + 1)/'Résultats des tournois'!D73) - (1 / (1 + 10^((D$103 - lastVal)/400)))))
)
))"),"")</f>
        <v/>
      </c>
      <c r="F73" s="32" t="str">
        <f>IFERROR(__xludf.DUMMYFUNCTION("IF('Résultats des tournois'!E$2=0,"""",LET(
lastVal, INDEX(FILTER($B73:E73, ISNUMBER($B73:E73)), COUNTA(FILTER($B73:E73, ISNUMBER($B73:E73)))),
IFERROR(
IF('Résultats des tournois'!E73="""", INDEX(FILTER($C73:E73, ISNUMBER($C73:E73)), COUNTA(FILTER($C73:E"&amp;"73, ISNUMBER($C73:E73)))),
lastVal + 'K dynamique'!E73 * ((SQRT('Résultats des tournois'!E$2 + 1)/'Résultats des tournois'!E73) - (1 / (1 + 10^((E$103 - lastVal)/400)))))
)
))"),"")</f>
        <v/>
      </c>
      <c r="G73" s="32" t="str">
        <f>IFERROR(__xludf.DUMMYFUNCTION("IF('Résultats des tournois'!F$2=0,"""",LET(
lastVal, INDEX(FILTER($B73:F73, ISNUMBER($B73:F73)), COUNTA(FILTER($B73:F73, ISNUMBER($B73:F73)))),
IFERROR(
IF('Résultats des tournois'!F73="""", INDEX(FILTER($C73:F73, ISNUMBER($C73:F73)), COUNTA(FILTER($C73:F"&amp;"73, ISNUMBER($C73:F73)))),
lastVal + 'K dynamique'!F73 * ((SQRT('Résultats des tournois'!F$2 + 1)/'Résultats des tournois'!F73) - (1 / (1 + 10^((F$103 - lastVal)/400)))))
)
))"),"")</f>
        <v/>
      </c>
      <c r="H73" s="32" t="str">
        <f>IFERROR(__xludf.DUMMYFUNCTION("IF('Résultats des tournois'!G$2=0,"""",LET(
lastVal, INDEX(FILTER($B73:G73, ISNUMBER($B73:G73)), COUNTA(FILTER($B73:G73, ISNUMBER($B73:G73)))),
IFERROR(
IF('Résultats des tournois'!G73="""", INDEX(FILTER($C73:G73, ISNUMBER($C73:G73)), COUNTA(FILTER($C73:G"&amp;"73, ISNUMBER($C73:G73)))),
lastVal + 'K dynamique'!G73 * ((SQRT('Résultats des tournois'!G$2 + 1)/'Résultats des tournois'!G73) - (1 / (1 + 10^((G$103 - lastVal)/400)))))
)
))"),"")</f>
        <v/>
      </c>
      <c r="I73" s="32" t="str">
        <f>IFERROR(__xludf.DUMMYFUNCTION("IF('Résultats des tournois'!H$2=0,"""",LET(
lastVal, INDEX(FILTER($B73:H73, ISNUMBER($B73:H73)), COUNTA(FILTER($B73:H73, ISNUMBER($B73:H73)))),
IFERROR(
IF('Résultats des tournois'!H73="""", INDEX(FILTER($C73:H73, ISNUMBER($C73:H73)), COUNTA(FILTER($C73:H"&amp;"73, ISNUMBER($C73:H73)))),
lastVal + 'K dynamique'!H73 * ((SQRT('Résultats des tournois'!H$2 + 1)/'Résultats des tournois'!H73) - (1 / (1 + 10^((H$103 - lastVal)/400)))))
)
))"),"")</f>
        <v/>
      </c>
      <c r="J73" s="32" t="str">
        <f>IFERROR(__xludf.DUMMYFUNCTION("IF('Résultats des tournois'!I$2=0,"""",LET(
lastVal, INDEX(FILTER($B73:I73, ISNUMBER($B73:I73)), COUNTA(FILTER($B73:I73, ISNUMBER($B73:I73)))),
IFERROR(
IF('Résultats des tournois'!I73="""", INDEX(FILTER($C73:I73, ISNUMBER($C73:I73)), COUNTA(FILTER($C73:I"&amp;"73, ISNUMBER($C73:I73)))),
lastVal + 'K dynamique'!I73 * ((SQRT('Résultats des tournois'!I$2 + 1)/'Résultats des tournois'!I73) - (1 / (1 + 10^((I$103 - lastVal)/400)))))
)
))"),"")</f>
        <v/>
      </c>
      <c r="K73" s="32" t="str">
        <f>IFERROR(__xludf.DUMMYFUNCTION("IF('Résultats des tournois'!J$2=0,"""",LET(
lastVal, INDEX(FILTER($B73:J73, ISNUMBER($B73:J73)), COUNTA(FILTER($B73:J73, ISNUMBER($B73:J73)))),
IFERROR(
IF('Résultats des tournois'!J73="""", INDEX(FILTER($C73:J73, ISNUMBER($C73:J73)), COUNTA(FILTER($C73:J"&amp;"73, ISNUMBER($C73:J73)))),
lastVal + 'K dynamique'!J73 * ((SQRT('Résultats des tournois'!J$2 + 1)/'Résultats des tournois'!J73) - (1 / (1 + 10^((J$103 - lastVal)/400)))))
)
))"),"")</f>
        <v/>
      </c>
      <c r="L73" s="32" t="str">
        <f>IFERROR(__xludf.DUMMYFUNCTION("IF('Résultats des tournois'!K$2=0,"""",LET(
lastVal, INDEX(FILTER($B73:K73, ISNUMBER($B73:K73)), COUNTA(FILTER($B73:K73, ISNUMBER($B73:K73)))),
IFERROR(
IF('Résultats des tournois'!K73="""", INDEX(FILTER($C73:K73, ISNUMBER($C73:K73)), COUNTA(FILTER($C73:K"&amp;"73, ISNUMBER($C73:K73)))),
lastVal + 'K dynamique'!K73 * ((SQRT('Résultats des tournois'!K$2 + 1)/'Résultats des tournois'!K73) - (1 / (1 + 10^((K$103 - lastVal)/400)))))
)
))"),"")</f>
        <v/>
      </c>
      <c r="M73" s="32" t="str">
        <f>IFERROR(__xludf.DUMMYFUNCTION("IF('Résultats des tournois'!L$2=0,"""",LET(
lastVal, INDEX(FILTER($B73:L73, ISNUMBER($B73:L73)), COUNTA(FILTER($B73:L73, ISNUMBER($B73:L73)))),
IFERROR(
IF('Résultats des tournois'!L73="""", INDEX(FILTER($C73:L73, ISNUMBER($C73:L73)), COUNTA(FILTER($C73:L"&amp;"73, ISNUMBER($C73:L73)))),
lastVal + 'K dynamique'!L73 * ((SQRT('Résultats des tournois'!L$2 + 1)/'Résultats des tournois'!L73) - (1 / (1 + 10^((L$103 - lastVal)/400)))))
)
))"),"")</f>
        <v/>
      </c>
      <c r="N73" s="32" t="str">
        <f>IFERROR(__xludf.DUMMYFUNCTION("IF('Résultats des tournois'!M$2=0,"""",LET(
lastVal, INDEX(FILTER($B73:M73, ISNUMBER($B73:M73)), COUNTA(FILTER($B73:M73, ISNUMBER($B73:M73)))),
IFERROR(
IF('Résultats des tournois'!M73="""", INDEX(FILTER($C73:M73, ISNUMBER($C73:M73)), COUNTA(FILTER($C73:M"&amp;"73, ISNUMBER($C73:M73)))),
lastVal + 'K dynamique'!M73 * ((SQRT('Résultats des tournois'!M$2 + 1)/'Résultats des tournois'!M73) - (1 / (1 + 10^((M$103 - lastVal)/400)))))
)
))"),"")</f>
        <v/>
      </c>
      <c r="O73" s="32" t="str">
        <f>IFERROR(__xludf.DUMMYFUNCTION("IF('Résultats des tournois'!N$2=0,"""",LET(
lastVal, INDEX(FILTER($B73:N73, ISNUMBER($B73:N73)), COUNTA(FILTER($B73:N73, ISNUMBER($B73:N73)))),
IFERROR(
IF('Résultats des tournois'!N73="""", INDEX(FILTER($C73:N73, ISNUMBER($C73:N73)), COUNTA(FILTER($C73:N"&amp;"73, ISNUMBER($C73:N73)))),
lastVal + 'K dynamique'!N73 * ((SQRT('Résultats des tournois'!N$2 + 1)/'Résultats des tournois'!N73) - (1 / (1 + 10^((N$103 - lastVal)/400)))))
)
))"),"")</f>
        <v/>
      </c>
      <c r="P73" s="32" t="str">
        <f>IFERROR(__xludf.DUMMYFUNCTION("IF('Résultats des tournois'!O$2=0,"""",LET(
lastVal, INDEX(FILTER($B73:O73, ISNUMBER($B73:O73)), COUNTA(FILTER($B73:O73, ISNUMBER($B73:O73)))),
IFERROR(
IF('Résultats des tournois'!O73="""", INDEX(FILTER($C73:O73, ISNUMBER($C73:O73)), COUNTA(FILTER($C73:O"&amp;"73, ISNUMBER($C73:O73)))),
lastVal + 'K dynamique'!O73 * ((SQRT('Résultats des tournois'!O$2 + 1)/'Résultats des tournois'!O73) - (1 / (1 + 10^((O$103 - lastVal)/400)))))
)
))"),"")</f>
        <v/>
      </c>
      <c r="Q73" s="32" t="str">
        <f>IFERROR(__xludf.DUMMYFUNCTION("IF('Résultats des tournois'!P$2=0,"""",LET(
lastVal, INDEX(FILTER($B73:P73, ISNUMBER($B73:P73)), COUNTA(FILTER($B73:P73, ISNUMBER($B73:P73)))),
IFERROR(
IF('Résultats des tournois'!P73="""", INDEX(FILTER($C73:P73, ISNUMBER($C73:P73)), COUNTA(FILTER($C73:P"&amp;"73, ISNUMBER($C73:P73)))),
lastVal + 'K dynamique'!P73 * ((SQRT('Résultats des tournois'!P$2 + 1)/'Résultats des tournois'!P73) - (1 / (1 + 10^((P$103 - lastVal)/400)))))
)
))"),"")</f>
        <v/>
      </c>
      <c r="R73" s="32" t="str">
        <f>IFERROR(__xludf.DUMMYFUNCTION("IF('Résultats des tournois'!Q$2=0,"""",LET(
lastVal, INDEX(FILTER($B73:Q73, ISNUMBER($B73:Q73)), COUNTA(FILTER($B73:Q73, ISNUMBER($B73:Q73)))),
IFERROR(
IF('Résultats des tournois'!Q73="""", INDEX(FILTER($C73:Q73, ISNUMBER($C73:Q73)), COUNTA(FILTER($C73:Q"&amp;"73, ISNUMBER($C73:Q73)))),
lastVal + 'K dynamique'!Q73 * ((SQRT('Résultats des tournois'!Q$2 + 1)/'Résultats des tournois'!Q73) - (1 / (1 + 10^((Q$103 - lastVal)/400)))))
)
))"),"")</f>
        <v/>
      </c>
      <c r="S73" s="32" t="str">
        <f>IFERROR(__xludf.DUMMYFUNCTION("IF('Résultats des tournois'!R$2=0,"""",LET(
lastVal, INDEX(FILTER($B73:R73, ISNUMBER($B73:R73)), COUNTA(FILTER($B73:R73, ISNUMBER($B73:R73)))),
IFERROR(
IF('Résultats des tournois'!R73="""", INDEX(FILTER($C73:R73, ISNUMBER($C73:R73)), COUNTA(FILTER($C73:R"&amp;"73, ISNUMBER($C73:R73)))),
lastVal + 'K dynamique'!R73 * ((SQRT('Résultats des tournois'!R$2 + 1)/'Résultats des tournois'!R73) - (1 / (1 + 10^((R$103 - lastVal)/400)))))
)
))"),"")</f>
        <v/>
      </c>
      <c r="T73" s="32" t="str">
        <f>IFERROR(__xludf.DUMMYFUNCTION("IF('Résultats des tournois'!S$2=0,"""",LET(
lastVal, INDEX(FILTER($B73:S73, ISNUMBER($B73:S73)), COUNTA(FILTER($B73:S73, ISNUMBER($B73:S73)))),
IFERROR(
IF('Résultats des tournois'!S73="""", INDEX(FILTER($C73:S73, ISNUMBER($C73:S73)), COUNTA(FILTER($C73:S"&amp;"73, ISNUMBER($C73:S73)))),
lastVal + 'K dynamique'!S73 * ((SQRT('Résultats des tournois'!S$2 + 1)/'Résultats des tournois'!S73) - (1 / (1 + 10^((S$103 - lastVal)/400)))))
)
))"),"")</f>
        <v/>
      </c>
      <c r="U73" s="32" t="str">
        <f>IFERROR(__xludf.DUMMYFUNCTION("IF('Résultats des tournois'!T$2=0,"""",LET(
lastVal, INDEX(FILTER($B73:T73, ISNUMBER($B73:T73)), COUNTA(FILTER($B73:T73, ISNUMBER($B73:T73)))),
IFERROR(
IF('Résultats des tournois'!T73="""", INDEX(FILTER($C73:T73, ISNUMBER($C73:T73)), COUNTA(FILTER($C73:T"&amp;"73, ISNUMBER($C73:T73)))),
lastVal + 'K dynamique'!T73 * ((SQRT('Résultats des tournois'!T$2 + 1)/'Résultats des tournois'!T73) - (1 / (1 + 10^((T$103 - lastVal)/400)))))
)
))"),"")</f>
        <v/>
      </c>
      <c r="V73" s="32" t="str">
        <f>IFERROR(__xludf.DUMMYFUNCTION("IF('Résultats des tournois'!U$2=0,"""",LET(
lastVal, INDEX(FILTER($B73:U73, ISNUMBER($B73:U73)), COUNTA(FILTER($B73:U73, ISNUMBER($B73:U73)))),
IFERROR(
IF('Résultats des tournois'!U73="""", INDEX(FILTER($C73:U73, ISNUMBER($C73:U73)), COUNTA(FILTER($C73:U"&amp;"73, ISNUMBER($C73:U73)))),
lastVal + 'K dynamique'!U73 * ((SQRT('Résultats des tournois'!U$2 + 1)/'Résultats des tournois'!U73) - (1 / (1 + 10^((U$103 - lastVal)/400)))))
)
))"),"")</f>
        <v/>
      </c>
      <c r="W73" s="32" t="str">
        <f>IFERROR(__xludf.DUMMYFUNCTION("IF('Résultats des tournois'!V$2=0,"""",LET(
lastVal, INDEX(FILTER($B73:V73, ISNUMBER($B73:V73)), COUNTA(FILTER($B73:V73, ISNUMBER($B73:V73)))),
IFERROR(
IF('Résultats des tournois'!V73="""", INDEX(FILTER($C73:V73, ISNUMBER($C73:V73)), COUNTA(FILTER($C73:V"&amp;"73, ISNUMBER($C73:V73)))),
lastVal + 'K dynamique'!V73 * ((SQRT('Résultats des tournois'!V$2 + 1)/'Résultats des tournois'!V73) - (1 / (1 + 10^((V$103 - lastVal)/400)))))
)
))"),"")</f>
        <v/>
      </c>
      <c r="X73" s="32" t="str">
        <f>IFERROR(__xludf.DUMMYFUNCTION("IF('Résultats des tournois'!W$2=0,"""",LET(
lastVal, INDEX(FILTER($B73:W73, ISNUMBER($B73:W73)), COUNTA(FILTER($B73:W73, ISNUMBER($B73:W73)))),
IFERROR(
IF('Résultats des tournois'!W73="""", INDEX(FILTER($C73:W73, ISNUMBER($C73:W73)), COUNTA(FILTER($C73:W"&amp;"73, ISNUMBER($C73:W73)))),
lastVal + 'K dynamique'!W73 * ((SQRT('Résultats des tournois'!W$2 + 1)/'Résultats des tournois'!W73) - (1 / (1 + 10^((W$103 - lastVal)/400)))))
)
))"),"")</f>
        <v/>
      </c>
      <c r="Y73" s="32" t="str">
        <f>IFERROR(__xludf.DUMMYFUNCTION("IF('Résultats des tournois'!X$2=0,"""",LET(
lastVal, INDEX(FILTER($B73:X73, ISNUMBER($B73:X73)), COUNTA(FILTER($B73:X73, ISNUMBER($B73:X73)))),
IFERROR(
IF('Résultats des tournois'!X73="""", INDEX(FILTER($C73:X73, ISNUMBER($C73:X73)), COUNTA(FILTER($C73:X"&amp;"73, ISNUMBER($C73:X73)))),
lastVal + 'K dynamique'!X73 * ((SQRT('Résultats des tournois'!X$2 + 1)/'Résultats des tournois'!X73) - (1 / (1 + 10^((X$103 - lastVal)/400)))))
)
))"),"")</f>
        <v/>
      </c>
      <c r="Z73" s="32" t="str">
        <f>IFERROR(__xludf.DUMMYFUNCTION("IF('Résultats des tournois'!Y$2=0,"""",LET(
lastVal, INDEX(FILTER($B73:Y73, ISNUMBER($B73:Y73)), COUNTA(FILTER($B73:Y73, ISNUMBER($B73:Y73)))),
IFERROR(
IF('Résultats des tournois'!Y73="""", INDEX(FILTER($C73:Y73, ISNUMBER($C73:Y73)), COUNTA(FILTER($C73:Y"&amp;"73, ISNUMBER($C73:Y73)))),
lastVal + 'K dynamique'!Y73 * ((SQRT('Résultats des tournois'!Y$2 + 1)/'Résultats des tournois'!Y73) - (1 / (1 + 10^((Y$103 - lastVal)/400)))))
)
))"),"")</f>
        <v/>
      </c>
      <c r="AA73" s="32" t="str">
        <f>IFERROR(__xludf.DUMMYFUNCTION("IF('Résultats des tournois'!Z$2=0,"""",LET(
lastVal, INDEX(FILTER($B73:Z73, ISNUMBER($B73:Z73)), COUNTA(FILTER($B73:Z73, ISNUMBER($B73:Z73)))),
IFERROR(
IF('Résultats des tournois'!Z73="""", INDEX(FILTER($C73:Z73, ISNUMBER($C73:Z73)), COUNTA(FILTER($C73:Z"&amp;"73, ISNUMBER($C73:Z73)))),
lastVal + 'K dynamique'!Z73 * ((SQRT('Résultats des tournois'!Z$2 + 1)/'Résultats des tournois'!Z73) - (1 / (1 + 10^((Z$103 - lastVal)/400)))))
)
))"),"")</f>
        <v/>
      </c>
      <c r="AB73" s="32" t="str">
        <f>IFERROR(__xludf.DUMMYFUNCTION("IF('Résultats des tournois'!AA$2=0,"""",LET(
lastVal, INDEX(FILTER($B73:AA73, ISNUMBER($B73:AA73)), COUNTA(FILTER($B73:AA73, ISNUMBER($B73:AA73)))),
IFERROR(
IF('Résultats des tournois'!AA73="""", INDEX(FILTER($C73:AA73, ISNUMBER($C73:AA73)), COUNTA(FILTE"&amp;"R($C73:AA73, ISNUMBER($C73:AA73)))),
lastVal + 'K dynamique'!AA73 * ((SQRT('Résultats des tournois'!AA$2 + 1)/'Résultats des tournois'!AA73) - (1 / (1 + 10^((AA$103 - lastVal)/400)))))
)
))"),"")</f>
        <v/>
      </c>
      <c r="AC73" s="32" t="str">
        <f>IFERROR(__xludf.DUMMYFUNCTION("IF('Résultats des tournois'!AB$2=0,"""",LET(
lastVal, INDEX(FILTER($B73:AB73, ISNUMBER($B73:AB73)), COUNTA(FILTER($B73:AB73, ISNUMBER($B73:AB73)))),
IFERROR(
IF('Résultats des tournois'!AB73="""", INDEX(FILTER($C73:AB73, ISNUMBER($C73:AB73)), COUNTA(FILTE"&amp;"R($C73:AB73, ISNUMBER($C73:AB73)))),
lastVal + 'K dynamique'!AB73 * ((SQRT('Résultats des tournois'!AB$2 + 1)/'Résultats des tournois'!AB73) - (1 / (1 + 10^((AB$103 - lastVal)/400)))))
)
))"),"")</f>
        <v/>
      </c>
      <c r="AD73" s="32" t="str">
        <f>IFERROR(__xludf.DUMMYFUNCTION("IF('Résultats des tournois'!AC$2=0,"""",LET(
lastVal, INDEX(FILTER($B73:AC73, ISNUMBER($B73:AC73)), COUNTA(FILTER($B73:AC73, ISNUMBER($B73:AC73)))),
IFERROR(
IF('Résultats des tournois'!AC73="""", INDEX(FILTER($C73:AC73, ISNUMBER($C73:AC73)), COUNTA(FILTE"&amp;"R($C73:AC73, ISNUMBER($C73:AC73)))),
lastVal + 'K dynamique'!AC73 * ((SQRT('Résultats des tournois'!AC$2 + 1)/'Résultats des tournois'!AC73) - (1 / (1 + 10^((AC$103 - lastVal)/400)))))
)
))"),"")</f>
        <v/>
      </c>
      <c r="AE73" s="32" t="str">
        <f>IFERROR(__xludf.DUMMYFUNCTION("IF('Résultats des tournois'!AD$2=0,"""",LET(
lastVal, INDEX(FILTER($B73:AD73, ISNUMBER($B73:AD73)), COUNTA(FILTER($B73:AD73, ISNUMBER($B73:AD73)))),
IFERROR(
IF('Résultats des tournois'!AD73="""", INDEX(FILTER($C73:AD73, ISNUMBER($C73:AD73)), COUNTA(FILTE"&amp;"R($C73:AD73, ISNUMBER($C73:AD73)))),
lastVal + 'K dynamique'!AD73 * ((SQRT('Résultats des tournois'!AD$2 + 1)/'Résultats des tournois'!AD73) - (1 / (1 + 10^((AD$103 - lastVal)/400)))))
)
))"),"")</f>
        <v/>
      </c>
      <c r="AF73" s="32" t="str">
        <f>IFERROR(__xludf.DUMMYFUNCTION("IF('Résultats des tournois'!AE$2=0,"""",LET(
lastVal, INDEX(FILTER($B73:AE73, ISNUMBER($B73:AE73)), COUNTA(FILTER($B73:AE73, ISNUMBER($B73:AE73)))),
IFERROR(
IF('Résultats des tournois'!AE73="""", INDEX(FILTER($C73:AE73, ISNUMBER($C73:AE73)), COUNTA(FILTE"&amp;"R($C73:AE73, ISNUMBER($C73:AE73)))),
lastVal + 'K dynamique'!AE73 * ((SQRT('Résultats des tournois'!AE$2 + 1)/'Résultats des tournois'!AE73) - (1 / (1 + 10^((AE$103 - lastVal)/400)))))
)
))"),"")</f>
        <v/>
      </c>
      <c r="AG73" s="32" t="str">
        <f>IFERROR(__xludf.DUMMYFUNCTION("IF('Résultats des tournois'!AF$2=0,"""",LET(
lastVal, INDEX(FILTER($B73:AF73, ISNUMBER($B73:AF73)), COUNTA(FILTER($B73:AF73, ISNUMBER($B73:AF73)))),
IFERROR(
IF('Résultats des tournois'!AF73="""", INDEX(FILTER($C73:AF73, ISNUMBER($C73:AF73)), COUNTA(FILTE"&amp;"R($C73:AF73, ISNUMBER($C73:AF73)))),
lastVal + 'K dynamique'!AF73 * ((SQRT('Résultats des tournois'!AF$2 + 1)/'Résultats des tournois'!AF73) - (1 / (1 + 10^((AF$103 - lastVal)/400)))))
)
))"),"")</f>
        <v/>
      </c>
      <c r="AH73" s="32" t="str">
        <f>IFERROR(__xludf.DUMMYFUNCTION("IF('Résultats des tournois'!AG$2=0,"""",LET(
lastVal, INDEX(FILTER($B73:AG73, ISNUMBER($B73:AG73)), COUNTA(FILTER($B73:AG73, ISNUMBER($B73:AG73)))),
IFERROR(
IF('Résultats des tournois'!AG73="""", INDEX(FILTER($C73:AG73, ISNUMBER($C73:AG73)), COUNTA(FILTE"&amp;"R($C73:AG73, ISNUMBER($C73:AG73)))),
lastVal + 'K dynamique'!AG73 * ((SQRT('Résultats des tournois'!AG$2 + 1)/'Résultats des tournois'!AG73) - (1 / (1 + 10^((AG$103 - lastVal)/400)))))
)
))"),"")</f>
        <v/>
      </c>
      <c r="AI73" s="32" t="str">
        <f>IFERROR(__xludf.DUMMYFUNCTION("IF('Résultats des tournois'!AH$2=0,"""",LET(
lastVal, INDEX(FILTER($B73:AH73, ISNUMBER($B73:AH73)), COUNTA(FILTER($B73:AH73, ISNUMBER($B73:AH73)))),
IFERROR(
IF('Résultats des tournois'!AH73="""", INDEX(FILTER($C73:AH73, ISNUMBER($C73:AH73)), COUNTA(FILTE"&amp;"R($C73:AH73, ISNUMBER($C73:AH73)))),
lastVal + 'K dynamique'!AH73 * ((SQRT('Résultats des tournois'!AH$2 + 1)/'Résultats des tournois'!AH73) - (1 / (1 + 10^((AH$103 - lastVal)/400)))))
)
))"),"")</f>
        <v/>
      </c>
      <c r="AJ73" s="32" t="str">
        <f>IFERROR(__xludf.DUMMYFUNCTION("IF('Résultats des tournois'!AI$2=0,"""",LET(
lastVal, INDEX(FILTER($B73:AI73, ISNUMBER($B73:AI73)), COUNTA(FILTER($B73:AI73, ISNUMBER($B73:AI73)))),
IFERROR(
IF('Résultats des tournois'!AI73="""", INDEX(FILTER($C73:AI73, ISNUMBER($C73:AI73)), COUNTA(FILTE"&amp;"R($C73:AI73, ISNUMBER($C73:AI73)))),
lastVal + 'K dynamique'!AI73 * ((SQRT('Résultats des tournois'!AI$2 + 1)/'Résultats des tournois'!AI73) - (1 / (1 + 10^((AI$103 - lastVal)/400)))))
)
))"),"")</f>
        <v/>
      </c>
      <c r="AK73" s="32" t="str">
        <f>IFERROR(__xludf.DUMMYFUNCTION("IF('Résultats des tournois'!AJ$2=0,"""",LET(
lastVal, INDEX(FILTER($B73:AJ73, ISNUMBER($B73:AJ73)), COUNTA(FILTER($B73:AJ73, ISNUMBER($B73:AJ73)))),
IFERROR(
IF('Résultats des tournois'!AJ73="""", INDEX(FILTER($C73:AJ73, ISNUMBER($C73:AJ73)), COUNTA(FILTE"&amp;"R($C73:AJ73, ISNUMBER($C73:AJ73)))),
lastVal + 'K dynamique'!AJ73 * ((SQRT('Résultats des tournois'!AJ$2 + 1)/'Résultats des tournois'!AJ73) - (1 / (1 + 10^((AJ$103 - lastVal)/400)))))
)
))"),"")</f>
        <v/>
      </c>
      <c r="AL73" s="32" t="str">
        <f>IFERROR(__xludf.DUMMYFUNCTION("IF('Résultats des tournois'!AK$2=0,"""",LET(
lastVal, INDEX(FILTER($B73:AK73, ISNUMBER($B73:AK73)), COUNTA(FILTER($B73:AK73, ISNUMBER($B73:AK73)))),
IFERROR(
IF('Résultats des tournois'!AK73="""", INDEX(FILTER($C73:AK73, ISNUMBER($C73:AK73)), COUNTA(FILTE"&amp;"R($C73:AK73, ISNUMBER($C73:AK73)))),
lastVal + 'K dynamique'!AK73 * ((SQRT('Résultats des tournois'!AK$2 + 1)/'Résultats des tournois'!AK73) - (1 / (1 + 10^((AK$103 - lastVal)/400)))))
)
))"),"")</f>
        <v/>
      </c>
      <c r="AM73" s="32" t="str">
        <f>IFERROR(__xludf.DUMMYFUNCTION("IF('Résultats des tournois'!AL$2=0,"""",LET(
lastVal, INDEX(FILTER($B73:AL73, ISNUMBER($B73:AL73)), COUNTA(FILTER($B73:AL73, ISNUMBER($B73:AL73)))),
IFERROR(
IF('Résultats des tournois'!AL73="""", INDEX(FILTER($C73:AL73, ISNUMBER($C73:AL73)), COUNTA(FILTE"&amp;"R($C73:AL73, ISNUMBER($C73:AL73)))),
lastVal + 'K dynamique'!AL73 * ((SQRT('Résultats des tournois'!AL$2 + 1)/'Résultats des tournois'!AL73) - (1 / (1 + 10^((AL$103 - lastVal)/400)))))
)
))"),"")</f>
        <v/>
      </c>
      <c r="AN73" s="32" t="str">
        <f>IFERROR(__xludf.DUMMYFUNCTION("IF('Résultats des tournois'!AM$2=0,"""",LET(
lastVal, INDEX(FILTER($B73:AM73, ISNUMBER($B73:AM73)), COUNTA(FILTER($B73:AM73, ISNUMBER($B73:AM73)))),
IFERROR(
IF('Résultats des tournois'!AM73="""", INDEX(FILTER($C73:AM73, ISNUMBER($C73:AM73)), COUNTA(FILTE"&amp;"R($C73:AM73, ISNUMBER($C73:AM73)))),
lastVal + 'K dynamique'!AM73 * ((SQRT('Résultats des tournois'!AM$2 + 1)/'Résultats des tournois'!AM73) - (1 / (1 + 10^((AM$103 - lastVal)/400)))))
)
))"),"")</f>
        <v/>
      </c>
      <c r="AO73" s="32" t="str">
        <f>IFERROR(__xludf.DUMMYFUNCTION("IF('Résultats des tournois'!AN$2=0,"""",LET(
lastVal, INDEX(FILTER($B73:AN73, ISNUMBER($B73:AN73)), COUNTA(FILTER($B73:AN73, ISNUMBER($B73:AN73)))),
IFERROR(
IF('Résultats des tournois'!AN73="""", INDEX(FILTER($C73:AN73, ISNUMBER($C73:AN73)), COUNTA(FILTE"&amp;"R($C73:AN73, ISNUMBER($C73:AN73)))),
lastVal + 'K dynamique'!AN73 * ((SQRT('Résultats des tournois'!AN$2 + 1)/'Résultats des tournois'!AN73) - (1 / (1 + 10^((AN$103 - lastVal)/400)))))
)
))"),"")</f>
        <v/>
      </c>
      <c r="AP73" s="32" t="str">
        <f>IFERROR(__xludf.DUMMYFUNCTION("IF('Résultats des tournois'!AO$2=0,"""",LET(
lastVal, INDEX(FILTER($B73:AO73, ISNUMBER($B73:AO73)), COUNTA(FILTER($B73:AO73, ISNUMBER($B73:AO73)))),
IFERROR(
IF('Résultats des tournois'!AO73="""", INDEX(FILTER($C73:AO73, ISNUMBER($C73:AO73)), COUNTA(FILTE"&amp;"R($C73:AO73, ISNUMBER($C73:AO73)))),
lastVal + 'K dynamique'!AO73 * ((SQRT('Résultats des tournois'!AO$2 + 1)/'Résultats des tournois'!AO73) - (1 / (1 + 10^((AO$103 - lastVal)/400)))))
)
))"),"")</f>
        <v/>
      </c>
      <c r="AQ73" s="32" t="str">
        <f>IFERROR(__xludf.DUMMYFUNCTION("IF('Résultats des tournois'!AP$2=0,"""",LET(
lastVal, INDEX(FILTER($B73:AP73, ISNUMBER($B73:AP73)), COUNTA(FILTER($B73:AP73, ISNUMBER($B73:AP73)))),
IFERROR(
IF('Résultats des tournois'!AP73="""", INDEX(FILTER($C73:AP73, ISNUMBER($C73:AP73)), COUNTA(FILTE"&amp;"R($C73:AP73, ISNUMBER($C73:AP73)))),
lastVal + 'K dynamique'!AP73 * ((SQRT('Résultats des tournois'!AP$2 + 1)/'Résultats des tournois'!AP73) - (1 / (1 + 10^((AP$103 - lastVal)/400)))))
)
))"),"")</f>
        <v/>
      </c>
      <c r="AR73" s="32" t="str">
        <f>IFERROR(__xludf.DUMMYFUNCTION("IF('Résultats des tournois'!AQ$2=0,"""",LET(
lastVal, INDEX(FILTER($B73:AQ73, ISNUMBER($B73:AQ73)), COUNTA(FILTER($B73:AQ73, ISNUMBER($B73:AQ73)))),
IFERROR(
IF('Résultats des tournois'!AQ73="""", INDEX(FILTER($C73:AQ73, ISNUMBER($C73:AQ73)), COUNTA(FILTE"&amp;"R($C73:AQ73, ISNUMBER($C73:AQ73)))),
lastVal + 'K dynamique'!AQ73 * ((SQRT('Résultats des tournois'!AQ$2 + 1)/'Résultats des tournois'!AQ73) - (1 / (1 + 10^((AQ$103 - lastVal)/400)))))
)
))"),"")</f>
        <v/>
      </c>
      <c r="AS73" s="32" t="str">
        <f>IFERROR(__xludf.DUMMYFUNCTION("IF('Résultats des tournois'!AR$2=0,"""",LET(
lastVal, INDEX(FILTER($B73:AR73, ISNUMBER($B73:AR73)), COUNTA(FILTER($B73:AR73, ISNUMBER($B73:AR73)))),
IFERROR(
IF('Résultats des tournois'!AR73="""", INDEX(FILTER($C73:AR73, ISNUMBER($C73:AR73)), COUNTA(FILTE"&amp;"R($C73:AR73, ISNUMBER($C73:AR73)))),
lastVal + 'K dynamique'!AR73 * ((SQRT('Résultats des tournois'!AR$2 + 1)/'Résultats des tournois'!AR73) - (1 / (1 + 10^((AR$103 - lastVal)/400)))))
)
))"),"")</f>
        <v/>
      </c>
      <c r="AT73" s="32" t="str">
        <f>IFERROR(__xludf.DUMMYFUNCTION("IF('Résultats des tournois'!AS$2=0,"""",LET(
lastVal, INDEX(FILTER($B73:AS73, ISNUMBER($B73:AS73)), COUNTA(FILTER($B73:AS73, ISNUMBER($B73:AS73)))),
IFERROR(
IF('Résultats des tournois'!AS73="""", INDEX(FILTER($C73:AS73, ISNUMBER($C73:AS73)), COUNTA(FILTE"&amp;"R($C73:AS73, ISNUMBER($C73:AS73)))),
lastVal + 'K dynamique'!AS73 * ((SQRT('Résultats des tournois'!AS$2 + 1)/'Résultats des tournois'!AS73) - (1 / (1 + 10^((AS$103 - lastVal)/400)))))
)
))"),"")</f>
        <v/>
      </c>
      <c r="AU73" s="32" t="str">
        <f>IFERROR(__xludf.DUMMYFUNCTION("IF('Résultats des tournois'!AT$2=0,"""",LET(
lastVal, INDEX(FILTER($B73:AT73, ISNUMBER($B73:AT73)), COUNTA(FILTER($B73:AT73, ISNUMBER($B73:AT73)))),
IFERROR(
IF('Résultats des tournois'!AT73="""", INDEX(FILTER($C73:AT73, ISNUMBER($C73:AT73)), COUNTA(FILTE"&amp;"R($C73:AT73, ISNUMBER($C73:AT73)))),
lastVal + 'K dynamique'!AT73 * ((SQRT('Résultats des tournois'!AT$2 + 1)/'Résultats des tournois'!AT73) - (1 / (1 + 10^((AT$103 - lastVal)/400)))))
)
))"),"")</f>
        <v/>
      </c>
      <c r="AV73" s="32" t="str">
        <f>IFERROR(__xludf.DUMMYFUNCTION("IF('Résultats des tournois'!AU$2=0,"""",LET(
lastVal, INDEX(FILTER($B73:AU73, ISNUMBER($B73:AU73)), COUNTA(FILTER($B73:AU73, ISNUMBER($B73:AU73)))),
IFERROR(
IF('Résultats des tournois'!AU73="""", INDEX(FILTER($C73:AU73, ISNUMBER($C73:AU73)), COUNTA(FILTE"&amp;"R($C73:AU73, ISNUMBER($C73:AU73)))),
lastVal + 'K dynamique'!AU73 * ((SQRT('Résultats des tournois'!AU$2 + 1)/'Résultats des tournois'!AU73) - (1 / (1 + 10^((AU$103 - lastVal)/400)))))
)
))"),"")</f>
        <v/>
      </c>
      <c r="AW73" s="32" t="str">
        <f>IFERROR(__xludf.DUMMYFUNCTION("IF('Résultats des tournois'!AV$2=0,"""",LET(
lastVal, INDEX(FILTER($B73:AV73, ISNUMBER($B73:AV73)), COUNTA(FILTER($B73:AV73, ISNUMBER($B73:AV73)))),
IFERROR(
IF('Résultats des tournois'!AV73="""", INDEX(FILTER($C73:AV73, ISNUMBER($C73:AV73)), COUNTA(FILTE"&amp;"R($C73:AV73, ISNUMBER($C73:AV73)))),
lastVal + 'K dynamique'!AV73 * ((SQRT('Résultats des tournois'!AV$2 + 1)/'Résultats des tournois'!AV73) - (1 / (1 + 10^((AV$103 - lastVal)/400)))))
)
))"),"")</f>
        <v/>
      </c>
      <c r="AX73" s="32" t="str">
        <f>IFERROR(__xludf.DUMMYFUNCTION("IF('Résultats des tournois'!AW$2=0,"""",LET(
lastVal, INDEX(FILTER($B73:AW73, ISNUMBER($B73:AW73)), COUNTA(FILTER($B73:AW73, ISNUMBER($B73:AW73)))),
IFERROR(
IF('Résultats des tournois'!AW73="""", INDEX(FILTER($C73:AW73, ISNUMBER($C73:AW73)), COUNTA(FILTE"&amp;"R($C73:AW73, ISNUMBER($C73:AW73)))),
lastVal + 'K dynamique'!AW73 * ((SQRT('Résultats des tournois'!AW$2 + 1)/'Résultats des tournois'!AW73) - (1 / (1 + 10^((AW$103 - lastVal)/400)))))
)
))"),"")</f>
        <v/>
      </c>
      <c r="AY73" s="32" t="str">
        <f>IFERROR(__xludf.DUMMYFUNCTION("IF('Résultats des tournois'!AX$2=0,"""",LET(
lastVal, INDEX(FILTER($B73:AX73, ISNUMBER($B73:AX73)), COUNTA(FILTER($B73:AX73, ISNUMBER($B73:AX73)))),
IFERROR(
IF('Résultats des tournois'!AX73="""", INDEX(FILTER($C73:AX73, ISNUMBER($C73:AX73)), COUNTA(FILTE"&amp;"R($C73:AX73, ISNUMBER($C73:AX73)))),
lastVal + 'K dynamique'!AX73 * ((SQRT('Résultats des tournois'!AX$2 + 1)/'Résultats des tournois'!AX73) - (1 / (1 + 10^((AX$103 - lastVal)/400)))))
)
))"),"")</f>
        <v/>
      </c>
      <c r="AZ73" s="4" t="str">
        <f t="array" ref="AZ73">IF(MAX(($C73:AY73&lt;&gt;"")*COLUMN($C73:AY73))=0,"",INDEX($C73:AY73,1,MAX(($C73:AY73&lt;&gt;"")*COLUMN($C73:AY73))-COLUMN($C73)+1))</f>
        <v/>
      </c>
      <c r="BA73" s="33" t="str">
        <f t="shared" si="1"/>
        <v/>
      </c>
    </row>
    <row r="74" ht="14.25" customHeight="1">
      <c r="A74" s="32" t="str">
        <f>IF('Résultats des tournois'!A74="","",'Résultats des tournois'!A74)</f>
        <v/>
      </c>
      <c r="B74" s="32">
        <v>1500.0</v>
      </c>
      <c r="C74" s="32" t="str">
        <f>IF('Résultats des tournois'!B74="","",B74+'K dynamique'!B74*((SQRT('Résultats des tournois'!B$2+1)/'Résultats des tournois'!B74)-(1/(1+10^((B74-B74)/400)))))</f>
        <v/>
      </c>
      <c r="D74" s="32" t="str">
        <f>IFERROR(__xludf.DUMMYFUNCTION("IF('Résultats des tournois'!C$2=0,"""",LET(
lastVal, INDEX(FILTER($B74:C74, ISNUMBER($B74:C74)), COUNTA(FILTER($B74:C74, ISNUMBER($B74:C74)))),
IFERROR(
IF('Résultats des tournois'!C74="""", INDEX(FILTER($C74:C74, ISNUMBER($C74:C74)), COUNTA(FILTER($C74:C"&amp;"74, ISNUMBER($C74:C74)))),
lastVal + 'K dynamique'!C74 * ((SQRT('Résultats des tournois'!C$2 + 1)/'Résultats des tournois'!C74) - (1 / (1 + 10^((C$103 - lastVal)/400)))))
)
))"),"")</f>
        <v/>
      </c>
      <c r="E74" s="32" t="str">
        <f>IFERROR(__xludf.DUMMYFUNCTION("IF('Résultats des tournois'!D$2=0,"""",LET(
lastVal, INDEX(FILTER($B74:D74, ISNUMBER($B74:D74)), COUNTA(FILTER($B74:D74, ISNUMBER($B74:D74)))),
IFERROR(
IF('Résultats des tournois'!D74="""", INDEX(FILTER($C74:D74, ISNUMBER($C74:D74)), COUNTA(FILTER($C74:D"&amp;"74, ISNUMBER($C74:D74)))),
lastVal + 'K dynamique'!D74 * ((SQRT('Résultats des tournois'!D$2 + 1)/'Résultats des tournois'!D74) - (1 / (1 + 10^((D$103 - lastVal)/400)))))
)
))"),"")</f>
        <v/>
      </c>
      <c r="F74" s="32" t="str">
        <f>IFERROR(__xludf.DUMMYFUNCTION("IF('Résultats des tournois'!E$2=0,"""",LET(
lastVal, INDEX(FILTER($B74:E74, ISNUMBER($B74:E74)), COUNTA(FILTER($B74:E74, ISNUMBER($B74:E74)))),
IFERROR(
IF('Résultats des tournois'!E74="""", INDEX(FILTER($C74:E74, ISNUMBER($C74:E74)), COUNTA(FILTER($C74:E"&amp;"74, ISNUMBER($C74:E74)))),
lastVal + 'K dynamique'!E74 * ((SQRT('Résultats des tournois'!E$2 + 1)/'Résultats des tournois'!E74) - (1 / (1 + 10^((E$103 - lastVal)/400)))))
)
))"),"")</f>
        <v/>
      </c>
      <c r="G74" s="32" t="str">
        <f>IFERROR(__xludf.DUMMYFUNCTION("IF('Résultats des tournois'!F$2=0,"""",LET(
lastVal, INDEX(FILTER($B74:F74, ISNUMBER($B74:F74)), COUNTA(FILTER($B74:F74, ISNUMBER($B74:F74)))),
IFERROR(
IF('Résultats des tournois'!F74="""", INDEX(FILTER($C74:F74, ISNUMBER($C74:F74)), COUNTA(FILTER($C74:F"&amp;"74, ISNUMBER($C74:F74)))),
lastVal + 'K dynamique'!F74 * ((SQRT('Résultats des tournois'!F$2 + 1)/'Résultats des tournois'!F74) - (1 / (1 + 10^((F$103 - lastVal)/400)))))
)
))"),"")</f>
        <v/>
      </c>
      <c r="H74" s="32" t="str">
        <f>IFERROR(__xludf.DUMMYFUNCTION("IF('Résultats des tournois'!G$2=0,"""",LET(
lastVal, INDEX(FILTER($B74:G74, ISNUMBER($B74:G74)), COUNTA(FILTER($B74:G74, ISNUMBER($B74:G74)))),
IFERROR(
IF('Résultats des tournois'!G74="""", INDEX(FILTER($C74:G74, ISNUMBER($C74:G74)), COUNTA(FILTER($C74:G"&amp;"74, ISNUMBER($C74:G74)))),
lastVal + 'K dynamique'!G74 * ((SQRT('Résultats des tournois'!G$2 + 1)/'Résultats des tournois'!G74) - (1 / (1 + 10^((G$103 - lastVal)/400)))))
)
))"),"")</f>
        <v/>
      </c>
      <c r="I74" s="32" t="str">
        <f>IFERROR(__xludf.DUMMYFUNCTION("IF('Résultats des tournois'!H$2=0,"""",LET(
lastVal, INDEX(FILTER($B74:H74, ISNUMBER($B74:H74)), COUNTA(FILTER($B74:H74, ISNUMBER($B74:H74)))),
IFERROR(
IF('Résultats des tournois'!H74="""", INDEX(FILTER($C74:H74, ISNUMBER($C74:H74)), COUNTA(FILTER($C74:H"&amp;"74, ISNUMBER($C74:H74)))),
lastVal + 'K dynamique'!H74 * ((SQRT('Résultats des tournois'!H$2 + 1)/'Résultats des tournois'!H74) - (1 / (1 + 10^((H$103 - lastVal)/400)))))
)
))"),"")</f>
        <v/>
      </c>
      <c r="J74" s="32" t="str">
        <f>IFERROR(__xludf.DUMMYFUNCTION("IF('Résultats des tournois'!I$2=0,"""",LET(
lastVal, INDEX(FILTER($B74:I74, ISNUMBER($B74:I74)), COUNTA(FILTER($B74:I74, ISNUMBER($B74:I74)))),
IFERROR(
IF('Résultats des tournois'!I74="""", INDEX(FILTER($C74:I74, ISNUMBER($C74:I74)), COUNTA(FILTER($C74:I"&amp;"74, ISNUMBER($C74:I74)))),
lastVal + 'K dynamique'!I74 * ((SQRT('Résultats des tournois'!I$2 + 1)/'Résultats des tournois'!I74) - (1 / (1 + 10^((I$103 - lastVal)/400)))))
)
))"),"")</f>
        <v/>
      </c>
      <c r="K74" s="32" t="str">
        <f>IFERROR(__xludf.DUMMYFUNCTION("IF('Résultats des tournois'!J$2=0,"""",LET(
lastVal, INDEX(FILTER($B74:J74, ISNUMBER($B74:J74)), COUNTA(FILTER($B74:J74, ISNUMBER($B74:J74)))),
IFERROR(
IF('Résultats des tournois'!J74="""", INDEX(FILTER($C74:J74, ISNUMBER($C74:J74)), COUNTA(FILTER($C74:J"&amp;"74, ISNUMBER($C74:J74)))),
lastVal + 'K dynamique'!J74 * ((SQRT('Résultats des tournois'!J$2 + 1)/'Résultats des tournois'!J74) - (1 / (1 + 10^((J$103 - lastVal)/400)))))
)
))"),"")</f>
        <v/>
      </c>
      <c r="L74" s="32" t="str">
        <f>IFERROR(__xludf.DUMMYFUNCTION("IF('Résultats des tournois'!K$2=0,"""",LET(
lastVal, INDEX(FILTER($B74:K74, ISNUMBER($B74:K74)), COUNTA(FILTER($B74:K74, ISNUMBER($B74:K74)))),
IFERROR(
IF('Résultats des tournois'!K74="""", INDEX(FILTER($C74:K74, ISNUMBER($C74:K74)), COUNTA(FILTER($C74:K"&amp;"74, ISNUMBER($C74:K74)))),
lastVal + 'K dynamique'!K74 * ((SQRT('Résultats des tournois'!K$2 + 1)/'Résultats des tournois'!K74) - (1 / (1 + 10^((K$103 - lastVal)/400)))))
)
))"),"")</f>
        <v/>
      </c>
      <c r="M74" s="32" t="str">
        <f>IFERROR(__xludf.DUMMYFUNCTION("IF('Résultats des tournois'!L$2=0,"""",LET(
lastVal, INDEX(FILTER($B74:L74, ISNUMBER($B74:L74)), COUNTA(FILTER($B74:L74, ISNUMBER($B74:L74)))),
IFERROR(
IF('Résultats des tournois'!L74="""", INDEX(FILTER($C74:L74, ISNUMBER($C74:L74)), COUNTA(FILTER($C74:L"&amp;"74, ISNUMBER($C74:L74)))),
lastVal + 'K dynamique'!L74 * ((SQRT('Résultats des tournois'!L$2 + 1)/'Résultats des tournois'!L74) - (1 / (1 + 10^((L$103 - lastVal)/400)))))
)
))"),"")</f>
        <v/>
      </c>
      <c r="N74" s="32" t="str">
        <f>IFERROR(__xludf.DUMMYFUNCTION("IF('Résultats des tournois'!M$2=0,"""",LET(
lastVal, INDEX(FILTER($B74:M74, ISNUMBER($B74:M74)), COUNTA(FILTER($B74:M74, ISNUMBER($B74:M74)))),
IFERROR(
IF('Résultats des tournois'!M74="""", INDEX(FILTER($C74:M74, ISNUMBER($C74:M74)), COUNTA(FILTER($C74:M"&amp;"74, ISNUMBER($C74:M74)))),
lastVal + 'K dynamique'!M74 * ((SQRT('Résultats des tournois'!M$2 + 1)/'Résultats des tournois'!M74) - (1 / (1 + 10^((M$103 - lastVal)/400)))))
)
))"),"")</f>
        <v/>
      </c>
      <c r="O74" s="32" t="str">
        <f>IFERROR(__xludf.DUMMYFUNCTION("IF('Résultats des tournois'!N$2=0,"""",LET(
lastVal, INDEX(FILTER($B74:N74, ISNUMBER($B74:N74)), COUNTA(FILTER($B74:N74, ISNUMBER($B74:N74)))),
IFERROR(
IF('Résultats des tournois'!N74="""", INDEX(FILTER($C74:N74, ISNUMBER($C74:N74)), COUNTA(FILTER($C74:N"&amp;"74, ISNUMBER($C74:N74)))),
lastVal + 'K dynamique'!N74 * ((SQRT('Résultats des tournois'!N$2 + 1)/'Résultats des tournois'!N74) - (1 / (1 + 10^((N$103 - lastVal)/400)))))
)
))"),"")</f>
        <v/>
      </c>
      <c r="P74" s="32" t="str">
        <f>IFERROR(__xludf.DUMMYFUNCTION("IF('Résultats des tournois'!O$2=0,"""",LET(
lastVal, INDEX(FILTER($B74:O74, ISNUMBER($B74:O74)), COUNTA(FILTER($B74:O74, ISNUMBER($B74:O74)))),
IFERROR(
IF('Résultats des tournois'!O74="""", INDEX(FILTER($C74:O74, ISNUMBER($C74:O74)), COUNTA(FILTER($C74:O"&amp;"74, ISNUMBER($C74:O74)))),
lastVal + 'K dynamique'!O74 * ((SQRT('Résultats des tournois'!O$2 + 1)/'Résultats des tournois'!O74) - (1 / (1 + 10^((O$103 - lastVal)/400)))))
)
))"),"")</f>
        <v/>
      </c>
      <c r="Q74" s="32" t="str">
        <f>IFERROR(__xludf.DUMMYFUNCTION("IF('Résultats des tournois'!P$2=0,"""",LET(
lastVal, INDEX(FILTER($B74:P74, ISNUMBER($B74:P74)), COUNTA(FILTER($B74:P74, ISNUMBER($B74:P74)))),
IFERROR(
IF('Résultats des tournois'!P74="""", INDEX(FILTER($C74:P74, ISNUMBER($C74:P74)), COUNTA(FILTER($C74:P"&amp;"74, ISNUMBER($C74:P74)))),
lastVal + 'K dynamique'!P74 * ((SQRT('Résultats des tournois'!P$2 + 1)/'Résultats des tournois'!P74) - (1 / (1 + 10^((P$103 - lastVal)/400)))))
)
))"),"")</f>
        <v/>
      </c>
      <c r="R74" s="32" t="str">
        <f>IFERROR(__xludf.DUMMYFUNCTION("IF('Résultats des tournois'!Q$2=0,"""",LET(
lastVal, INDEX(FILTER($B74:Q74, ISNUMBER($B74:Q74)), COUNTA(FILTER($B74:Q74, ISNUMBER($B74:Q74)))),
IFERROR(
IF('Résultats des tournois'!Q74="""", INDEX(FILTER($C74:Q74, ISNUMBER($C74:Q74)), COUNTA(FILTER($C74:Q"&amp;"74, ISNUMBER($C74:Q74)))),
lastVal + 'K dynamique'!Q74 * ((SQRT('Résultats des tournois'!Q$2 + 1)/'Résultats des tournois'!Q74) - (1 / (1 + 10^((Q$103 - lastVal)/400)))))
)
))"),"")</f>
        <v/>
      </c>
      <c r="S74" s="32" t="str">
        <f>IFERROR(__xludf.DUMMYFUNCTION("IF('Résultats des tournois'!R$2=0,"""",LET(
lastVal, INDEX(FILTER($B74:R74, ISNUMBER($B74:R74)), COUNTA(FILTER($B74:R74, ISNUMBER($B74:R74)))),
IFERROR(
IF('Résultats des tournois'!R74="""", INDEX(FILTER($C74:R74, ISNUMBER($C74:R74)), COUNTA(FILTER($C74:R"&amp;"74, ISNUMBER($C74:R74)))),
lastVal + 'K dynamique'!R74 * ((SQRT('Résultats des tournois'!R$2 + 1)/'Résultats des tournois'!R74) - (1 / (1 + 10^((R$103 - lastVal)/400)))))
)
))"),"")</f>
        <v/>
      </c>
      <c r="T74" s="32" t="str">
        <f>IFERROR(__xludf.DUMMYFUNCTION("IF('Résultats des tournois'!S$2=0,"""",LET(
lastVal, INDEX(FILTER($B74:S74, ISNUMBER($B74:S74)), COUNTA(FILTER($B74:S74, ISNUMBER($B74:S74)))),
IFERROR(
IF('Résultats des tournois'!S74="""", INDEX(FILTER($C74:S74, ISNUMBER($C74:S74)), COUNTA(FILTER($C74:S"&amp;"74, ISNUMBER($C74:S74)))),
lastVal + 'K dynamique'!S74 * ((SQRT('Résultats des tournois'!S$2 + 1)/'Résultats des tournois'!S74) - (1 / (1 + 10^((S$103 - lastVal)/400)))))
)
))"),"")</f>
        <v/>
      </c>
      <c r="U74" s="32" t="str">
        <f>IFERROR(__xludf.DUMMYFUNCTION("IF('Résultats des tournois'!T$2=0,"""",LET(
lastVal, INDEX(FILTER($B74:T74, ISNUMBER($B74:T74)), COUNTA(FILTER($B74:T74, ISNUMBER($B74:T74)))),
IFERROR(
IF('Résultats des tournois'!T74="""", INDEX(FILTER($C74:T74, ISNUMBER($C74:T74)), COUNTA(FILTER($C74:T"&amp;"74, ISNUMBER($C74:T74)))),
lastVal + 'K dynamique'!T74 * ((SQRT('Résultats des tournois'!T$2 + 1)/'Résultats des tournois'!T74) - (1 / (1 + 10^((T$103 - lastVal)/400)))))
)
))"),"")</f>
        <v/>
      </c>
      <c r="V74" s="32" t="str">
        <f>IFERROR(__xludf.DUMMYFUNCTION("IF('Résultats des tournois'!U$2=0,"""",LET(
lastVal, INDEX(FILTER($B74:U74, ISNUMBER($B74:U74)), COUNTA(FILTER($B74:U74, ISNUMBER($B74:U74)))),
IFERROR(
IF('Résultats des tournois'!U74="""", INDEX(FILTER($C74:U74, ISNUMBER($C74:U74)), COUNTA(FILTER($C74:U"&amp;"74, ISNUMBER($C74:U74)))),
lastVal + 'K dynamique'!U74 * ((SQRT('Résultats des tournois'!U$2 + 1)/'Résultats des tournois'!U74) - (1 / (1 + 10^((U$103 - lastVal)/400)))))
)
))"),"")</f>
        <v/>
      </c>
      <c r="W74" s="32" t="str">
        <f>IFERROR(__xludf.DUMMYFUNCTION("IF('Résultats des tournois'!V$2=0,"""",LET(
lastVal, INDEX(FILTER($B74:V74, ISNUMBER($B74:V74)), COUNTA(FILTER($B74:V74, ISNUMBER($B74:V74)))),
IFERROR(
IF('Résultats des tournois'!V74="""", INDEX(FILTER($C74:V74, ISNUMBER($C74:V74)), COUNTA(FILTER($C74:V"&amp;"74, ISNUMBER($C74:V74)))),
lastVal + 'K dynamique'!V74 * ((SQRT('Résultats des tournois'!V$2 + 1)/'Résultats des tournois'!V74) - (1 / (1 + 10^((V$103 - lastVal)/400)))))
)
))"),"")</f>
        <v/>
      </c>
      <c r="X74" s="32" t="str">
        <f>IFERROR(__xludf.DUMMYFUNCTION("IF('Résultats des tournois'!W$2=0,"""",LET(
lastVal, INDEX(FILTER($B74:W74, ISNUMBER($B74:W74)), COUNTA(FILTER($B74:W74, ISNUMBER($B74:W74)))),
IFERROR(
IF('Résultats des tournois'!W74="""", INDEX(FILTER($C74:W74, ISNUMBER($C74:W74)), COUNTA(FILTER($C74:W"&amp;"74, ISNUMBER($C74:W74)))),
lastVal + 'K dynamique'!W74 * ((SQRT('Résultats des tournois'!W$2 + 1)/'Résultats des tournois'!W74) - (1 / (1 + 10^((W$103 - lastVal)/400)))))
)
))"),"")</f>
        <v/>
      </c>
      <c r="Y74" s="32" t="str">
        <f>IFERROR(__xludf.DUMMYFUNCTION("IF('Résultats des tournois'!X$2=0,"""",LET(
lastVal, INDEX(FILTER($B74:X74, ISNUMBER($B74:X74)), COUNTA(FILTER($B74:X74, ISNUMBER($B74:X74)))),
IFERROR(
IF('Résultats des tournois'!X74="""", INDEX(FILTER($C74:X74, ISNUMBER($C74:X74)), COUNTA(FILTER($C74:X"&amp;"74, ISNUMBER($C74:X74)))),
lastVal + 'K dynamique'!X74 * ((SQRT('Résultats des tournois'!X$2 + 1)/'Résultats des tournois'!X74) - (1 / (1 + 10^((X$103 - lastVal)/400)))))
)
))"),"")</f>
        <v/>
      </c>
      <c r="Z74" s="32" t="str">
        <f>IFERROR(__xludf.DUMMYFUNCTION("IF('Résultats des tournois'!Y$2=0,"""",LET(
lastVal, INDEX(FILTER($B74:Y74, ISNUMBER($B74:Y74)), COUNTA(FILTER($B74:Y74, ISNUMBER($B74:Y74)))),
IFERROR(
IF('Résultats des tournois'!Y74="""", INDEX(FILTER($C74:Y74, ISNUMBER($C74:Y74)), COUNTA(FILTER($C74:Y"&amp;"74, ISNUMBER($C74:Y74)))),
lastVal + 'K dynamique'!Y74 * ((SQRT('Résultats des tournois'!Y$2 + 1)/'Résultats des tournois'!Y74) - (1 / (1 + 10^((Y$103 - lastVal)/400)))))
)
))"),"")</f>
        <v/>
      </c>
      <c r="AA74" s="32" t="str">
        <f>IFERROR(__xludf.DUMMYFUNCTION("IF('Résultats des tournois'!Z$2=0,"""",LET(
lastVal, INDEX(FILTER($B74:Z74, ISNUMBER($B74:Z74)), COUNTA(FILTER($B74:Z74, ISNUMBER($B74:Z74)))),
IFERROR(
IF('Résultats des tournois'!Z74="""", INDEX(FILTER($C74:Z74, ISNUMBER($C74:Z74)), COUNTA(FILTER($C74:Z"&amp;"74, ISNUMBER($C74:Z74)))),
lastVal + 'K dynamique'!Z74 * ((SQRT('Résultats des tournois'!Z$2 + 1)/'Résultats des tournois'!Z74) - (1 / (1 + 10^((Z$103 - lastVal)/400)))))
)
))"),"")</f>
        <v/>
      </c>
      <c r="AB74" s="32" t="str">
        <f>IFERROR(__xludf.DUMMYFUNCTION("IF('Résultats des tournois'!AA$2=0,"""",LET(
lastVal, INDEX(FILTER($B74:AA74, ISNUMBER($B74:AA74)), COUNTA(FILTER($B74:AA74, ISNUMBER($B74:AA74)))),
IFERROR(
IF('Résultats des tournois'!AA74="""", INDEX(FILTER($C74:AA74, ISNUMBER($C74:AA74)), COUNTA(FILTE"&amp;"R($C74:AA74, ISNUMBER($C74:AA74)))),
lastVal + 'K dynamique'!AA74 * ((SQRT('Résultats des tournois'!AA$2 + 1)/'Résultats des tournois'!AA74) - (1 / (1 + 10^((AA$103 - lastVal)/400)))))
)
))"),"")</f>
        <v/>
      </c>
      <c r="AC74" s="32" t="str">
        <f>IFERROR(__xludf.DUMMYFUNCTION("IF('Résultats des tournois'!AB$2=0,"""",LET(
lastVal, INDEX(FILTER($B74:AB74, ISNUMBER($B74:AB74)), COUNTA(FILTER($B74:AB74, ISNUMBER($B74:AB74)))),
IFERROR(
IF('Résultats des tournois'!AB74="""", INDEX(FILTER($C74:AB74, ISNUMBER($C74:AB74)), COUNTA(FILTE"&amp;"R($C74:AB74, ISNUMBER($C74:AB74)))),
lastVal + 'K dynamique'!AB74 * ((SQRT('Résultats des tournois'!AB$2 + 1)/'Résultats des tournois'!AB74) - (1 / (1 + 10^((AB$103 - lastVal)/400)))))
)
))"),"")</f>
        <v/>
      </c>
      <c r="AD74" s="32" t="str">
        <f>IFERROR(__xludf.DUMMYFUNCTION("IF('Résultats des tournois'!AC$2=0,"""",LET(
lastVal, INDEX(FILTER($B74:AC74, ISNUMBER($B74:AC74)), COUNTA(FILTER($B74:AC74, ISNUMBER($B74:AC74)))),
IFERROR(
IF('Résultats des tournois'!AC74="""", INDEX(FILTER($C74:AC74, ISNUMBER($C74:AC74)), COUNTA(FILTE"&amp;"R($C74:AC74, ISNUMBER($C74:AC74)))),
lastVal + 'K dynamique'!AC74 * ((SQRT('Résultats des tournois'!AC$2 + 1)/'Résultats des tournois'!AC74) - (1 / (1 + 10^((AC$103 - lastVal)/400)))))
)
))"),"")</f>
        <v/>
      </c>
      <c r="AE74" s="32" t="str">
        <f>IFERROR(__xludf.DUMMYFUNCTION("IF('Résultats des tournois'!AD$2=0,"""",LET(
lastVal, INDEX(FILTER($B74:AD74, ISNUMBER($B74:AD74)), COUNTA(FILTER($B74:AD74, ISNUMBER($B74:AD74)))),
IFERROR(
IF('Résultats des tournois'!AD74="""", INDEX(FILTER($C74:AD74, ISNUMBER($C74:AD74)), COUNTA(FILTE"&amp;"R($C74:AD74, ISNUMBER($C74:AD74)))),
lastVal + 'K dynamique'!AD74 * ((SQRT('Résultats des tournois'!AD$2 + 1)/'Résultats des tournois'!AD74) - (1 / (1 + 10^((AD$103 - lastVal)/400)))))
)
))"),"")</f>
        <v/>
      </c>
      <c r="AF74" s="32" t="str">
        <f>IFERROR(__xludf.DUMMYFUNCTION("IF('Résultats des tournois'!AE$2=0,"""",LET(
lastVal, INDEX(FILTER($B74:AE74, ISNUMBER($B74:AE74)), COUNTA(FILTER($B74:AE74, ISNUMBER($B74:AE74)))),
IFERROR(
IF('Résultats des tournois'!AE74="""", INDEX(FILTER($C74:AE74, ISNUMBER($C74:AE74)), COUNTA(FILTE"&amp;"R($C74:AE74, ISNUMBER($C74:AE74)))),
lastVal + 'K dynamique'!AE74 * ((SQRT('Résultats des tournois'!AE$2 + 1)/'Résultats des tournois'!AE74) - (1 / (1 + 10^((AE$103 - lastVal)/400)))))
)
))"),"")</f>
        <v/>
      </c>
      <c r="AG74" s="32" t="str">
        <f>IFERROR(__xludf.DUMMYFUNCTION("IF('Résultats des tournois'!AF$2=0,"""",LET(
lastVal, INDEX(FILTER($B74:AF74, ISNUMBER($B74:AF74)), COUNTA(FILTER($B74:AF74, ISNUMBER($B74:AF74)))),
IFERROR(
IF('Résultats des tournois'!AF74="""", INDEX(FILTER($C74:AF74, ISNUMBER($C74:AF74)), COUNTA(FILTE"&amp;"R($C74:AF74, ISNUMBER($C74:AF74)))),
lastVal + 'K dynamique'!AF74 * ((SQRT('Résultats des tournois'!AF$2 + 1)/'Résultats des tournois'!AF74) - (1 / (1 + 10^((AF$103 - lastVal)/400)))))
)
))"),"")</f>
        <v/>
      </c>
      <c r="AH74" s="32" t="str">
        <f>IFERROR(__xludf.DUMMYFUNCTION("IF('Résultats des tournois'!AG$2=0,"""",LET(
lastVal, INDEX(FILTER($B74:AG74, ISNUMBER($B74:AG74)), COUNTA(FILTER($B74:AG74, ISNUMBER($B74:AG74)))),
IFERROR(
IF('Résultats des tournois'!AG74="""", INDEX(FILTER($C74:AG74, ISNUMBER($C74:AG74)), COUNTA(FILTE"&amp;"R($C74:AG74, ISNUMBER($C74:AG74)))),
lastVal + 'K dynamique'!AG74 * ((SQRT('Résultats des tournois'!AG$2 + 1)/'Résultats des tournois'!AG74) - (1 / (1 + 10^((AG$103 - lastVal)/400)))))
)
))"),"")</f>
        <v/>
      </c>
      <c r="AI74" s="32" t="str">
        <f>IFERROR(__xludf.DUMMYFUNCTION("IF('Résultats des tournois'!AH$2=0,"""",LET(
lastVal, INDEX(FILTER($B74:AH74, ISNUMBER($B74:AH74)), COUNTA(FILTER($B74:AH74, ISNUMBER($B74:AH74)))),
IFERROR(
IF('Résultats des tournois'!AH74="""", INDEX(FILTER($C74:AH74, ISNUMBER($C74:AH74)), COUNTA(FILTE"&amp;"R($C74:AH74, ISNUMBER($C74:AH74)))),
lastVal + 'K dynamique'!AH74 * ((SQRT('Résultats des tournois'!AH$2 + 1)/'Résultats des tournois'!AH74) - (1 / (1 + 10^((AH$103 - lastVal)/400)))))
)
))"),"")</f>
        <v/>
      </c>
      <c r="AJ74" s="32" t="str">
        <f>IFERROR(__xludf.DUMMYFUNCTION("IF('Résultats des tournois'!AI$2=0,"""",LET(
lastVal, INDEX(FILTER($B74:AI74, ISNUMBER($B74:AI74)), COUNTA(FILTER($B74:AI74, ISNUMBER($B74:AI74)))),
IFERROR(
IF('Résultats des tournois'!AI74="""", INDEX(FILTER($C74:AI74, ISNUMBER($C74:AI74)), COUNTA(FILTE"&amp;"R($C74:AI74, ISNUMBER($C74:AI74)))),
lastVal + 'K dynamique'!AI74 * ((SQRT('Résultats des tournois'!AI$2 + 1)/'Résultats des tournois'!AI74) - (1 / (1 + 10^((AI$103 - lastVal)/400)))))
)
))"),"")</f>
        <v/>
      </c>
      <c r="AK74" s="32" t="str">
        <f>IFERROR(__xludf.DUMMYFUNCTION("IF('Résultats des tournois'!AJ$2=0,"""",LET(
lastVal, INDEX(FILTER($B74:AJ74, ISNUMBER($B74:AJ74)), COUNTA(FILTER($B74:AJ74, ISNUMBER($B74:AJ74)))),
IFERROR(
IF('Résultats des tournois'!AJ74="""", INDEX(FILTER($C74:AJ74, ISNUMBER($C74:AJ74)), COUNTA(FILTE"&amp;"R($C74:AJ74, ISNUMBER($C74:AJ74)))),
lastVal + 'K dynamique'!AJ74 * ((SQRT('Résultats des tournois'!AJ$2 + 1)/'Résultats des tournois'!AJ74) - (1 / (1 + 10^((AJ$103 - lastVal)/400)))))
)
))"),"")</f>
        <v/>
      </c>
      <c r="AL74" s="32" t="str">
        <f>IFERROR(__xludf.DUMMYFUNCTION("IF('Résultats des tournois'!AK$2=0,"""",LET(
lastVal, INDEX(FILTER($B74:AK74, ISNUMBER($B74:AK74)), COUNTA(FILTER($B74:AK74, ISNUMBER($B74:AK74)))),
IFERROR(
IF('Résultats des tournois'!AK74="""", INDEX(FILTER($C74:AK74, ISNUMBER($C74:AK74)), COUNTA(FILTE"&amp;"R($C74:AK74, ISNUMBER($C74:AK74)))),
lastVal + 'K dynamique'!AK74 * ((SQRT('Résultats des tournois'!AK$2 + 1)/'Résultats des tournois'!AK74) - (1 / (1 + 10^((AK$103 - lastVal)/400)))))
)
))"),"")</f>
        <v/>
      </c>
      <c r="AM74" s="32" t="str">
        <f>IFERROR(__xludf.DUMMYFUNCTION("IF('Résultats des tournois'!AL$2=0,"""",LET(
lastVal, INDEX(FILTER($B74:AL74, ISNUMBER($B74:AL74)), COUNTA(FILTER($B74:AL74, ISNUMBER($B74:AL74)))),
IFERROR(
IF('Résultats des tournois'!AL74="""", INDEX(FILTER($C74:AL74, ISNUMBER($C74:AL74)), COUNTA(FILTE"&amp;"R($C74:AL74, ISNUMBER($C74:AL74)))),
lastVal + 'K dynamique'!AL74 * ((SQRT('Résultats des tournois'!AL$2 + 1)/'Résultats des tournois'!AL74) - (1 / (1 + 10^((AL$103 - lastVal)/400)))))
)
))"),"")</f>
        <v/>
      </c>
      <c r="AN74" s="32" t="str">
        <f>IFERROR(__xludf.DUMMYFUNCTION("IF('Résultats des tournois'!AM$2=0,"""",LET(
lastVal, INDEX(FILTER($B74:AM74, ISNUMBER($B74:AM74)), COUNTA(FILTER($B74:AM74, ISNUMBER($B74:AM74)))),
IFERROR(
IF('Résultats des tournois'!AM74="""", INDEX(FILTER($C74:AM74, ISNUMBER($C74:AM74)), COUNTA(FILTE"&amp;"R($C74:AM74, ISNUMBER($C74:AM74)))),
lastVal + 'K dynamique'!AM74 * ((SQRT('Résultats des tournois'!AM$2 + 1)/'Résultats des tournois'!AM74) - (1 / (1 + 10^((AM$103 - lastVal)/400)))))
)
))"),"")</f>
        <v/>
      </c>
      <c r="AO74" s="32" t="str">
        <f>IFERROR(__xludf.DUMMYFUNCTION("IF('Résultats des tournois'!AN$2=0,"""",LET(
lastVal, INDEX(FILTER($B74:AN74, ISNUMBER($B74:AN74)), COUNTA(FILTER($B74:AN74, ISNUMBER($B74:AN74)))),
IFERROR(
IF('Résultats des tournois'!AN74="""", INDEX(FILTER($C74:AN74, ISNUMBER($C74:AN74)), COUNTA(FILTE"&amp;"R($C74:AN74, ISNUMBER($C74:AN74)))),
lastVal + 'K dynamique'!AN74 * ((SQRT('Résultats des tournois'!AN$2 + 1)/'Résultats des tournois'!AN74) - (1 / (1 + 10^((AN$103 - lastVal)/400)))))
)
))"),"")</f>
        <v/>
      </c>
      <c r="AP74" s="32" t="str">
        <f>IFERROR(__xludf.DUMMYFUNCTION("IF('Résultats des tournois'!AO$2=0,"""",LET(
lastVal, INDEX(FILTER($B74:AO74, ISNUMBER($B74:AO74)), COUNTA(FILTER($B74:AO74, ISNUMBER($B74:AO74)))),
IFERROR(
IF('Résultats des tournois'!AO74="""", INDEX(FILTER($C74:AO74, ISNUMBER($C74:AO74)), COUNTA(FILTE"&amp;"R($C74:AO74, ISNUMBER($C74:AO74)))),
lastVal + 'K dynamique'!AO74 * ((SQRT('Résultats des tournois'!AO$2 + 1)/'Résultats des tournois'!AO74) - (1 / (1 + 10^((AO$103 - lastVal)/400)))))
)
))"),"")</f>
        <v/>
      </c>
      <c r="AQ74" s="32" t="str">
        <f>IFERROR(__xludf.DUMMYFUNCTION("IF('Résultats des tournois'!AP$2=0,"""",LET(
lastVal, INDEX(FILTER($B74:AP74, ISNUMBER($B74:AP74)), COUNTA(FILTER($B74:AP74, ISNUMBER($B74:AP74)))),
IFERROR(
IF('Résultats des tournois'!AP74="""", INDEX(FILTER($C74:AP74, ISNUMBER($C74:AP74)), COUNTA(FILTE"&amp;"R($C74:AP74, ISNUMBER($C74:AP74)))),
lastVal + 'K dynamique'!AP74 * ((SQRT('Résultats des tournois'!AP$2 + 1)/'Résultats des tournois'!AP74) - (1 / (1 + 10^((AP$103 - lastVal)/400)))))
)
))"),"")</f>
        <v/>
      </c>
      <c r="AR74" s="32" t="str">
        <f>IFERROR(__xludf.DUMMYFUNCTION("IF('Résultats des tournois'!AQ$2=0,"""",LET(
lastVal, INDEX(FILTER($B74:AQ74, ISNUMBER($B74:AQ74)), COUNTA(FILTER($B74:AQ74, ISNUMBER($B74:AQ74)))),
IFERROR(
IF('Résultats des tournois'!AQ74="""", INDEX(FILTER($C74:AQ74, ISNUMBER($C74:AQ74)), COUNTA(FILTE"&amp;"R($C74:AQ74, ISNUMBER($C74:AQ74)))),
lastVal + 'K dynamique'!AQ74 * ((SQRT('Résultats des tournois'!AQ$2 + 1)/'Résultats des tournois'!AQ74) - (1 / (1 + 10^((AQ$103 - lastVal)/400)))))
)
))"),"")</f>
        <v/>
      </c>
      <c r="AS74" s="32" t="str">
        <f>IFERROR(__xludf.DUMMYFUNCTION("IF('Résultats des tournois'!AR$2=0,"""",LET(
lastVal, INDEX(FILTER($B74:AR74, ISNUMBER($B74:AR74)), COUNTA(FILTER($B74:AR74, ISNUMBER($B74:AR74)))),
IFERROR(
IF('Résultats des tournois'!AR74="""", INDEX(FILTER($C74:AR74, ISNUMBER($C74:AR74)), COUNTA(FILTE"&amp;"R($C74:AR74, ISNUMBER($C74:AR74)))),
lastVal + 'K dynamique'!AR74 * ((SQRT('Résultats des tournois'!AR$2 + 1)/'Résultats des tournois'!AR74) - (1 / (1 + 10^((AR$103 - lastVal)/400)))))
)
))"),"")</f>
        <v/>
      </c>
      <c r="AT74" s="32" t="str">
        <f>IFERROR(__xludf.DUMMYFUNCTION("IF('Résultats des tournois'!AS$2=0,"""",LET(
lastVal, INDEX(FILTER($B74:AS74, ISNUMBER($B74:AS74)), COUNTA(FILTER($B74:AS74, ISNUMBER($B74:AS74)))),
IFERROR(
IF('Résultats des tournois'!AS74="""", INDEX(FILTER($C74:AS74, ISNUMBER($C74:AS74)), COUNTA(FILTE"&amp;"R($C74:AS74, ISNUMBER($C74:AS74)))),
lastVal + 'K dynamique'!AS74 * ((SQRT('Résultats des tournois'!AS$2 + 1)/'Résultats des tournois'!AS74) - (1 / (1 + 10^((AS$103 - lastVal)/400)))))
)
))"),"")</f>
        <v/>
      </c>
      <c r="AU74" s="32" t="str">
        <f>IFERROR(__xludf.DUMMYFUNCTION("IF('Résultats des tournois'!AT$2=0,"""",LET(
lastVal, INDEX(FILTER($B74:AT74, ISNUMBER($B74:AT74)), COUNTA(FILTER($B74:AT74, ISNUMBER($B74:AT74)))),
IFERROR(
IF('Résultats des tournois'!AT74="""", INDEX(FILTER($C74:AT74, ISNUMBER($C74:AT74)), COUNTA(FILTE"&amp;"R($C74:AT74, ISNUMBER($C74:AT74)))),
lastVal + 'K dynamique'!AT74 * ((SQRT('Résultats des tournois'!AT$2 + 1)/'Résultats des tournois'!AT74) - (1 / (1 + 10^((AT$103 - lastVal)/400)))))
)
))"),"")</f>
        <v/>
      </c>
      <c r="AV74" s="32" t="str">
        <f>IFERROR(__xludf.DUMMYFUNCTION("IF('Résultats des tournois'!AU$2=0,"""",LET(
lastVal, INDEX(FILTER($B74:AU74, ISNUMBER($B74:AU74)), COUNTA(FILTER($B74:AU74, ISNUMBER($B74:AU74)))),
IFERROR(
IF('Résultats des tournois'!AU74="""", INDEX(FILTER($C74:AU74, ISNUMBER($C74:AU74)), COUNTA(FILTE"&amp;"R($C74:AU74, ISNUMBER($C74:AU74)))),
lastVal + 'K dynamique'!AU74 * ((SQRT('Résultats des tournois'!AU$2 + 1)/'Résultats des tournois'!AU74) - (1 / (1 + 10^((AU$103 - lastVal)/400)))))
)
))"),"")</f>
        <v/>
      </c>
      <c r="AW74" s="32" t="str">
        <f>IFERROR(__xludf.DUMMYFUNCTION("IF('Résultats des tournois'!AV$2=0,"""",LET(
lastVal, INDEX(FILTER($B74:AV74, ISNUMBER($B74:AV74)), COUNTA(FILTER($B74:AV74, ISNUMBER($B74:AV74)))),
IFERROR(
IF('Résultats des tournois'!AV74="""", INDEX(FILTER($C74:AV74, ISNUMBER($C74:AV74)), COUNTA(FILTE"&amp;"R($C74:AV74, ISNUMBER($C74:AV74)))),
lastVal + 'K dynamique'!AV74 * ((SQRT('Résultats des tournois'!AV$2 + 1)/'Résultats des tournois'!AV74) - (1 / (1 + 10^((AV$103 - lastVal)/400)))))
)
))"),"")</f>
        <v/>
      </c>
      <c r="AX74" s="32" t="str">
        <f>IFERROR(__xludf.DUMMYFUNCTION("IF('Résultats des tournois'!AW$2=0,"""",LET(
lastVal, INDEX(FILTER($B74:AW74, ISNUMBER($B74:AW74)), COUNTA(FILTER($B74:AW74, ISNUMBER($B74:AW74)))),
IFERROR(
IF('Résultats des tournois'!AW74="""", INDEX(FILTER($C74:AW74, ISNUMBER($C74:AW74)), COUNTA(FILTE"&amp;"R($C74:AW74, ISNUMBER($C74:AW74)))),
lastVal + 'K dynamique'!AW74 * ((SQRT('Résultats des tournois'!AW$2 + 1)/'Résultats des tournois'!AW74) - (1 / (1 + 10^((AW$103 - lastVal)/400)))))
)
))"),"")</f>
        <v/>
      </c>
      <c r="AY74" s="32" t="str">
        <f>IFERROR(__xludf.DUMMYFUNCTION("IF('Résultats des tournois'!AX$2=0,"""",LET(
lastVal, INDEX(FILTER($B74:AX74, ISNUMBER($B74:AX74)), COUNTA(FILTER($B74:AX74, ISNUMBER($B74:AX74)))),
IFERROR(
IF('Résultats des tournois'!AX74="""", INDEX(FILTER($C74:AX74, ISNUMBER($C74:AX74)), COUNTA(FILTE"&amp;"R($C74:AX74, ISNUMBER($C74:AX74)))),
lastVal + 'K dynamique'!AX74 * ((SQRT('Résultats des tournois'!AX$2 + 1)/'Résultats des tournois'!AX74) - (1 / (1 + 10^((AX$103 - lastVal)/400)))))
)
))"),"")</f>
        <v/>
      </c>
      <c r="AZ74" s="4" t="str">
        <f t="array" ref="AZ74">IF(MAX(($C74:AY74&lt;&gt;"")*COLUMN($C74:AY74))=0,"",INDEX($C74:AY74,1,MAX(($C74:AY74&lt;&gt;"")*COLUMN($C74:AY74))-COLUMN($C74)+1))</f>
        <v/>
      </c>
      <c r="BA74" s="33" t="str">
        <f t="shared" si="1"/>
        <v/>
      </c>
    </row>
    <row r="75" ht="14.25" customHeight="1">
      <c r="A75" s="32" t="str">
        <f>IF('Résultats des tournois'!A75="","",'Résultats des tournois'!A75)</f>
        <v/>
      </c>
      <c r="B75" s="32">
        <v>1500.0</v>
      </c>
      <c r="C75" s="32" t="str">
        <f>IF('Résultats des tournois'!B75="","",B75+'K dynamique'!B75*((SQRT('Résultats des tournois'!B$2+1)/'Résultats des tournois'!B75)-(1/(1+10^((B75-B75)/400)))))</f>
        <v/>
      </c>
      <c r="D75" s="32" t="str">
        <f>IFERROR(__xludf.DUMMYFUNCTION("IF('Résultats des tournois'!C$2=0,"""",LET(
lastVal, INDEX(FILTER($B75:C75, ISNUMBER($B75:C75)), COUNTA(FILTER($B75:C75, ISNUMBER($B75:C75)))),
IFERROR(
IF('Résultats des tournois'!C75="""", INDEX(FILTER($C75:C75, ISNUMBER($C75:C75)), COUNTA(FILTER($C75:C"&amp;"75, ISNUMBER($C75:C75)))),
lastVal + 'K dynamique'!C75 * ((SQRT('Résultats des tournois'!C$2 + 1)/'Résultats des tournois'!C75) - (1 / (1 + 10^((C$103 - lastVal)/400)))))
)
))"),"")</f>
        <v/>
      </c>
      <c r="E75" s="32" t="str">
        <f>IFERROR(__xludf.DUMMYFUNCTION("IF('Résultats des tournois'!D$2=0,"""",LET(
lastVal, INDEX(FILTER($B75:D75, ISNUMBER($B75:D75)), COUNTA(FILTER($B75:D75, ISNUMBER($B75:D75)))),
IFERROR(
IF('Résultats des tournois'!D75="""", INDEX(FILTER($C75:D75, ISNUMBER($C75:D75)), COUNTA(FILTER($C75:D"&amp;"75, ISNUMBER($C75:D75)))),
lastVal + 'K dynamique'!D75 * ((SQRT('Résultats des tournois'!D$2 + 1)/'Résultats des tournois'!D75) - (1 / (1 + 10^((D$103 - lastVal)/400)))))
)
))"),"")</f>
        <v/>
      </c>
      <c r="F75" s="32" t="str">
        <f>IFERROR(__xludf.DUMMYFUNCTION("IF('Résultats des tournois'!E$2=0,"""",LET(
lastVal, INDEX(FILTER($B75:E75, ISNUMBER($B75:E75)), COUNTA(FILTER($B75:E75, ISNUMBER($B75:E75)))),
IFERROR(
IF('Résultats des tournois'!E75="""", INDEX(FILTER($C75:E75, ISNUMBER($C75:E75)), COUNTA(FILTER($C75:E"&amp;"75, ISNUMBER($C75:E75)))),
lastVal + 'K dynamique'!E75 * ((SQRT('Résultats des tournois'!E$2 + 1)/'Résultats des tournois'!E75) - (1 / (1 + 10^((E$103 - lastVal)/400)))))
)
))"),"")</f>
        <v/>
      </c>
      <c r="G75" s="32" t="str">
        <f>IFERROR(__xludf.DUMMYFUNCTION("IF('Résultats des tournois'!F$2=0,"""",LET(
lastVal, INDEX(FILTER($B75:F75, ISNUMBER($B75:F75)), COUNTA(FILTER($B75:F75, ISNUMBER($B75:F75)))),
IFERROR(
IF('Résultats des tournois'!F75="""", INDEX(FILTER($C75:F75, ISNUMBER($C75:F75)), COUNTA(FILTER($C75:F"&amp;"75, ISNUMBER($C75:F75)))),
lastVal + 'K dynamique'!F75 * ((SQRT('Résultats des tournois'!F$2 + 1)/'Résultats des tournois'!F75) - (1 / (1 + 10^((F$103 - lastVal)/400)))))
)
))"),"")</f>
        <v/>
      </c>
      <c r="H75" s="32" t="str">
        <f>IFERROR(__xludf.DUMMYFUNCTION("IF('Résultats des tournois'!G$2=0,"""",LET(
lastVal, INDEX(FILTER($B75:G75, ISNUMBER($B75:G75)), COUNTA(FILTER($B75:G75, ISNUMBER($B75:G75)))),
IFERROR(
IF('Résultats des tournois'!G75="""", INDEX(FILTER($C75:G75, ISNUMBER($C75:G75)), COUNTA(FILTER($C75:G"&amp;"75, ISNUMBER($C75:G75)))),
lastVal + 'K dynamique'!G75 * ((SQRT('Résultats des tournois'!G$2 + 1)/'Résultats des tournois'!G75) - (1 / (1 + 10^((G$103 - lastVal)/400)))))
)
))"),"")</f>
        <v/>
      </c>
      <c r="I75" s="32" t="str">
        <f>IFERROR(__xludf.DUMMYFUNCTION("IF('Résultats des tournois'!H$2=0,"""",LET(
lastVal, INDEX(FILTER($B75:H75, ISNUMBER($B75:H75)), COUNTA(FILTER($B75:H75, ISNUMBER($B75:H75)))),
IFERROR(
IF('Résultats des tournois'!H75="""", INDEX(FILTER($C75:H75, ISNUMBER($C75:H75)), COUNTA(FILTER($C75:H"&amp;"75, ISNUMBER($C75:H75)))),
lastVal + 'K dynamique'!H75 * ((SQRT('Résultats des tournois'!H$2 + 1)/'Résultats des tournois'!H75) - (1 / (1 + 10^((H$103 - lastVal)/400)))))
)
))"),"")</f>
        <v/>
      </c>
      <c r="J75" s="32" t="str">
        <f>IFERROR(__xludf.DUMMYFUNCTION("IF('Résultats des tournois'!I$2=0,"""",LET(
lastVal, INDEX(FILTER($B75:I75, ISNUMBER($B75:I75)), COUNTA(FILTER($B75:I75, ISNUMBER($B75:I75)))),
IFERROR(
IF('Résultats des tournois'!I75="""", INDEX(FILTER($C75:I75, ISNUMBER($C75:I75)), COUNTA(FILTER($C75:I"&amp;"75, ISNUMBER($C75:I75)))),
lastVal + 'K dynamique'!I75 * ((SQRT('Résultats des tournois'!I$2 + 1)/'Résultats des tournois'!I75) - (1 / (1 + 10^((I$103 - lastVal)/400)))))
)
))"),"")</f>
        <v/>
      </c>
      <c r="K75" s="32" t="str">
        <f>IFERROR(__xludf.DUMMYFUNCTION("IF('Résultats des tournois'!J$2=0,"""",LET(
lastVal, INDEX(FILTER($B75:J75, ISNUMBER($B75:J75)), COUNTA(FILTER($B75:J75, ISNUMBER($B75:J75)))),
IFERROR(
IF('Résultats des tournois'!J75="""", INDEX(FILTER($C75:J75, ISNUMBER($C75:J75)), COUNTA(FILTER($C75:J"&amp;"75, ISNUMBER($C75:J75)))),
lastVal + 'K dynamique'!J75 * ((SQRT('Résultats des tournois'!J$2 + 1)/'Résultats des tournois'!J75) - (1 / (1 + 10^((J$103 - lastVal)/400)))))
)
))"),"")</f>
        <v/>
      </c>
      <c r="L75" s="32" t="str">
        <f>IFERROR(__xludf.DUMMYFUNCTION("IF('Résultats des tournois'!K$2=0,"""",LET(
lastVal, INDEX(FILTER($B75:K75, ISNUMBER($B75:K75)), COUNTA(FILTER($B75:K75, ISNUMBER($B75:K75)))),
IFERROR(
IF('Résultats des tournois'!K75="""", INDEX(FILTER($C75:K75, ISNUMBER($C75:K75)), COUNTA(FILTER($C75:K"&amp;"75, ISNUMBER($C75:K75)))),
lastVal + 'K dynamique'!K75 * ((SQRT('Résultats des tournois'!K$2 + 1)/'Résultats des tournois'!K75) - (1 / (1 + 10^((K$103 - lastVal)/400)))))
)
))"),"")</f>
        <v/>
      </c>
      <c r="M75" s="32" t="str">
        <f>IFERROR(__xludf.DUMMYFUNCTION("IF('Résultats des tournois'!L$2=0,"""",LET(
lastVal, INDEX(FILTER($B75:L75, ISNUMBER($B75:L75)), COUNTA(FILTER($B75:L75, ISNUMBER($B75:L75)))),
IFERROR(
IF('Résultats des tournois'!L75="""", INDEX(FILTER($C75:L75, ISNUMBER($C75:L75)), COUNTA(FILTER($C75:L"&amp;"75, ISNUMBER($C75:L75)))),
lastVal + 'K dynamique'!L75 * ((SQRT('Résultats des tournois'!L$2 + 1)/'Résultats des tournois'!L75) - (1 / (1 + 10^((L$103 - lastVal)/400)))))
)
))"),"")</f>
        <v/>
      </c>
      <c r="N75" s="32" t="str">
        <f>IFERROR(__xludf.DUMMYFUNCTION("IF('Résultats des tournois'!M$2=0,"""",LET(
lastVal, INDEX(FILTER($B75:M75, ISNUMBER($B75:M75)), COUNTA(FILTER($B75:M75, ISNUMBER($B75:M75)))),
IFERROR(
IF('Résultats des tournois'!M75="""", INDEX(FILTER($C75:M75, ISNUMBER($C75:M75)), COUNTA(FILTER($C75:M"&amp;"75, ISNUMBER($C75:M75)))),
lastVal + 'K dynamique'!M75 * ((SQRT('Résultats des tournois'!M$2 + 1)/'Résultats des tournois'!M75) - (1 / (1 + 10^((M$103 - lastVal)/400)))))
)
))"),"")</f>
        <v/>
      </c>
      <c r="O75" s="32" t="str">
        <f>IFERROR(__xludf.DUMMYFUNCTION("IF('Résultats des tournois'!N$2=0,"""",LET(
lastVal, INDEX(FILTER($B75:N75, ISNUMBER($B75:N75)), COUNTA(FILTER($B75:N75, ISNUMBER($B75:N75)))),
IFERROR(
IF('Résultats des tournois'!N75="""", INDEX(FILTER($C75:N75, ISNUMBER($C75:N75)), COUNTA(FILTER($C75:N"&amp;"75, ISNUMBER($C75:N75)))),
lastVal + 'K dynamique'!N75 * ((SQRT('Résultats des tournois'!N$2 + 1)/'Résultats des tournois'!N75) - (1 / (1 + 10^((N$103 - lastVal)/400)))))
)
))"),"")</f>
        <v/>
      </c>
      <c r="P75" s="32" t="str">
        <f>IFERROR(__xludf.DUMMYFUNCTION("IF('Résultats des tournois'!O$2=0,"""",LET(
lastVal, INDEX(FILTER($B75:O75, ISNUMBER($B75:O75)), COUNTA(FILTER($B75:O75, ISNUMBER($B75:O75)))),
IFERROR(
IF('Résultats des tournois'!O75="""", INDEX(FILTER($C75:O75, ISNUMBER($C75:O75)), COUNTA(FILTER($C75:O"&amp;"75, ISNUMBER($C75:O75)))),
lastVal + 'K dynamique'!O75 * ((SQRT('Résultats des tournois'!O$2 + 1)/'Résultats des tournois'!O75) - (1 / (1 + 10^((O$103 - lastVal)/400)))))
)
))"),"")</f>
        <v/>
      </c>
      <c r="Q75" s="32" t="str">
        <f>IFERROR(__xludf.DUMMYFUNCTION("IF('Résultats des tournois'!P$2=0,"""",LET(
lastVal, INDEX(FILTER($B75:P75, ISNUMBER($B75:P75)), COUNTA(FILTER($B75:P75, ISNUMBER($B75:P75)))),
IFERROR(
IF('Résultats des tournois'!P75="""", INDEX(FILTER($C75:P75, ISNUMBER($C75:P75)), COUNTA(FILTER($C75:P"&amp;"75, ISNUMBER($C75:P75)))),
lastVal + 'K dynamique'!P75 * ((SQRT('Résultats des tournois'!P$2 + 1)/'Résultats des tournois'!P75) - (1 / (1 + 10^((P$103 - lastVal)/400)))))
)
))"),"")</f>
        <v/>
      </c>
      <c r="R75" s="32" t="str">
        <f>IFERROR(__xludf.DUMMYFUNCTION("IF('Résultats des tournois'!Q$2=0,"""",LET(
lastVal, INDEX(FILTER($B75:Q75, ISNUMBER($B75:Q75)), COUNTA(FILTER($B75:Q75, ISNUMBER($B75:Q75)))),
IFERROR(
IF('Résultats des tournois'!Q75="""", INDEX(FILTER($C75:Q75, ISNUMBER($C75:Q75)), COUNTA(FILTER($C75:Q"&amp;"75, ISNUMBER($C75:Q75)))),
lastVal + 'K dynamique'!Q75 * ((SQRT('Résultats des tournois'!Q$2 + 1)/'Résultats des tournois'!Q75) - (1 / (1 + 10^((Q$103 - lastVal)/400)))))
)
))"),"")</f>
        <v/>
      </c>
      <c r="S75" s="32" t="str">
        <f>IFERROR(__xludf.DUMMYFUNCTION("IF('Résultats des tournois'!R$2=0,"""",LET(
lastVal, INDEX(FILTER($B75:R75, ISNUMBER($B75:R75)), COUNTA(FILTER($B75:R75, ISNUMBER($B75:R75)))),
IFERROR(
IF('Résultats des tournois'!R75="""", INDEX(FILTER($C75:R75, ISNUMBER($C75:R75)), COUNTA(FILTER($C75:R"&amp;"75, ISNUMBER($C75:R75)))),
lastVal + 'K dynamique'!R75 * ((SQRT('Résultats des tournois'!R$2 + 1)/'Résultats des tournois'!R75) - (1 / (1 + 10^((R$103 - lastVal)/400)))))
)
))"),"")</f>
        <v/>
      </c>
      <c r="T75" s="32" t="str">
        <f>IFERROR(__xludf.DUMMYFUNCTION("IF('Résultats des tournois'!S$2=0,"""",LET(
lastVal, INDEX(FILTER($B75:S75, ISNUMBER($B75:S75)), COUNTA(FILTER($B75:S75, ISNUMBER($B75:S75)))),
IFERROR(
IF('Résultats des tournois'!S75="""", INDEX(FILTER($C75:S75, ISNUMBER($C75:S75)), COUNTA(FILTER($C75:S"&amp;"75, ISNUMBER($C75:S75)))),
lastVal + 'K dynamique'!S75 * ((SQRT('Résultats des tournois'!S$2 + 1)/'Résultats des tournois'!S75) - (1 / (1 + 10^((S$103 - lastVal)/400)))))
)
))"),"")</f>
        <v/>
      </c>
      <c r="U75" s="32" t="str">
        <f>IFERROR(__xludf.DUMMYFUNCTION("IF('Résultats des tournois'!T$2=0,"""",LET(
lastVal, INDEX(FILTER($B75:T75, ISNUMBER($B75:T75)), COUNTA(FILTER($B75:T75, ISNUMBER($B75:T75)))),
IFERROR(
IF('Résultats des tournois'!T75="""", INDEX(FILTER($C75:T75, ISNUMBER($C75:T75)), COUNTA(FILTER($C75:T"&amp;"75, ISNUMBER($C75:T75)))),
lastVal + 'K dynamique'!T75 * ((SQRT('Résultats des tournois'!T$2 + 1)/'Résultats des tournois'!T75) - (1 / (1 + 10^((T$103 - lastVal)/400)))))
)
))"),"")</f>
        <v/>
      </c>
      <c r="V75" s="32" t="str">
        <f>IFERROR(__xludf.DUMMYFUNCTION("IF('Résultats des tournois'!U$2=0,"""",LET(
lastVal, INDEX(FILTER($B75:U75, ISNUMBER($B75:U75)), COUNTA(FILTER($B75:U75, ISNUMBER($B75:U75)))),
IFERROR(
IF('Résultats des tournois'!U75="""", INDEX(FILTER($C75:U75, ISNUMBER($C75:U75)), COUNTA(FILTER($C75:U"&amp;"75, ISNUMBER($C75:U75)))),
lastVal + 'K dynamique'!U75 * ((SQRT('Résultats des tournois'!U$2 + 1)/'Résultats des tournois'!U75) - (1 / (1 + 10^((U$103 - lastVal)/400)))))
)
))"),"")</f>
        <v/>
      </c>
      <c r="W75" s="32" t="str">
        <f>IFERROR(__xludf.DUMMYFUNCTION("IF('Résultats des tournois'!V$2=0,"""",LET(
lastVal, INDEX(FILTER($B75:V75, ISNUMBER($B75:V75)), COUNTA(FILTER($B75:V75, ISNUMBER($B75:V75)))),
IFERROR(
IF('Résultats des tournois'!V75="""", INDEX(FILTER($C75:V75, ISNUMBER($C75:V75)), COUNTA(FILTER($C75:V"&amp;"75, ISNUMBER($C75:V75)))),
lastVal + 'K dynamique'!V75 * ((SQRT('Résultats des tournois'!V$2 + 1)/'Résultats des tournois'!V75) - (1 / (1 + 10^((V$103 - lastVal)/400)))))
)
))"),"")</f>
        <v/>
      </c>
      <c r="X75" s="32" t="str">
        <f>IFERROR(__xludf.DUMMYFUNCTION("IF('Résultats des tournois'!W$2=0,"""",LET(
lastVal, INDEX(FILTER($B75:W75, ISNUMBER($B75:W75)), COUNTA(FILTER($B75:W75, ISNUMBER($B75:W75)))),
IFERROR(
IF('Résultats des tournois'!W75="""", INDEX(FILTER($C75:W75, ISNUMBER($C75:W75)), COUNTA(FILTER($C75:W"&amp;"75, ISNUMBER($C75:W75)))),
lastVal + 'K dynamique'!W75 * ((SQRT('Résultats des tournois'!W$2 + 1)/'Résultats des tournois'!W75) - (1 / (1 + 10^((W$103 - lastVal)/400)))))
)
))"),"")</f>
        <v/>
      </c>
      <c r="Y75" s="32" t="str">
        <f>IFERROR(__xludf.DUMMYFUNCTION("IF('Résultats des tournois'!X$2=0,"""",LET(
lastVal, INDEX(FILTER($B75:X75, ISNUMBER($B75:X75)), COUNTA(FILTER($B75:X75, ISNUMBER($B75:X75)))),
IFERROR(
IF('Résultats des tournois'!X75="""", INDEX(FILTER($C75:X75, ISNUMBER($C75:X75)), COUNTA(FILTER($C75:X"&amp;"75, ISNUMBER($C75:X75)))),
lastVal + 'K dynamique'!X75 * ((SQRT('Résultats des tournois'!X$2 + 1)/'Résultats des tournois'!X75) - (1 / (1 + 10^((X$103 - lastVal)/400)))))
)
))"),"")</f>
        <v/>
      </c>
      <c r="Z75" s="32" t="str">
        <f>IFERROR(__xludf.DUMMYFUNCTION("IF('Résultats des tournois'!Y$2=0,"""",LET(
lastVal, INDEX(FILTER($B75:Y75, ISNUMBER($B75:Y75)), COUNTA(FILTER($B75:Y75, ISNUMBER($B75:Y75)))),
IFERROR(
IF('Résultats des tournois'!Y75="""", INDEX(FILTER($C75:Y75, ISNUMBER($C75:Y75)), COUNTA(FILTER($C75:Y"&amp;"75, ISNUMBER($C75:Y75)))),
lastVal + 'K dynamique'!Y75 * ((SQRT('Résultats des tournois'!Y$2 + 1)/'Résultats des tournois'!Y75) - (1 / (1 + 10^((Y$103 - lastVal)/400)))))
)
))"),"")</f>
        <v/>
      </c>
      <c r="AA75" s="32" t="str">
        <f>IFERROR(__xludf.DUMMYFUNCTION("IF('Résultats des tournois'!Z$2=0,"""",LET(
lastVal, INDEX(FILTER($B75:Z75, ISNUMBER($B75:Z75)), COUNTA(FILTER($B75:Z75, ISNUMBER($B75:Z75)))),
IFERROR(
IF('Résultats des tournois'!Z75="""", INDEX(FILTER($C75:Z75, ISNUMBER($C75:Z75)), COUNTA(FILTER($C75:Z"&amp;"75, ISNUMBER($C75:Z75)))),
lastVal + 'K dynamique'!Z75 * ((SQRT('Résultats des tournois'!Z$2 + 1)/'Résultats des tournois'!Z75) - (1 / (1 + 10^((Z$103 - lastVal)/400)))))
)
))"),"")</f>
        <v/>
      </c>
      <c r="AB75" s="32" t="str">
        <f>IFERROR(__xludf.DUMMYFUNCTION("IF('Résultats des tournois'!AA$2=0,"""",LET(
lastVal, INDEX(FILTER($B75:AA75, ISNUMBER($B75:AA75)), COUNTA(FILTER($B75:AA75, ISNUMBER($B75:AA75)))),
IFERROR(
IF('Résultats des tournois'!AA75="""", INDEX(FILTER($C75:AA75, ISNUMBER($C75:AA75)), COUNTA(FILTE"&amp;"R($C75:AA75, ISNUMBER($C75:AA75)))),
lastVal + 'K dynamique'!AA75 * ((SQRT('Résultats des tournois'!AA$2 + 1)/'Résultats des tournois'!AA75) - (1 / (1 + 10^((AA$103 - lastVal)/400)))))
)
))"),"")</f>
        <v/>
      </c>
      <c r="AC75" s="32" t="str">
        <f>IFERROR(__xludf.DUMMYFUNCTION("IF('Résultats des tournois'!AB$2=0,"""",LET(
lastVal, INDEX(FILTER($B75:AB75, ISNUMBER($B75:AB75)), COUNTA(FILTER($B75:AB75, ISNUMBER($B75:AB75)))),
IFERROR(
IF('Résultats des tournois'!AB75="""", INDEX(FILTER($C75:AB75, ISNUMBER($C75:AB75)), COUNTA(FILTE"&amp;"R($C75:AB75, ISNUMBER($C75:AB75)))),
lastVal + 'K dynamique'!AB75 * ((SQRT('Résultats des tournois'!AB$2 + 1)/'Résultats des tournois'!AB75) - (1 / (1 + 10^((AB$103 - lastVal)/400)))))
)
))"),"")</f>
        <v/>
      </c>
      <c r="AD75" s="32" t="str">
        <f>IFERROR(__xludf.DUMMYFUNCTION("IF('Résultats des tournois'!AC$2=0,"""",LET(
lastVal, INDEX(FILTER($B75:AC75, ISNUMBER($B75:AC75)), COUNTA(FILTER($B75:AC75, ISNUMBER($B75:AC75)))),
IFERROR(
IF('Résultats des tournois'!AC75="""", INDEX(FILTER($C75:AC75, ISNUMBER($C75:AC75)), COUNTA(FILTE"&amp;"R($C75:AC75, ISNUMBER($C75:AC75)))),
lastVal + 'K dynamique'!AC75 * ((SQRT('Résultats des tournois'!AC$2 + 1)/'Résultats des tournois'!AC75) - (1 / (1 + 10^((AC$103 - lastVal)/400)))))
)
))"),"")</f>
        <v/>
      </c>
      <c r="AE75" s="32" t="str">
        <f>IFERROR(__xludf.DUMMYFUNCTION("IF('Résultats des tournois'!AD$2=0,"""",LET(
lastVal, INDEX(FILTER($B75:AD75, ISNUMBER($B75:AD75)), COUNTA(FILTER($B75:AD75, ISNUMBER($B75:AD75)))),
IFERROR(
IF('Résultats des tournois'!AD75="""", INDEX(FILTER($C75:AD75, ISNUMBER($C75:AD75)), COUNTA(FILTE"&amp;"R($C75:AD75, ISNUMBER($C75:AD75)))),
lastVal + 'K dynamique'!AD75 * ((SQRT('Résultats des tournois'!AD$2 + 1)/'Résultats des tournois'!AD75) - (1 / (1 + 10^((AD$103 - lastVal)/400)))))
)
))"),"")</f>
        <v/>
      </c>
      <c r="AF75" s="32" t="str">
        <f>IFERROR(__xludf.DUMMYFUNCTION("IF('Résultats des tournois'!AE$2=0,"""",LET(
lastVal, INDEX(FILTER($B75:AE75, ISNUMBER($B75:AE75)), COUNTA(FILTER($B75:AE75, ISNUMBER($B75:AE75)))),
IFERROR(
IF('Résultats des tournois'!AE75="""", INDEX(FILTER($C75:AE75, ISNUMBER($C75:AE75)), COUNTA(FILTE"&amp;"R($C75:AE75, ISNUMBER($C75:AE75)))),
lastVal + 'K dynamique'!AE75 * ((SQRT('Résultats des tournois'!AE$2 + 1)/'Résultats des tournois'!AE75) - (1 / (1 + 10^((AE$103 - lastVal)/400)))))
)
))"),"")</f>
        <v/>
      </c>
      <c r="AG75" s="32" t="str">
        <f>IFERROR(__xludf.DUMMYFUNCTION("IF('Résultats des tournois'!AF$2=0,"""",LET(
lastVal, INDEX(FILTER($B75:AF75, ISNUMBER($B75:AF75)), COUNTA(FILTER($B75:AF75, ISNUMBER($B75:AF75)))),
IFERROR(
IF('Résultats des tournois'!AF75="""", INDEX(FILTER($C75:AF75, ISNUMBER($C75:AF75)), COUNTA(FILTE"&amp;"R($C75:AF75, ISNUMBER($C75:AF75)))),
lastVal + 'K dynamique'!AF75 * ((SQRT('Résultats des tournois'!AF$2 + 1)/'Résultats des tournois'!AF75) - (1 / (1 + 10^((AF$103 - lastVal)/400)))))
)
))"),"")</f>
        <v/>
      </c>
      <c r="AH75" s="32" t="str">
        <f>IFERROR(__xludf.DUMMYFUNCTION("IF('Résultats des tournois'!AG$2=0,"""",LET(
lastVal, INDEX(FILTER($B75:AG75, ISNUMBER($B75:AG75)), COUNTA(FILTER($B75:AG75, ISNUMBER($B75:AG75)))),
IFERROR(
IF('Résultats des tournois'!AG75="""", INDEX(FILTER($C75:AG75, ISNUMBER($C75:AG75)), COUNTA(FILTE"&amp;"R($C75:AG75, ISNUMBER($C75:AG75)))),
lastVal + 'K dynamique'!AG75 * ((SQRT('Résultats des tournois'!AG$2 + 1)/'Résultats des tournois'!AG75) - (1 / (1 + 10^((AG$103 - lastVal)/400)))))
)
))"),"")</f>
        <v/>
      </c>
      <c r="AI75" s="32" t="str">
        <f>IFERROR(__xludf.DUMMYFUNCTION("IF('Résultats des tournois'!AH$2=0,"""",LET(
lastVal, INDEX(FILTER($B75:AH75, ISNUMBER($B75:AH75)), COUNTA(FILTER($B75:AH75, ISNUMBER($B75:AH75)))),
IFERROR(
IF('Résultats des tournois'!AH75="""", INDEX(FILTER($C75:AH75, ISNUMBER($C75:AH75)), COUNTA(FILTE"&amp;"R($C75:AH75, ISNUMBER($C75:AH75)))),
lastVal + 'K dynamique'!AH75 * ((SQRT('Résultats des tournois'!AH$2 + 1)/'Résultats des tournois'!AH75) - (1 / (1 + 10^((AH$103 - lastVal)/400)))))
)
))"),"")</f>
        <v/>
      </c>
      <c r="AJ75" s="32" t="str">
        <f>IFERROR(__xludf.DUMMYFUNCTION("IF('Résultats des tournois'!AI$2=0,"""",LET(
lastVal, INDEX(FILTER($B75:AI75, ISNUMBER($B75:AI75)), COUNTA(FILTER($B75:AI75, ISNUMBER($B75:AI75)))),
IFERROR(
IF('Résultats des tournois'!AI75="""", INDEX(FILTER($C75:AI75, ISNUMBER($C75:AI75)), COUNTA(FILTE"&amp;"R($C75:AI75, ISNUMBER($C75:AI75)))),
lastVal + 'K dynamique'!AI75 * ((SQRT('Résultats des tournois'!AI$2 + 1)/'Résultats des tournois'!AI75) - (1 / (1 + 10^((AI$103 - lastVal)/400)))))
)
))"),"")</f>
        <v/>
      </c>
      <c r="AK75" s="32" t="str">
        <f>IFERROR(__xludf.DUMMYFUNCTION("IF('Résultats des tournois'!AJ$2=0,"""",LET(
lastVal, INDEX(FILTER($B75:AJ75, ISNUMBER($B75:AJ75)), COUNTA(FILTER($B75:AJ75, ISNUMBER($B75:AJ75)))),
IFERROR(
IF('Résultats des tournois'!AJ75="""", INDEX(FILTER($C75:AJ75, ISNUMBER($C75:AJ75)), COUNTA(FILTE"&amp;"R($C75:AJ75, ISNUMBER($C75:AJ75)))),
lastVal + 'K dynamique'!AJ75 * ((SQRT('Résultats des tournois'!AJ$2 + 1)/'Résultats des tournois'!AJ75) - (1 / (1 + 10^((AJ$103 - lastVal)/400)))))
)
))"),"")</f>
        <v/>
      </c>
      <c r="AL75" s="32" t="str">
        <f>IFERROR(__xludf.DUMMYFUNCTION("IF('Résultats des tournois'!AK$2=0,"""",LET(
lastVal, INDEX(FILTER($B75:AK75, ISNUMBER($B75:AK75)), COUNTA(FILTER($B75:AK75, ISNUMBER($B75:AK75)))),
IFERROR(
IF('Résultats des tournois'!AK75="""", INDEX(FILTER($C75:AK75, ISNUMBER($C75:AK75)), COUNTA(FILTE"&amp;"R($C75:AK75, ISNUMBER($C75:AK75)))),
lastVal + 'K dynamique'!AK75 * ((SQRT('Résultats des tournois'!AK$2 + 1)/'Résultats des tournois'!AK75) - (1 / (1 + 10^((AK$103 - lastVal)/400)))))
)
))"),"")</f>
        <v/>
      </c>
      <c r="AM75" s="32" t="str">
        <f>IFERROR(__xludf.DUMMYFUNCTION("IF('Résultats des tournois'!AL$2=0,"""",LET(
lastVal, INDEX(FILTER($B75:AL75, ISNUMBER($B75:AL75)), COUNTA(FILTER($B75:AL75, ISNUMBER($B75:AL75)))),
IFERROR(
IF('Résultats des tournois'!AL75="""", INDEX(FILTER($C75:AL75, ISNUMBER($C75:AL75)), COUNTA(FILTE"&amp;"R($C75:AL75, ISNUMBER($C75:AL75)))),
lastVal + 'K dynamique'!AL75 * ((SQRT('Résultats des tournois'!AL$2 + 1)/'Résultats des tournois'!AL75) - (1 / (1 + 10^((AL$103 - lastVal)/400)))))
)
))"),"")</f>
        <v/>
      </c>
      <c r="AN75" s="32" t="str">
        <f>IFERROR(__xludf.DUMMYFUNCTION("IF('Résultats des tournois'!AM$2=0,"""",LET(
lastVal, INDEX(FILTER($B75:AM75, ISNUMBER($B75:AM75)), COUNTA(FILTER($B75:AM75, ISNUMBER($B75:AM75)))),
IFERROR(
IF('Résultats des tournois'!AM75="""", INDEX(FILTER($C75:AM75, ISNUMBER($C75:AM75)), COUNTA(FILTE"&amp;"R($C75:AM75, ISNUMBER($C75:AM75)))),
lastVal + 'K dynamique'!AM75 * ((SQRT('Résultats des tournois'!AM$2 + 1)/'Résultats des tournois'!AM75) - (1 / (1 + 10^((AM$103 - lastVal)/400)))))
)
))"),"")</f>
        <v/>
      </c>
      <c r="AO75" s="32" t="str">
        <f>IFERROR(__xludf.DUMMYFUNCTION("IF('Résultats des tournois'!AN$2=0,"""",LET(
lastVal, INDEX(FILTER($B75:AN75, ISNUMBER($B75:AN75)), COUNTA(FILTER($B75:AN75, ISNUMBER($B75:AN75)))),
IFERROR(
IF('Résultats des tournois'!AN75="""", INDEX(FILTER($C75:AN75, ISNUMBER($C75:AN75)), COUNTA(FILTE"&amp;"R($C75:AN75, ISNUMBER($C75:AN75)))),
lastVal + 'K dynamique'!AN75 * ((SQRT('Résultats des tournois'!AN$2 + 1)/'Résultats des tournois'!AN75) - (1 / (1 + 10^((AN$103 - lastVal)/400)))))
)
))"),"")</f>
        <v/>
      </c>
      <c r="AP75" s="32" t="str">
        <f>IFERROR(__xludf.DUMMYFUNCTION("IF('Résultats des tournois'!AO$2=0,"""",LET(
lastVal, INDEX(FILTER($B75:AO75, ISNUMBER($B75:AO75)), COUNTA(FILTER($B75:AO75, ISNUMBER($B75:AO75)))),
IFERROR(
IF('Résultats des tournois'!AO75="""", INDEX(FILTER($C75:AO75, ISNUMBER($C75:AO75)), COUNTA(FILTE"&amp;"R($C75:AO75, ISNUMBER($C75:AO75)))),
lastVal + 'K dynamique'!AO75 * ((SQRT('Résultats des tournois'!AO$2 + 1)/'Résultats des tournois'!AO75) - (1 / (1 + 10^((AO$103 - lastVal)/400)))))
)
))"),"")</f>
        <v/>
      </c>
      <c r="AQ75" s="32" t="str">
        <f>IFERROR(__xludf.DUMMYFUNCTION("IF('Résultats des tournois'!AP$2=0,"""",LET(
lastVal, INDEX(FILTER($B75:AP75, ISNUMBER($B75:AP75)), COUNTA(FILTER($B75:AP75, ISNUMBER($B75:AP75)))),
IFERROR(
IF('Résultats des tournois'!AP75="""", INDEX(FILTER($C75:AP75, ISNUMBER($C75:AP75)), COUNTA(FILTE"&amp;"R($C75:AP75, ISNUMBER($C75:AP75)))),
lastVal + 'K dynamique'!AP75 * ((SQRT('Résultats des tournois'!AP$2 + 1)/'Résultats des tournois'!AP75) - (1 / (1 + 10^((AP$103 - lastVal)/400)))))
)
))"),"")</f>
        <v/>
      </c>
      <c r="AR75" s="32" t="str">
        <f>IFERROR(__xludf.DUMMYFUNCTION("IF('Résultats des tournois'!AQ$2=0,"""",LET(
lastVal, INDEX(FILTER($B75:AQ75, ISNUMBER($B75:AQ75)), COUNTA(FILTER($B75:AQ75, ISNUMBER($B75:AQ75)))),
IFERROR(
IF('Résultats des tournois'!AQ75="""", INDEX(FILTER($C75:AQ75, ISNUMBER($C75:AQ75)), COUNTA(FILTE"&amp;"R($C75:AQ75, ISNUMBER($C75:AQ75)))),
lastVal + 'K dynamique'!AQ75 * ((SQRT('Résultats des tournois'!AQ$2 + 1)/'Résultats des tournois'!AQ75) - (1 / (1 + 10^((AQ$103 - lastVal)/400)))))
)
))"),"")</f>
        <v/>
      </c>
      <c r="AS75" s="32" t="str">
        <f>IFERROR(__xludf.DUMMYFUNCTION("IF('Résultats des tournois'!AR$2=0,"""",LET(
lastVal, INDEX(FILTER($B75:AR75, ISNUMBER($B75:AR75)), COUNTA(FILTER($B75:AR75, ISNUMBER($B75:AR75)))),
IFERROR(
IF('Résultats des tournois'!AR75="""", INDEX(FILTER($C75:AR75, ISNUMBER($C75:AR75)), COUNTA(FILTE"&amp;"R($C75:AR75, ISNUMBER($C75:AR75)))),
lastVal + 'K dynamique'!AR75 * ((SQRT('Résultats des tournois'!AR$2 + 1)/'Résultats des tournois'!AR75) - (1 / (1 + 10^((AR$103 - lastVal)/400)))))
)
))"),"")</f>
        <v/>
      </c>
      <c r="AT75" s="32" t="str">
        <f>IFERROR(__xludf.DUMMYFUNCTION("IF('Résultats des tournois'!AS$2=0,"""",LET(
lastVal, INDEX(FILTER($B75:AS75, ISNUMBER($B75:AS75)), COUNTA(FILTER($B75:AS75, ISNUMBER($B75:AS75)))),
IFERROR(
IF('Résultats des tournois'!AS75="""", INDEX(FILTER($C75:AS75, ISNUMBER($C75:AS75)), COUNTA(FILTE"&amp;"R($C75:AS75, ISNUMBER($C75:AS75)))),
lastVal + 'K dynamique'!AS75 * ((SQRT('Résultats des tournois'!AS$2 + 1)/'Résultats des tournois'!AS75) - (1 / (1 + 10^((AS$103 - lastVal)/400)))))
)
))"),"")</f>
        <v/>
      </c>
      <c r="AU75" s="32" t="str">
        <f>IFERROR(__xludf.DUMMYFUNCTION("IF('Résultats des tournois'!AT$2=0,"""",LET(
lastVal, INDEX(FILTER($B75:AT75, ISNUMBER($B75:AT75)), COUNTA(FILTER($B75:AT75, ISNUMBER($B75:AT75)))),
IFERROR(
IF('Résultats des tournois'!AT75="""", INDEX(FILTER($C75:AT75, ISNUMBER($C75:AT75)), COUNTA(FILTE"&amp;"R($C75:AT75, ISNUMBER($C75:AT75)))),
lastVal + 'K dynamique'!AT75 * ((SQRT('Résultats des tournois'!AT$2 + 1)/'Résultats des tournois'!AT75) - (1 / (1 + 10^((AT$103 - lastVal)/400)))))
)
))"),"")</f>
        <v/>
      </c>
      <c r="AV75" s="32" t="str">
        <f>IFERROR(__xludf.DUMMYFUNCTION("IF('Résultats des tournois'!AU$2=0,"""",LET(
lastVal, INDEX(FILTER($B75:AU75, ISNUMBER($B75:AU75)), COUNTA(FILTER($B75:AU75, ISNUMBER($B75:AU75)))),
IFERROR(
IF('Résultats des tournois'!AU75="""", INDEX(FILTER($C75:AU75, ISNUMBER($C75:AU75)), COUNTA(FILTE"&amp;"R($C75:AU75, ISNUMBER($C75:AU75)))),
lastVal + 'K dynamique'!AU75 * ((SQRT('Résultats des tournois'!AU$2 + 1)/'Résultats des tournois'!AU75) - (1 / (1 + 10^((AU$103 - lastVal)/400)))))
)
))"),"")</f>
        <v/>
      </c>
      <c r="AW75" s="32" t="str">
        <f>IFERROR(__xludf.DUMMYFUNCTION("IF('Résultats des tournois'!AV$2=0,"""",LET(
lastVal, INDEX(FILTER($B75:AV75, ISNUMBER($B75:AV75)), COUNTA(FILTER($B75:AV75, ISNUMBER($B75:AV75)))),
IFERROR(
IF('Résultats des tournois'!AV75="""", INDEX(FILTER($C75:AV75, ISNUMBER($C75:AV75)), COUNTA(FILTE"&amp;"R($C75:AV75, ISNUMBER($C75:AV75)))),
lastVal + 'K dynamique'!AV75 * ((SQRT('Résultats des tournois'!AV$2 + 1)/'Résultats des tournois'!AV75) - (1 / (1 + 10^((AV$103 - lastVal)/400)))))
)
))"),"")</f>
        <v/>
      </c>
      <c r="AX75" s="32" t="str">
        <f>IFERROR(__xludf.DUMMYFUNCTION("IF('Résultats des tournois'!AW$2=0,"""",LET(
lastVal, INDEX(FILTER($B75:AW75, ISNUMBER($B75:AW75)), COUNTA(FILTER($B75:AW75, ISNUMBER($B75:AW75)))),
IFERROR(
IF('Résultats des tournois'!AW75="""", INDEX(FILTER($C75:AW75, ISNUMBER($C75:AW75)), COUNTA(FILTE"&amp;"R($C75:AW75, ISNUMBER($C75:AW75)))),
lastVal + 'K dynamique'!AW75 * ((SQRT('Résultats des tournois'!AW$2 + 1)/'Résultats des tournois'!AW75) - (1 / (1 + 10^((AW$103 - lastVal)/400)))))
)
))"),"")</f>
        <v/>
      </c>
      <c r="AY75" s="32" t="str">
        <f>IFERROR(__xludf.DUMMYFUNCTION("IF('Résultats des tournois'!AX$2=0,"""",LET(
lastVal, INDEX(FILTER($B75:AX75, ISNUMBER($B75:AX75)), COUNTA(FILTER($B75:AX75, ISNUMBER($B75:AX75)))),
IFERROR(
IF('Résultats des tournois'!AX75="""", INDEX(FILTER($C75:AX75, ISNUMBER($C75:AX75)), COUNTA(FILTE"&amp;"R($C75:AX75, ISNUMBER($C75:AX75)))),
lastVal + 'K dynamique'!AX75 * ((SQRT('Résultats des tournois'!AX$2 + 1)/'Résultats des tournois'!AX75) - (1 / (1 + 10^((AX$103 - lastVal)/400)))))
)
))"),"")</f>
        <v/>
      </c>
      <c r="AZ75" s="4" t="str">
        <f t="array" ref="AZ75">IF(MAX(($C75:AY75&lt;&gt;"")*COLUMN($C75:AY75))=0,"",INDEX($C75:AY75,1,MAX(($C75:AY75&lt;&gt;"")*COLUMN($C75:AY75))-COLUMN($C75)+1))</f>
        <v/>
      </c>
      <c r="BA75" s="33" t="str">
        <f t="shared" si="1"/>
        <v/>
      </c>
    </row>
    <row r="76" ht="14.25" customHeight="1">
      <c r="A76" s="32" t="str">
        <f>IF('Résultats des tournois'!A76="","",'Résultats des tournois'!A76)</f>
        <v/>
      </c>
      <c r="B76" s="32">
        <v>1500.0</v>
      </c>
      <c r="C76" s="32" t="str">
        <f>IF('Résultats des tournois'!B76="","",B76+'K dynamique'!B76*((SQRT('Résultats des tournois'!B$2+1)/'Résultats des tournois'!B76)-(1/(1+10^((B76-B76)/400)))))</f>
        <v/>
      </c>
      <c r="D76" s="32" t="str">
        <f>IFERROR(__xludf.DUMMYFUNCTION("IF('Résultats des tournois'!C$2=0,"""",LET(
lastVal, INDEX(FILTER($B76:C76, ISNUMBER($B76:C76)), COUNTA(FILTER($B76:C76, ISNUMBER($B76:C76)))),
IFERROR(
IF('Résultats des tournois'!C76="""", INDEX(FILTER($C76:C76, ISNUMBER($C76:C76)), COUNTA(FILTER($C76:C"&amp;"76, ISNUMBER($C76:C76)))),
lastVal + 'K dynamique'!C76 * ((SQRT('Résultats des tournois'!C$2 + 1)/'Résultats des tournois'!C76) - (1 / (1 + 10^((C$103 - lastVal)/400)))))
)
))"),"")</f>
        <v/>
      </c>
      <c r="E76" s="32" t="str">
        <f>IFERROR(__xludf.DUMMYFUNCTION("IF('Résultats des tournois'!D$2=0,"""",LET(
lastVal, INDEX(FILTER($B76:D76, ISNUMBER($B76:D76)), COUNTA(FILTER($B76:D76, ISNUMBER($B76:D76)))),
IFERROR(
IF('Résultats des tournois'!D76="""", INDEX(FILTER($C76:D76, ISNUMBER($C76:D76)), COUNTA(FILTER($C76:D"&amp;"76, ISNUMBER($C76:D76)))),
lastVal + 'K dynamique'!D76 * ((SQRT('Résultats des tournois'!D$2 + 1)/'Résultats des tournois'!D76) - (1 / (1 + 10^((D$103 - lastVal)/400)))))
)
))"),"")</f>
        <v/>
      </c>
      <c r="F76" s="32" t="str">
        <f>IFERROR(__xludf.DUMMYFUNCTION("IF('Résultats des tournois'!E$2=0,"""",LET(
lastVal, INDEX(FILTER($B76:E76, ISNUMBER($B76:E76)), COUNTA(FILTER($B76:E76, ISNUMBER($B76:E76)))),
IFERROR(
IF('Résultats des tournois'!E76="""", INDEX(FILTER($C76:E76, ISNUMBER($C76:E76)), COUNTA(FILTER($C76:E"&amp;"76, ISNUMBER($C76:E76)))),
lastVal + 'K dynamique'!E76 * ((SQRT('Résultats des tournois'!E$2 + 1)/'Résultats des tournois'!E76) - (1 / (1 + 10^((E$103 - lastVal)/400)))))
)
))"),"")</f>
        <v/>
      </c>
      <c r="G76" s="32" t="str">
        <f>IFERROR(__xludf.DUMMYFUNCTION("IF('Résultats des tournois'!F$2=0,"""",LET(
lastVal, INDEX(FILTER($B76:F76, ISNUMBER($B76:F76)), COUNTA(FILTER($B76:F76, ISNUMBER($B76:F76)))),
IFERROR(
IF('Résultats des tournois'!F76="""", INDEX(FILTER($C76:F76, ISNUMBER($C76:F76)), COUNTA(FILTER($C76:F"&amp;"76, ISNUMBER($C76:F76)))),
lastVal + 'K dynamique'!F76 * ((SQRT('Résultats des tournois'!F$2 + 1)/'Résultats des tournois'!F76) - (1 / (1 + 10^((F$103 - lastVal)/400)))))
)
))"),"")</f>
        <v/>
      </c>
      <c r="H76" s="32" t="str">
        <f>IFERROR(__xludf.DUMMYFUNCTION("IF('Résultats des tournois'!G$2=0,"""",LET(
lastVal, INDEX(FILTER($B76:G76, ISNUMBER($B76:G76)), COUNTA(FILTER($B76:G76, ISNUMBER($B76:G76)))),
IFERROR(
IF('Résultats des tournois'!G76="""", INDEX(FILTER($C76:G76, ISNUMBER($C76:G76)), COUNTA(FILTER($C76:G"&amp;"76, ISNUMBER($C76:G76)))),
lastVal + 'K dynamique'!G76 * ((SQRT('Résultats des tournois'!G$2 + 1)/'Résultats des tournois'!G76) - (1 / (1 + 10^((G$103 - lastVal)/400)))))
)
))"),"")</f>
        <v/>
      </c>
      <c r="I76" s="32" t="str">
        <f>IFERROR(__xludf.DUMMYFUNCTION("IF('Résultats des tournois'!H$2=0,"""",LET(
lastVal, INDEX(FILTER($B76:H76, ISNUMBER($B76:H76)), COUNTA(FILTER($B76:H76, ISNUMBER($B76:H76)))),
IFERROR(
IF('Résultats des tournois'!H76="""", INDEX(FILTER($C76:H76, ISNUMBER($C76:H76)), COUNTA(FILTER($C76:H"&amp;"76, ISNUMBER($C76:H76)))),
lastVal + 'K dynamique'!H76 * ((SQRT('Résultats des tournois'!H$2 + 1)/'Résultats des tournois'!H76) - (1 / (1 + 10^((H$103 - lastVal)/400)))))
)
))"),"")</f>
        <v/>
      </c>
      <c r="J76" s="32" t="str">
        <f>IFERROR(__xludf.DUMMYFUNCTION("IF('Résultats des tournois'!I$2=0,"""",LET(
lastVal, INDEX(FILTER($B76:I76, ISNUMBER($B76:I76)), COUNTA(FILTER($B76:I76, ISNUMBER($B76:I76)))),
IFERROR(
IF('Résultats des tournois'!I76="""", INDEX(FILTER($C76:I76, ISNUMBER($C76:I76)), COUNTA(FILTER($C76:I"&amp;"76, ISNUMBER($C76:I76)))),
lastVal + 'K dynamique'!I76 * ((SQRT('Résultats des tournois'!I$2 + 1)/'Résultats des tournois'!I76) - (1 / (1 + 10^((I$103 - lastVal)/400)))))
)
))"),"")</f>
        <v/>
      </c>
      <c r="K76" s="32" t="str">
        <f>IFERROR(__xludf.DUMMYFUNCTION("IF('Résultats des tournois'!J$2=0,"""",LET(
lastVal, INDEX(FILTER($B76:J76, ISNUMBER($B76:J76)), COUNTA(FILTER($B76:J76, ISNUMBER($B76:J76)))),
IFERROR(
IF('Résultats des tournois'!J76="""", INDEX(FILTER($C76:J76, ISNUMBER($C76:J76)), COUNTA(FILTER($C76:J"&amp;"76, ISNUMBER($C76:J76)))),
lastVal + 'K dynamique'!J76 * ((SQRT('Résultats des tournois'!J$2 + 1)/'Résultats des tournois'!J76) - (1 / (1 + 10^((J$103 - lastVal)/400)))))
)
))"),"")</f>
        <v/>
      </c>
      <c r="L76" s="32" t="str">
        <f>IFERROR(__xludf.DUMMYFUNCTION("IF('Résultats des tournois'!K$2=0,"""",LET(
lastVal, INDEX(FILTER($B76:K76, ISNUMBER($B76:K76)), COUNTA(FILTER($B76:K76, ISNUMBER($B76:K76)))),
IFERROR(
IF('Résultats des tournois'!K76="""", INDEX(FILTER($C76:K76, ISNUMBER($C76:K76)), COUNTA(FILTER($C76:K"&amp;"76, ISNUMBER($C76:K76)))),
lastVal + 'K dynamique'!K76 * ((SQRT('Résultats des tournois'!K$2 + 1)/'Résultats des tournois'!K76) - (1 / (1 + 10^((K$103 - lastVal)/400)))))
)
))"),"")</f>
        <v/>
      </c>
      <c r="M76" s="32" t="str">
        <f>IFERROR(__xludf.DUMMYFUNCTION("IF('Résultats des tournois'!L$2=0,"""",LET(
lastVal, INDEX(FILTER($B76:L76, ISNUMBER($B76:L76)), COUNTA(FILTER($B76:L76, ISNUMBER($B76:L76)))),
IFERROR(
IF('Résultats des tournois'!L76="""", INDEX(FILTER($C76:L76, ISNUMBER($C76:L76)), COUNTA(FILTER($C76:L"&amp;"76, ISNUMBER($C76:L76)))),
lastVal + 'K dynamique'!L76 * ((SQRT('Résultats des tournois'!L$2 + 1)/'Résultats des tournois'!L76) - (1 / (1 + 10^((L$103 - lastVal)/400)))))
)
))"),"")</f>
        <v/>
      </c>
      <c r="N76" s="32" t="str">
        <f>IFERROR(__xludf.DUMMYFUNCTION("IF('Résultats des tournois'!M$2=0,"""",LET(
lastVal, INDEX(FILTER($B76:M76, ISNUMBER($B76:M76)), COUNTA(FILTER($B76:M76, ISNUMBER($B76:M76)))),
IFERROR(
IF('Résultats des tournois'!M76="""", INDEX(FILTER($C76:M76, ISNUMBER($C76:M76)), COUNTA(FILTER($C76:M"&amp;"76, ISNUMBER($C76:M76)))),
lastVal + 'K dynamique'!M76 * ((SQRT('Résultats des tournois'!M$2 + 1)/'Résultats des tournois'!M76) - (1 / (1 + 10^((M$103 - lastVal)/400)))))
)
))"),"")</f>
        <v/>
      </c>
      <c r="O76" s="32" t="str">
        <f>IFERROR(__xludf.DUMMYFUNCTION("IF('Résultats des tournois'!N$2=0,"""",LET(
lastVal, INDEX(FILTER($B76:N76, ISNUMBER($B76:N76)), COUNTA(FILTER($B76:N76, ISNUMBER($B76:N76)))),
IFERROR(
IF('Résultats des tournois'!N76="""", INDEX(FILTER($C76:N76, ISNUMBER($C76:N76)), COUNTA(FILTER($C76:N"&amp;"76, ISNUMBER($C76:N76)))),
lastVal + 'K dynamique'!N76 * ((SQRT('Résultats des tournois'!N$2 + 1)/'Résultats des tournois'!N76) - (1 / (1 + 10^((N$103 - lastVal)/400)))))
)
))"),"")</f>
        <v/>
      </c>
      <c r="P76" s="32" t="str">
        <f>IFERROR(__xludf.DUMMYFUNCTION("IF('Résultats des tournois'!O$2=0,"""",LET(
lastVal, INDEX(FILTER($B76:O76, ISNUMBER($B76:O76)), COUNTA(FILTER($B76:O76, ISNUMBER($B76:O76)))),
IFERROR(
IF('Résultats des tournois'!O76="""", INDEX(FILTER($C76:O76, ISNUMBER($C76:O76)), COUNTA(FILTER($C76:O"&amp;"76, ISNUMBER($C76:O76)))),
lastVal + 'K dynamique'!O76 * ((SQRT('Résultats des tournois'!O$2 + 1)/'Résultats des tournois'!O76) - (1 / (1 + 10^((O$103 - lastVal)/400)))))
)
))"),"")</f>
        <v/>
      </c>
      <c r="Q76" s="32" t="str">
        <f>IFERROR(__xludf.DUMMYFUNCTION("IF('Résultats des tournois'!P$2=0,"""",LET(
lastVal, INDEX(FILTER($B76:P76, ISNUMBER($B76:P76)), COUNTA(FILTER($B76:P76, ISNUMBER($B76:P76)))),
IFERROR(
IF('Résultats des tournois'!P76="""", INDEX(FILTER($C76:P76, ISNUMBER($C76:P76)), COUNTA(FILTER($C76:P"&amp;"76, ISNUMBER($C76:P76)))),
lastVal + 'K dynamique'!P76 * ((SQRT('Résultats des tournois'!P$2 + 1)/'Résultats des tournois'!P76) - (1 / (1 + 10^((P$103 - lastVal)/400)))))
)
))"),"")</f>
        <v/>
      </c>
      <c r="R76" s="32" t="str">
        <f>IFERROR(__xludf.DUMMYFUNCTION("IF('Résultats des tournois'!Q$2=0,"""",LET(
lastVal, INDEX(FILTER($B76:Q76, ISNUMBER($B76:Q76)), COUNTA(FILTER($B76:Q76, ISNUMBER($B76:Q76)))),
IFERROR(
IF('Résultats des tournois'!Q76="""", INDEX(FILTER($C76:Q76, ISNUMBER($C76:Q76)), COUNTA(FILTER($C76:Q"&amp;"76, ISNUMBER($C76:Q76)))),
lastVal + 'K dynamique'!Q76 * ((SQRT('Résultats des tournois'!Q$2 + 1)/'Résultats des tournois'!Q76) - (1 / (1 + 10^((Q$103 - lastVal)/400)))))
)
))"),"")</f>
        <v/>
      </c>
      <c r="S76" s="32" t="str">
        <f>IFERROR(__xludf.DUMMYFUNCTION("IF('Résultats des tournois'!R$2=0,"""",LET(
lastVal, INDEX(FILTER($B76:R76, ISNUMBER($B76:R76)), COUNTA(FILTER($B76:R76, ISNUMBER($B76:R76)))),
IFERROR(
IF('Résultats des tournois'!R76="""", INDEX(FILTER($C76:R76, ISNUMBER($C76:R76)), COUNTA(FILTER($C76:R"&amp;"76, ISNUMBER($C76:R76)))),
lastVal + 'K dynamique'!R76 * ((SQRT('Résultats des tournois'!R$2 + 1)/'Résultats des tournois'!R76) - (1 / (1 + 10^((R$103 - lastVal)/400)))))
)
))"),"")</f>
        <v/>
      </c>
      <c r="T76" s="32" t="str">
        <f>IFERROR(__xludf.DUMMYFUNCTION("IF('Résultats des tournois'!S$2=0,"""",LET(
lastVal, INDEX(FILTER($B76:S76, ISNUMBER($B76:S76)), COUNTA(FILTER($B76:S76, ISNUMBER($B76:S76)))),
IFERROR(
IF('Résultats des tournois'!S76="""", INDEX(FILTER($C76:S76, ISNUMBER($C76:S76)), COUNTA(FILTER($C76:S"&amp;"76, ISNUMBER($C76:S76)))),
lastVal + 'K dynamique'!S76 * ((SQRT('Résultats des tournois'!S$2 + 1)/'Résultats des tournois'!S76) - (1 / (1 + 10^((S$103 - lastVal)/400)))))
)
))"),"")</f>
        <v/>
      </c>
      <c r="U76" s="32" t="str">
        <f>IFERROR(__xludf.DUMMYFUNCTION("IF('Résultats des tournois'!T$2=0,"""",LET(
lastVal, INDEX(FILTER($B76:T76, ISNUMBER($B76:T76)), COUNTA(FILTER($B76:T76, ISNUMBER($B76:T76)))),
IFERROR(
IF('Résultats des tournois'!T76="""", INDEX(FILTER($C76:T76, ISNUMBER($C76:T76)), COUNTA(FILTER($C76:T"&amp;"76, ISNUMBER($C76:T76)))),
lastVal + 'K dynamique'!T76 * ((SQRT('Résultats des tournois'!T$2 + 1)/'Résultats des tournois'!T76) - (1 / (1 + 10^((T$103 - lastVal)/400)))))
)
))"),"")</f>
        <v/>
      </c>
      <c r="V76" s="32" t="str">
        <f>IFERROR(__xludf.DUMMYFUNCTION("IF('Résultats des tournois'!U$2=0,"""",LET(
lastVal, INDEX(FILTER($B76:U76, ISNUMBER($B76:U76)), COUNTA(FILTER($B76:U76, ISNUMBER($B76:U76)))),
IFERROR(
IF('Résultats des tournois'!U76="""", INDEX(FILTER($C76:U76, ISNUMBER($C76:U76)), COUNTA(FILTER($C76:U"&amp;"76, ISNUMBER($C76:U76)))),
lastVal + 'K dynamique'!U76 * ((SQRT('Résultats des tournois'!U$2 + 1)/'Résultats des tournois'!U76) - (1 / (1 + 10^((U$103 - lastVal)/400)))))
)
))"),"")</f>
        <v/>
      </c>
      <c r="W76" s="32" t="str">
        <f>IFERROR(__xludf.DUMMYFUNCTION("IF('Résultats des tournois'!V$2=0,"""",LET(
lastVal, INDEX(FILTER($B76:V76, ISNUMBER($B76:V76)), COUNTA(FILTER($B76:V76, ISNUMBER($B76:V76)))),
IFERROR(
IF('Résultats des tournois'!V76="""", INDEX(FILTER($C76:V76, ISNUMBER($C76:V76)), COUNTA(FILTER($C76:V"&amp;"76, ISNUMBER($C76:V76)))),
lastVal + 'K dynamique'!V76 * ((SQRT('Résultats des tournois'!V$2 + 1)/'Résultats des tournois'!V76) - (1 / (1 + 10^((V$103 - lastVal)/400)))))
)
))"),"")</f>
        <v/>
      </c>
      <c r="X76" s="32" t="str">
        <f>IFERROR(__xludf.DUMMYFUNCTION("IF('Résultats des tournois'!W$2=0,"""",LET(
lastVal, INDEX(FILTER($B76:W76, ISNUMBER($B76:W76)), COUNTA(FILTER($B76:W76, ISNUMBER($B76:W76)))),
IFERROR(
IF('Résultats des tournois'!W76="""", INDEX(FILTER($C76:W76, ISNUMBER($C76:W76)), COUNTA(FILTER($C76:W"&amp;"76, ISNUMBER($C76:W76)))),
lastVal + 'K dynamique'!W76 * ((SQRT('Résultats des tournois'!W$2 + 1)/'Résultats des tournois'!W76) - (1 / (1 + 10^((W$103 - lastVal)/400)))))
)
))"),"")</f>
        <v/>
      </c>
      <c r="Y76" s="32" t="str">
        <f>IFERROR(__xludf.DUMMYFUNCTION("IF('Résultats des tournois'!X$2=0,"""",LET(
lastVal, INDEX(FILTER($B76:X76, ISNUMBER($B76:X76)), COUNTA(FILTER($B76:X76, ISNUMBER($B76:X76)))),
IFERROR(
IF('Résultats des tournois'!X76="""", INDEX(FILTER($C76:X76, ISNUMBER($C76:X76)), COUNTA(FILTER($C76:X"&amp;"76, ISNUMBER($C76:X76)))),
lastVal + 'K dynamique'!X76 * ((SQRT('Résultats des tournois'!X$2 + 1)/'Résultats des tournois'!X76) - (1 / (1 + 10^((X$103 - lastVal)/400)))))
)
))"),"")</f>
        <v/>
      </c>
      <c r="Z76" s="32" t="str">
        <f>IFERROR(__xludf.DUMMYFUNCTION("IF('Résultats des tournois'!Y$2=0,"""",LET(
lastVal, INDEX(FILTER($B76:Y76, ISNUMBER($B76:Y76)), COUNTA(FILTER($B76:Y76, ISNUMBER($B76:Y76)))),
IFERROR(
IF('Résultats des tournois'!Y76="""", INDEX(FILTER($C76:Y76, ISNUMBER($C76:Y76)), COUNTA(FILTER($C76:Y"&amp;"76, ISNUMBER($C76:Y76)))),
lastVal + 'K dynamique'!Y76 * ((SQRT('Résultats des tournois'!Y$2 + 1)/'Résultats des tournois'!Y76) - (1 / (1 + 10^((Y$103 - lastVal)/400)))))
)
))"),"")</f>
        <v/>
      </c>
      <c r="AA76" s="32" t="str">
        <f>IFERROR(__xludf.DUMMYFUNCTION("IF('Résultats des tournois'!Z$2=0,"""",LET(
lastVal, INDEX(FILTER($B76:Z76, ISNUMBER($B76:Z76)), COUNTA(FILTER($B76:Z76, ISNUMBER($B76:Z76)))),
IFERROR(
IF('Résultats des tournois'!Z76="""", INDEX(FILTER($C76:Z76, ISNUMBER($C76:Z76)), COUNTA(FILTER($C76:Z"&amp;"76, ISNUMBER($C76:Z76)))),
lastVal + 'K dynamique'!Z76 * ((SQRT('Résultats des tournois'!Z$2 + 1)/'Résultats des tournois'!Z76) - (1 / (1 + 10^((Z$103 - lastVal)/400)))))
)
))"),"")</f>
        <v/>
      </c>
      <c r="AB76" s="32" t="str">
        <f>IFERROR(__xludf.DUMMYFUNCTION("IF('Résultats des tournois'!AA$2=0,"""",LET(
lastVal, INDEX(FILTER($B76:AA76, ISNUMBER($B76:AA76)), COUNTA(FILTER($B76:AA76, ISNUMBER($B76:AA76)))),
IFERROR(
IF('Résultats des tournois'!AA76="""", INDEX(FILTER($C76:AA76, ISNUMBER($C76:AA76)), COUNTA(FILTE"&amp;"R($C76:AA76, ISNUMBER($C76:AA76)))),
lastVal + 'K dynamique'!AA76 * ((SQRT('Résultats des tournois'!AA$2 + 1)/'Résultats des tournois'!AA76) - (1 / (1 + 10^((AA$103 - lastVal)/400)))))
)
))"),"")</f>
        <v/>
      </c>
      <c r="AC76" s="32" t="str">
        <f>IFERROR(__xludf.DUMMYFUNCTION("IF('Résultats des tournois'!AB$2=0,"""",LET(
lastVal, INDEX(FILTER($B76:AB76, ISNUMBER($B76:AB76)), COUNTA(FILTER($B76:AB76, ISNUMBER($B76:AB76)))),
IFERROR(
IF('Résultats des tournois'!AB76="""", INDEX(FILTER($C76:AB76, ISNUMBER($C76:AB76)), COUNTA(FILTE"&amp;"R($C76:AB76, ISNUMBER($C76:AB76)))),
lastVal + 'K dynamique'!AB76 * ((SQRT('Résultats des tournois'!AB$2 + 1)/'Résultats des tournois'!AB76) - (1 / (1 + 10^((AB$103 - lastVal)/400)))))
)
))"),"")</f>
        <v/>
      </c>
      <c r="AD76" s="32" t="str">
        <f>IFERROR(__xludf.DUMMYFUNCTION("IF('Résultats des tournois'!AC$2=0,"""",LET(
lastVal, INDEX(FILTER($B76:AC76, ISNUMBER($B76:AC76)), COUNTA(FILTER($B76:AC76, ISNUMBER($B76:AC76)))),
IFERROR(
IF('Résultats des tournois'!AC76="""", INDEX(FILTER($C76:AC76, ISNUMBER($C76:AC76)), COUNTA(FILTE"&amp;"R($C76:AC76, ISNUMBER($C76:AC76)))),
lastVal + 'K dynamique'!AC76 * ((SQRT('Résultats des tournois'!AC$2 + 1)/'Résultats des tournois'!AC76) - (1 / (1 + 10^((AC$103 - lastVal)/400)))))
)
))"),"")</f>
        <v/>
      </c>
      <c r="AE76" s="32" t="str">
        <f>IFERROR(__xludf.DUMMYFUNCTION("IF('Résultats des tournois'!AD$2=0,"""",LET(
lastVal, INDEX(FILTER($B76:AD76, ISNUMBER($B76:AD76)), COUNTA(FILTER($B76:AD76, ISNUMBER($B76:AD76)))),
IFERROR(
IF('Résultats des tournois'!AD76="""", INDEX(FILTER($C76:AD76, ISNUMBER($C76:AD76)), COUNTA(FILTE"&amp;"R($C76:AD76, ISNUMBER($C76:AD76)))),
lastVal + 'K dynamique'!AD76 * ((SQRT('Résultats des tournois'!AD$2 + 1)/'Résultats des tournois'!AD76) - (1 / (1 + 10^((AD$103 - lastVal)/400)))))
)
))"),"")</f>
        <v/>
      </c>
      <c r="AF76" s="32" t="str">
        <f>IFERROR(__xludf.DUMMYFUNCTION("IF('Résultats des tournois'!AE$2=0,"""",LET(
lastVal, INDEX(FILTER($B76:AE76, ISNUMBER($B76:AE76)), COUNTA(FILTER($B76:AE76, ISNUMBER($B76:AE76)))),
IFERROR(
IF('Résultats des tournois'!AE76="""", INDEX(FILTER($C76:AE76, ISNUMBER($C76:AE76)), COUNTA(FILTE"&amp;"R($C76:AE76, ISNUMBER($C76:AE76)))),
lastVal + 'K dynamique'!AE76 * ((SQRT('Résultats des tournois'!AE$2 + 1)/'Résultats des tournois'!AE76) - (1 / (1 + 10^((AE$103 - lastVal)/400)))))
)
))"),"")</f>
        <v/>
      </c>
      <c r="AG76" s="32" t="str">
        <f>IFERROR(__xludf.DUMMYFUNCTION("IF('Résultats des tournois'!AF$2=0,"""",LET(
lastVal, INDEX(FILTER($B76:AF76, ISNUMBER($B76:AF76)), COUNTA(FILTER($B76:AF76, ISNUMBER($B76:AF76)))),
IFERROR(
IF('Résultats des tournois'!AF76="""", INDEX(FILTER($C76:AF76, ISNUMBER($C76:AF76)), COUNTA(FILTE"&amp;"R($C76:AF76, ISNUMBER($C76:AF76)))),
lastVal + 'K dynamique'!AF76 * ((SQRT('Résultats des tournois'!AF$2 + 1)/'Résultats des tournois'!AF76) - (1 / (1 + 10^((AF$103 - lastVal)/400)))))
)
))"),"")</f>
        <v/>
      </c>
      <c r="AH76" s="32" t="str">
        <f>IFERROR(__xludf.DUMMYFUNCTION("IF('Résultats des tournois'!AG$2=0,"""",LET(
lastVal, INDEX(FILTER($B76:AG76, ISNUMBER($B76:AG76)), COUNTA(FILTER($B76:AG76, ISNUMBER($B76:AG76)))),
IFERROR(
IF('Résultats des tournois'!AG76="""", INDEX(FILTER($C76:AG76, ISNUMBER($C76:AG76)), COUNTA(FILTE"&amp;"R($C76:AG76, ISNUMBER($C76:AG76)))),
lastVal + 'K dynamique'!AG76 * ((SQRT('Résultats des tournois'!AG$2 + 1)/'Résultats des tournois'!AG76) - (1 / (1 + 10^((AG$103 - lastVal)/400)))))
)
))"),"")</f>
        <v/>
      </c>
      <c r="AI76" s="32" t="str">
        <f>IFERROR(__xludf.DUMMYFUNCTION("IF('Résultats des tournois'!AH$2=0,"""",LET(
lastVal, INDEX(FILTER($B76:AH76, ISNUMBER($B76:AH76)), COUNTA(FILTER($B76:AH76, ISNUMBER($B76:AH76)))),
IFERROR(
IF('Résultats des tournois'!AH76="""", INDEX(FILTER($C76:AH76, ISNUMBER($C76:AH76)), COUNTA(FILTE"&amp;"R($C76:AH76, ISNUMBER($C76:AH76)))),
lastVal + 'K dynamique'!AH76 * ((SQRT('Résultats des tournois'!AH$2 + 1)/'Résultats des tournois'!AH76) - (1 / (1 + 10^((AH$103 - lastVal)/400)))))
)
))"),"")</f>
        <v/>
      </c>
      <c r="AJ76" s="32" t="str">
        <f>IFERROR(__xludf.DUMMYFUNCTION("IF('Résultats des tournois'!AI$2=0,"""",LET(
lastVal, INDEX(FILTER($B76:AI76, ISNUMBER($B76:AI76)), COUNTA(FILTER($B76:AI76, ISNUMBER($B76:AI76)))),
IFERROR(
IF('Résultats des tournois'!AI76="""", INDEX(FILTER($C76:AI76, ISNUMBER($C76:AI76)), COUNTA(FILTE"&amp;"R($C76:AI76, ISNUMBER($C76:AI76)))),
lastVal + 'K dynamique'!AI76 * ((SQRT('Résultats des tournois'!AI$2 + 1)/'Résultats des tournois'!AI76) - (1 / (1 + 10^((AI$103 - lastVal)/400)))))
)
))"),"")</f>
        <v/>
      </c>
      <c r="AK76" s="32" t="str">
        <f>IFERROR(__xludf.DUMMYFUNCTION("IF('Résultats des tournois'!AJ$2=0,"""",LET(
lastVal, INDEX(FILTER($B76:AJ76, ISNUMBER($B76:AJ76)), COUNTA(FILTER($B76:AJ76, ISNUMBER($B76:AJ76)))),
IFERROR(
IF('Résultats des tournois'!AJ76="""", INDEX(FILTER($C76:AJ76, ISNUMBER($C76:AJ76)), COUNTA(FILTE"&amp;"R($C76:AJ76, ISNUMBER($C76:AJ76)))),
lastVal + 'K dynamique'!AJ76 * ((SQRT('Résultats des tournois'!AJ$2 + 1)/'Résultats des tournois'!AJ76) - (1 / (1 + 10^((AJ$103 - lastVal)/400)))))
)
))"),"")</f>
        <v/>
      </c>
      <c r="AL76" s="32" t="str">
        <f>IFERROR(__xludf.DUMMYFUNCTION("IF('Résultats des tournois'!AK$2=0,"""",LET(
lastVal, INDEX(FILTER($B76:AK76, ISNUMBER($B76:AK76)), COUNTA(FILTER($B76:AK76, ISNUMBER($B76:AK76)))),
IFERROR(
IF('Résultats des tournois'!AK76="""", INDEX(FILTER($C76:AK76, ISNUMBER($C76:AK76)), COUNTA(FILTE"&amp;"R($C76:AK76, ISNUMBER($C76:AK76)))),
lastVal + 'K dynamique'!AK76 * ((SQRT('Résultats des tournois'!AK$2 + 1)/'Résultats des tournois'!AK76) - (1 / (1 + 10^((AK$103 - lastVal)/400)))))
)
))"),"")</f>
        <v/>
      </c>
      <c r="AM76" s="32" t="str">
        <f>IFERROR(__xludf.DUMMYFUNCTION("IF('Résultats des tournois'!AL$2=0,"""",LET(
lastVal, INDEX(FILTER($B76:AL76, ISNUMBER($B76:AL76)), COUNTA(FILTER($B76:AL76, ISNUMBER($B76:AL76)))),
IFERROR(
IF('Résultats des tournois'!AL76="""", INDEX(FILTER($C76:AL76, ISNUMBER($C76:AL76)), COUNTA(FILTE"&amp;"R($C76:AL76, ISNUMBER($C76:AL76)))),
lastVal + 'K dynamique'!AL76 * ((SQRT('Résultats des tournois'!AL$2 + 1)/'Résultats des tournois'!AL76) - (1 / (1 + 10^((AL$103 - lastVal)/400)))))
)
))"),"")</f>
        <v/>
      </c>
      <c r="AN76" s="32" t="str">
        <f>IFERROR(__xludf.DUMMYFUNCTION("IF('Résultats des tournois'!AM$2=0,"""",LET(
lastVal, INDEX(FILTER($B76:AM76, ISNUMBER($B76:AM76)), COUNTA(FILTER($B76:AM76, ISNUMBER($B76:AM76)))),
IFERROR(
IF('Résultats des tournois'!AM76="""", INDEX(FILTER($C76:AM76, ISNUMBER($C76:AM76)), COUNTA(FILTE"&amp;"R($C76:AM76, ISNUMBER($C76:AM76)))),
lastVal + 'K dynamique'!AM76 * ((SQRT('Résultats des tournois'!AM$2 + 1)/'Résultats des tournois'!AM76) - (1 / (1 + 10^((AM$103 - lastVal)/400)))))
)
))"),"")</f>
        <v/>
      </c>
      <c r="AO76" s="32" t="str">
        <f>IFERROR(__xludf.DUMMYFUNCTION("IF('Résultats des tournois'!AN$2=0,"""",LET(
lastVal, INDEX(FILTER($B76:AN76, ISNUMBER($B76:AN76)), COUNTA(FILTER($B76:AN76, ISNUMBER($B76:AN76)))),
IFERROR(
IF('Résultats des tournois'!AN76="""", INDEX(FILTER($C76:AN76, ISNUMBER($C76:AN76)), COUNTA(FILTE"&amp;"R($C76:AN76, ISNUMBER($C76:AN76)))),
lastVal + 'K dynamique'!AN76 * ((SQRT('Résultats des tournois'!AN$2 + 1)/'Résultats des tournois'!AN76) - (1 / (1 + 10^((AN$103 - lastVal)/400)))))
)
))"),"")</f>
        <v/>
      </c>
      <c r="AP76" s="32" t="str">
        <f>IFERROR(__xludf.DUMMYFUNCTION("IF('Résultats des tournois'!AO$2=0,"""",LET(
lastVal, INDEX(FILTER($B76:AO76, ISNUMBER($B76:AO76)), COUNTA(FILTER($B76:AO76, ISNUMBER($B76:AO76)))),
IFERROR(
IF('Résultats des tournois'!AO76="""", INDEX(FILTER($C76:AO76, ISNUMBER($C76:AO76)), COUNTA(FILTE"&amp;"R($C76:AO76, ISNUMBER($C76:AO76)))),
lastVal + 'K dynamique'!AO76 * ((SQRT('Résultats des tournois'!AO$2 + 1)/'Résultats des tournois'!AO76) - (1 / (1 + 10^((AO$103 - lastVal)/400)))))
)
))"),"")</f>
        <v/>
      </c>
      <c r="AQ76" s="32" t="str">
        <f>IFERROR(__xludf.DUMMYFUNCTION("IF('Résultats des tournois'!AP$2=0,"""",LET(
lastVal, INDEX(FILTER($B76:AP76, ISNUMBER($B76:AP76)), COUNTA(FILTER($B76:AP76, ISNUMBER($B76:AP76)))),
IFERROR(
IF('Résultats des tournois'!AP76="""", INDEX(FILTER($C76:AP76, ISNUMBER($C76:AP76)), COUNTA(FILTE"&amp;"R($C76:AP76, ISNUMBER($C76:AP76)))),
lastVal + 'K dynamique'!AP76 * ((SQRT('Résultats des tournois'!AP$2 + 1)/'Résultats des tournois'!AP76) - (1 / (1 + 10^((AP$103 - lastVal)/400)))))
)
))"),"")</f>
        <v/>
      </c>
      <c r="AR76" s="32" t="str">
        <f>IFERROR(__xludf.DUMMYFUNCTION("IF('Résultats des tournois'!AQ$2=0,"""",LET(
lastVal, INDEX(FILTER($B76:AQ76, ISNUMBER($B76:AQ76)), COUNTA(FILTER($B76:AQ76, ISNUMBER($B76:AQ76)))),
IFERROR(
IF('Résultats des tournois'!AQ76="""", INDEX(FILTER($C76:AQ76, ISNUMBER($C76:AQ76)), COUNTA(FILTE"&amp;"R($C76:AQ76, ISNUMBER($C76:AQ76)))),
lastVal + 'K dynamique'!AQ76 * ((SQRT('Résultats des tournois'!AQ$2 + 1)/'Résultats des tournois'!AQ76) - (1 / (1 + 10^((AQ$103 - lastVal)/400)))))
)
))"),"")</f>
        <v/>
      </c>
      <c r="AS76" s="32" t="str">
        <f>IFERROR(__xludf.DUMMYFUNCTION("IF('Résultats des tournois'!AR$2=0,"""",LET(
lastVal, INDEX(FILTER($B76:AR76, ISNUMBER($B76:AR76)), COUNTA(FILTER($B76:AR76, ISNUMBER($B76:AR76)))),
IFERROR(
IF('Résultats des tournois'!AR76="""", INDEX(FILTER($C76:AR76, ISNUMBER($C76:AR76)), COUNTA(FILTE"&amp;"R($C76:AR76, ISNUMBER($C76:AR76)))),
lastVal + 'K dynamique'!AR76 * ((SQRT('Résultats des tournois'!AR$2 + 1)/'Résultats des tournois'!AR76) - (1 / (1 + 10^((AR$103 - lastVal)/400)))))
)
))"),"")</f>
        <v/>
      </c>
      <c r="AT76" s="32" t="str">
        <f>IFERROR(__xludf.DUMMYFUNCTION("IF('Résultats des tournois'!AS$2=0,"""",LET(
lastVal, INDEX(FILTER($B76:AS76, ISNUMBER($B76:AS76)), COUNTA(FILTER($B76:AS76, ISNUMBER($B76:AS76)))),
IFERROR(
IF('Résultats des tournois'!AS76="""", INDEX(FILTER($C76:AS76, ISNUMBER($C76:AS76)), COUNTA(FILTE"&amp;"R($C76:AS76, ISNUMBER($C76:AS76)))),
lastVal + 'K dynamique'!AS76 * ((SQRT('Résultats des tournois'!AS$2 + 1)/'Résultats des tournois'!AS76) - (1 / (1 + 10^((AS$103 - lastVal)/400)))))
)
))"),"")</f>
        <v/>
      </c>
      <c r="AU76" s="32" t="str">
        <f>IFERROR(__xludf.DUMMYFUNCTION("IF('Résultats des tournois'!AT$2=0,"""",LET(
lastVal, INDEX(FILTER($B76:AT76, ISNUMBER($B76:AT76)), COUNTA(FILTER($B76:AT76, ISNUMBER($B76:AT76)))),
IFERROR(
IF('Résultats des tournois'!AT76="""", INDEX(FILTER($C76:AT76, ISNUMBER($C76:AT76)), COUNTA(FILTE"&amp;"R($C76:AT76, ISNUMBER($C76:AT76)))),
lastVal + 'K dynamique'!AT76 * ((SQRT('Résultats des tournois'!AT$2 + 1)/'Résultats des tournois'!AT76) - (1 / (1 + 10^((AT$103 - lastVal)/400)))))
)
))"),"")</f>
        <v/>
      </c>
      <c r="AV76" s="32" t="str">
        <f>IFERROR(__xludf.DUMMYFUNCTION("IF('Résultats des tournois'!AU$2=0,"""",LET(
lastVal, INDEX(FILTER($B76:AU76, ISNUMBER($B76:AU76)), COUNTA(FILTER($B76:AU76, ISNUMBER($B76:AU76)))),
IFERROR(
IF('Résultats des tournois'!AU76="""", INDEX(FILTER($C76:AU76, ISNUMBER($C76:AU76)), COUNTA(FILTE"&amp;"R($C76:AU76, ISNUMBER($C76:AU76)))),
lastVal + 'K dynamique'!AU76 * ((SQRT('Résultats des tournois'!AU$2 + 1)/'Résultats des tournois'!AU76) - (1 / (1 + 10^((AU$103 - lastVal)/400)))))
)
))"),"")</f>
        <v/>
      </c>
      <c r="AW76" s="32" t="str">
        <f>IFERROR(__xludf.DUMMYFUNCTION("IF('Résultats des tournois'!AV$2=0,"""",LET(
lastVal, INDEX(FILTER($B76:AV76, ISNUMBER($B76:AV76)), COUNTA(FILTER($B76:AV76, ISNUMBER($B76:AV76)))),
IFERROR(
IF('Résultats des tournois'!AV76="""", INDEX(FILTER($C76:AV76, ISNUMBER($C76:AV76)), COUNTA(FILTE"&amp;"R($C76:AV76, ISNUMBER($C76:AV76)))),
lastVal + 'K dynamique'!AV76 * ((SQRT('Résultats des tournois'!AV$2 + 1)/'Résultats des tournois'!AV76) - (1 / (1 + 10^((AV$103 - lastVal)/400)))))
)
))"),"")</f>
        <v/>
      </c>
      <c r="AX76" s="32" t="str">
        <f>IFERROR(__xludf.DUMMYFUNCTION("IF('Résultats des tournois'!AW$2=0,"""",LET(
lastVal, INDEX(FILTER($B76:AW76, ISNUMBER($B76:AW76)), COUNTA(FILTER($B76:AW76, ISNUMBER($B76:AW76)))),
IFERROR(
IF('Résultats des tournois'!AW76="""", INDEX(FILTER($C76:AW76, ISNUMBER($C76:AW76)), COUNTA(FILTE"&amp;"R($C76:AW76, ISNUMBER($C76:AW76)))),
lastVal + 'K dynamique'!AW76 * ((SQRT('Résultats des tournois'!AW$2 + 1)/'Résultats des tournois'!AW76) - (1 / (1 + 10^((AW$103 - lastVal)/400)))))
)
))"),"")</f>
        <v/>
      </c>
      <c r="AY76" s="32" t="str">
        <f>IFERROR(__xludf.DUMMYFUNCTION("IF('Résultats des tournois'!AX$2=0,"""",LET(
lastVal, INDEX(FILTER($B76:AX76, ISNUMBER($B76:AX76)), COUNTA(FILTER($B76:AX76, ISNUMBER($B76:AX76)))),
IFERROR(
IF('Résultats des tournois'!AX76="""", INDEX(FILTER($C76:AX76, ISNUMBER($C76:AX76)), COUNTA(FILTE"&amp;"R($C76:AX76, ISNUMBER($C76:AX76)))),
lastVal + 'K dynamique'!AX76 * ((SQRT('Résultats des tournois'!AX$2 + 1)/'Résultats des tournois'!AX76) - (1 / (1 + 10^((AX$103 - lastVal)/400)))))
)
))"),"")</f>
        <v/>
      </c>
      <c r="AZ76" s="4" t="str">
        <f t="array" ref="AZ76">IF(MAX(($C76:AY76&lt;&gt;"")*COLUMN($C76:AY76))=0,"",INDEX($C76:AY76,1,MAX(($C76:AY76&lt;&gt;"")*COLUMN($C76:AY76))-COLUMN($C76)+1))</f>
        <v/>
      </c>
      <c r="BA76" s="33" t="str">
        <f t="shared" si="1"/>
        <v/>
      </c>
    </row>
    <row r="77" ht="14.25" customHeight="1">
      <c r="A77" s="32" t="str">
        <f>IF('Résultats des tournois'!A77="","",'Résultats des tournois'!A77)</f>
        <v/>
      </c>
      <c r="B77" s="32">
        <v>1500.0</v>
      </c>
      <c r="C77" s="32" t="str">
        <f>IF('Résultats des tournois'!B77="","",B77+'K dynamique'!B77*((SQRT('Résultats des tournois'!B$2+1)/'Résultats des tournois'!B77)-(1/(1+10^((B77-B77)/400)))))</f>
        <v/>
      </c>
      <c r="D77" s="32" t="str">
        <f>IFERROR(__xludf.DUMMYFUNCTION("IF('Résultats des tournois'!C$2=0,"""",LET(
lastVal, INDEX(FILTER($B77:C77, ISNUMBER($B77:C77)), COUNTA(FILTER($B77:C77, ISNUMBER($B77:C77)))),
IFERROR(
IF('Résultats des tournois'!C77="""", INDEX(FILTER($C77:C77, ISNUMBER($C77:C77)), COUNTA(FILTER($C77:C"&amp;"77, ISNUMBER($C77:C77)))),
lastVal + 'K dynamique'!C77 * ((SQRT('Résultats des tournois'!C$2 + 1)/'Résultats des tournois'!C77) - (1 / (1 + 10^((C$103 - lastVal)/400)))))
)
))"),"")</f>
        <v/>
      </c>
      <c r="E77" s="32" t="str">
        <f>IFERROR(__xludf.DUMMYFUNCTION("IF('Résultats des tournois'!D$2=0,"""",LET(
lastVal, INDEX(FILTER($B77:D77, ISNUMBER($B77:D77)), COUNTA(FILTER($B77:D77, ISNUMBER($B77:D77)))),
IFERROR(
IF('Résultats des tournois'!D77="""", INDEX(FILTER($C77:D77, ISNUMBER($C77:D77)), COUNTA(FILTER($C77:D"&amp;"77, ISNUMBER($C77:D77)))),
lastVal + 'K dynamique'!D77 * ((SQRT('Résultats des tournois'!D$2 + 1)/'Résultats des tournois'!D77) - (1 / (1 + 10^((D$103 - lastVal)/400)))))
)
))"),"")</f>
        <v/>
      </c>
      <c r="F77" s="32" t="str">
        <f>IFERROR(__xludf.DUMMYFUNCTION("IF('Résultats des tournois'!E$2=0,"""",LET(
lastVal, INDEX(FILTER($B77:E77, ISNUMBER($B77:E77)), COUNTA(FILTER($B77:E77, ISNUMBER($B77:E77)))),
IFERROR(
IF('Résultats des tournois'!E77="""", INDEX(FILTER($C77:E77, ISNUMBER($C77:E77)), COUNTA(FILTER($C77:E"&amp;"77, ISNUMBER($C77:E77)))),
lastVal + 'K dynamique'!E77 * ((SQRT('Résultats des tournois'!E$2 + 1)/'Résultats des tournois'!E77) - (1 / (1 + 10^((E$103 - lastVal)/400)))))
)
))"),"")</f>
        <v/>
      </c>
      <c r="G77" s="32" t="str">
        <f>IFERROR(__xludf.DUMMYFUNCTION("IF('Résultats des tournois'!F$2=0,"""",LET(
lastVal, INDEX(FILTER($B77:F77, ISNUMBER($B77:F77)), COUNTA(FILTER($B77:F77, ISNUMBER($B77:F77)))),
IFERROR(
IF('Résultats des tournois'!F77="""", INDEX(FILTER($C77:F77, ISNUMBER($C77:F77)), COUNTA(FILTER($C77:F"&amp;"77, ISNUMBER($C77:F77)))),
lastVal + 'K dynamique'!F77 * ((SQRT('Résultats des tournois'!F$2 + 1)/'Résultats des tournois'!F77) - (1 / (1 + 10^((F$103 - lastVal)/400)))))
)
))"),"")</f>
        <v/>
      </c>
      <c r="H77" s="32" t="str">
        <f>IFERROR(__xludf.DUMMYFUNCTION("IF('Résultats des tournois'!G$2=0,"""",LET(
lastVal, INDEX(FILTER($B77:G77, ISNUMBER($B77:G77)), COUNTA(FILTER($B77:G77, ISNUMBER($B77:G77)))),
IFERROR(
IF('Résultats des tournois'!G77="""", INDEX(FILTER($C77:G77, ISNUMBER($C77:G77)), COUNTA(FILTER($C77:G"&amp;"77, ISNUMBER($C77:G77)))),
lastVal + 'K dynamique'!G77 * ((SQRT('Résultats des tournois'!G$2 + 1)/'Résultats des tournois'!G77) - (1 / (1 + 10^((G$103 - lastVal)/400)))))
)
))"),"")</f>
        <v/>
      </c>
      <c r="I77" s="32" t="str">
        <f>IFERROR(__xludf.DUMMYFUNCTION("IF('Résultats des tournois'!H$2=0,"""",LET(
lastVal, INDEX(FILTER($B77:H77, ISNUMBER($B77:H77)), COUNTA(FILTER($B77:H77, ISNUMBER($B77:H77)))),
IFERROR(
IF('Résultats des tournois'!H77="""", INDEX(FILTER($C77:H77, ISNUMBER($C77:H77)), COUNTA(FILTER($C77:H"&amp;"77, ISNUMBER($C77:H77)))),
lastVal + 'K dynamique'!H77 * ((SQRT('Résultats des tournois'!H$2 + 1)/'Résultats des tournois'!H77) - (1 / (1 + 10^((H$103 - lastVal)/400)))))
)
))"),"")</f>
        <v/>
      </c>
      <c r="J77" s="32" t="str">
        <f>IFERROR(__xludf.DUMMYFUNCTION("IF('Résultats des tournois'!I$2=0,"""",LET(
lastVal, INDEX(FILTER($B77:I77, ISNUMBER($B77:I77)), COUNTA(FILTER($B77:I77, ISNUMBER($B77:I77)))),
IFERROR(
IF('Résultats des tournois'!I77="""", INDEX(FILTER($C77:I77, ISNUMBER($C77:I77)), COUNTA(FILTER($C77:I"&amp;"77, ISNUMBER($C77:I77)))),
lastVal + 'K dynamique'!I77 * ((SQRT('Résultats des tournois'!I$2 + 1)/'Résultats des tournois'!I77) - (1 / (1 + 10^((I$103 - lastVal)/400)))))
)
))"),"")</f>
        <v/>
      </c>
      <c r="K77" s="32" t="str">
        <f>IFERROR(__xludf.DUMMYFUNCTION("IF('Résultats des tournois'!J$2=0,"""",LET(
lastVal, INDEX(FILTER($B77:J77, ISNUMBER($B77:J77)), COUNTA(FILTER($B77:J77, ISNUMBER($B77:J77)))),
IFERROR(
IF('Résultats des tournois'!J77="""", INDEX(FILTER($C77:J77, ISNUMBER($C77:J77)), COUNTA(FILTER($C77:J"&amp;"77, ISNUMBER($C77:J77)))),
lastVal + 'K dynamique'!J77 * ((SQRT('Résultats des tournois'!J$2 + 1)/'Résultats des tournois'!J77) - (1 / (1 + 10^((J$103 - lastVal)/400)))))
)
))"),"")</f>
        <v/>
      </c>
      <c r="L77" s="32" t="str">
        <f>IFERROR(__xludf.DUMMYFUNCTION("IF('Résultats des tournois'!K$2=0,"""",LET(
lastVal, INDEX(FILTER($B77:K77, ISNUMBER($B77:K77)), COUNTA(FILTER($B77:K77, ISNUMBER($B77:K77)))),
IFERROR(
IF('Résultats des tournois'!K77="""", INDEX(FILTER($C77:K77, ISNUMBER($C77:K77)), COUNTA(FILTER($C77:K"&amp;"77, ISNUMBER($C77:K77)))),
lastVal + 'K dynamique'!K77 * ((SQRT('Résultats des tournois'!K$2 + 1)/'Résultats des tournois'!K77) - (1 / (1 + 10^((K$103 - lastVal)/400)))))
)
))"),"")</f>
        <v/>
      </c>
      <c r="M77" s="32" t="str">
        <f>IFERROR(__xludf.DUMMYFUNCTION("IF('Résultats des tournois'!L$2=0,"""",LET(
lastVal, INDEX(FILTER($B77:L77, ISNUMBER($B77:L77)), COUNTA(FILTER($B77:L77, ISNUMBER($B77:L77)))),
IFERROR(
IF('Résultats des tournois'!L77="""", INDEX(FILTER($C77:L77, ISNUMBER($C77:L77)), COUNTA(FILTER($C77:L"&amp;"77, ISNUMBER($C77:L77)))),
lastVal + 'K dynamique'!L77 * ((SQRT('Résultats des tournois'!L$2 + 1)/'Résultats des tournois'!L77) - (1 / (1 + 10^((L$103 - lastVal)/400)))))
)
))"),"")</f>
        <v/>
      </c>
      <c r="N77" s="32" t="str">
        <f>IFERROR(__xludf.DUMMYFUNCTION("IF('Résultats des tournois'!M$2=0,"""",LET(
lastVal, INDEX(FILTER($B77:M77, ISNUMBER($B77:M77)), COUNTA(FILTER($B77:M77, ISNUMBER($B77:M77)))),
IFERROR(
IF('Résultats des tournois'!M77="""", INDEX(FILTER($C77:M77, ISNUMBER($C77:M77)), COUNTA(FILTER($C77:M"&amp;"77, ISNUMBER($C77:M77)))),
lastVal + 'K dynamique'!M77 * ((SQRT('Résultats des tournois'!M$2 + 1)/'Résultats des tournois'!M77) - (1 / (1 + 10^((M$103 - lastVal)/400)))))
)
))"),"")</f>
        <v/>
      </c>
      <c r="O77" s="32" t="str">
        <f>IFERROR(__xludf.DUMMYFUNCTION("IF('Résultats des tournois'!N$2=0,"""",LET(
lastVal, INDEX(FILTER($B77:N77, ISNUMBER($B77:N77)), COUNTA(FILTER($B77:N77, ISNUMBER($B77:N77)))),
IFERROR(
IF('Résultats des tournois'!N77="""", INDEX(FILTER($C77:N77, ISNUMBER($C77:N77)), COUNTA(FILTER($C77:N"&amp;"77, ISNUMBER($C77:N77)))),
lastVal + 'K dynamique'!N77 * ((SQRT('Résultats des tournois'!N$2 + 1)/'Résultats des tournois'!N77) - (1 / (1 + 10^((N$103 - lastVal)/400)))))
)
))"),"")</f>
        <v/>
      </c>
      <c r="P77" s="32" t="str">
        <f>IFERROR(__xludf.DUMMYFUNCTION("IF('Résultats des tournois'!O$2=0,"""",LET(
lastVal, INDEX(FILTER($B77:O77, ISNUMBER($B77:O77)), COUNTA(FILTER($B77:O77, ISNUMBER($B77:O77)))),
IFERROR(
IF('Résultats des tournois'!O77="""", INDEX(FILTER($C77:O77, ISNUMBER($C77:O77)), COUNTA(FILTER($C77:O"&amp;"77, ISNUMBER($C77:O77)))),
lastVal + 'K dynamique'!O77 * ((SQRT('Résultats des tournois'!O$2 + 1)/'Résultats des tournois'!O77) - (1 / (1 + 10^((O$103 - lastVal)/400)))))
)
))"),"")</f>
        <v/>
      </c>
      <c r="Q77" s="32" t="str">
        <f>IFERROR(__xludf.DUMMYFUNCTION("IF('Résultats des tournois'!P$2=0,"""",LET(
lastVal, INDEX(FILTER($B77:P77, ISNUMBER($B77:P77)), COUNTA(FILTER($B77:P77, ISNUMBER($B77:P77)))),
IFERROR(
IF('Résultats des tournois'!P77="""", INDEX(FILTER($C77:P77, ISNUMBER($C77:P77)), COUNTA(FILTER($C77:P"&amp;"77, ISNUMBER($C77:P77)))),
lastVal + 'K dynamique'!P77 * ((SQRT('Résultats des tournois'!P$2 + 1)/'Résultats des tournois'!P77) - (1 / (1 + 10^((P$103 - lastVal)/400)))))
)
))"),"")</f>
        <v/>
      </c>
      <c r="R77" s="32" t="str">
        <f>IFERROR(__xludf.DUMMYFUNCTION("IF('Résultats des tournois'!Q$2=0,"""",LET(
lastVal, INDEX(FILTER($B77:Q77, ISNUMBER($B77:Q77)), COUNTA(FILTER($B77:Q77, ISNUMBER($B77:Q77)))),
IFERROR(
IF('Résultats des tournois'!Q77="""", INDEX(FILTER($C77:Q77, ISNUMBER($C77:Q77)), COUNTA(FILTER($C77:Q"&amp;"77, ISNUMBER($C77:Q77)))),
lastVal + 'K dynamique'!Q77 * ((SQRT('Résultats des tournois'!Q$2 + 1)/'Résultats des tournois'!Q77) - (1 / (1 + 10^((Q$103 - lastVal)/400)))))
)
))"),"")</f>
        <v/>
      </c>
      <c r="S77" s="32" t="str">
        <f>IFERROR(__xludf.DUMMYFUNCTION("IF('Résultats des tournois'!R$2=0,"""",LET(
lastVal, INDEX(FILTER($B77:R77, ISNUMBER($B77:R77)), COUNTA(FILTER($B77:R77, ISNUMBER($B77:R77)))),
IFERROR(
IF('Résultats des tournois'!R77="""", INDEX(FILTER($C77:R77, ISNUMBER($C77:R77)), COUNTA(FILTER($C77:R"&amp;"77, ISNUMBER($C77:R77)))),
lastVal + 'K dynamique'!R77 * ((SQRT('Résultats des tournois'!R$2 + 1)/'Résultats des tournois'!R77) - (1 / (1 + 10^((R$103 - lastVal)/400)))))
)
))"),"")</f>
        <v/>
      </c>
      <c r="T77" s="32" t="str">
        <f>IFERROR(__xludf.DUMMYFUNCTION("IF('Résultats des tournois'!S$2=0,"""",LET(
lastVal, INDEX(FILTER($B77:S77, ISNUMBER($B77:S77)), COUNTA(FILTER($B77:S77, ISNUMBER($B77:S77)))),
IFERROR(
IF('Résultats des tournois'!S77="""", INDEX(FILTER($C77:S77, ISNUMBER($C77:S77)), COUNTA(FILTER($C77:S"&amp;"77, ISNUMBER($C77:S77)))),
lastVal + 'K dynamique'!S77 * ((SQRT('Résultats des tournois'!S$2 + 1)/'Résultats des tournois'!S77) - (1 / (1 + 10^((S$103 - lastVal)/400)))))
)
))"),"")</f>
        <v/>
      </c>
      <c r="U77" s="32" t="str">
        <f>IFERROR(__xludf.DUMMYFUNCTION("IF('Résultats des tournois'!T$2=0,"""",LET(
lastVal, INDEX(FILTER($B77:T77, ISNUMBER($B77:T77)), COUNTA(FILTER($B77:T77, ISNUMBER($B77:T77)))),
IFERROR(
IF('Résultats des tournois'!T77="""", INDEX(FILTER($C77:T77, ISNUMBER($C77:T77)), COUNTA(FILTER($C77:T"&amp;"77, ISNUMBER($C77:T77)))),
lastVal + 'K dynamique'!T77 * ((SQRT('Résultats des tournois'!T$2 + 1)/'Résultats des tournois'!T77) - (1 / (1 + 10^((T$103 - lastVal)/400)))))
)
))"),"")</f>
        <v/>
      </c>
      <c r="V77" s="32" t="str">
        <f>IFERROR(__xludf.DUMMYFUNCTION("IF('Résultats des tournois'!U$2=0,"""",LET(
lastVal, INDEX(FILTER($B77:U77, ISNUMBER($B77:U77)), COUNTA(FILTER($B77:U77, ISNUMBER($B77:U77)))),
IFERROR(
IF('Résultats des tournois'!U77="""", INDEX(FILTER($C77:U77, ISNUMBER($C77:U77)), COUNTA(FILTER($C77:U"&amp;"77, ISNUMBER($C77:U77)))),
lastVal + 'K dynamique'!U77 * ((SQRT('Résultats des tournois'!U$2 + 1)/'Résultats des tournois'!U77) - (1 / (1 + 10^((U$103 - lastVal)/400)))))
)
))"),"")</f>
        <v/>
      </c>
      <c r="W77" s="32" t="str">
        <f>IFERROR(__xludf.DUMMYFUNCTION("IF('Résultats des tournois'!V$2=0,"""",LET(
lastVal, INDEX(FILTER($B77:V77, ISNUMBER($B77:V77)), COUNTA(FILTER($B77:V77, ISNUMBER($B77:V77)))),
IFERROR(
IF('Résultats des tournois'!V77="""", INDEX(FILTER($C77:V77, ISNUMBER($C77:V77)), COUNTA(FILTER($C77:V"&amp;"77, ISNUMBER($C77:V77)))),
lastVal + 'K dynamique'!V77 * ((SQRT('Résultats des tournois'!V$2 + 1)/'Résultats des tournois'!V77) - (1 / (1 + 10^((V$103 - lastVal)/400)))))
)
))"),"")</f>
        <v/>
      </c>
      <c r="X77" s="32" t="str">
        <f>IFERROR(__xludf.DUMMYFUNCTION("IF('Résultats des tournois'!W$2=0,"""",LET(
lastVal, INDEX(FILTER($B77:W77, ISNUMBER($B77:W77)), COUNTA(FILTER($B77:W77, ISNUMBER($B77:W77)))),
IFERROR(
IF('Résultats des tournois'!W77="""", INDEX(FILTER($C77:W77, ISNUMBER($C77:W77)), COUNTA(FILTER($C77:W"&amp;"77, ISNUMBER($C77:W77)))),
lastVal + 'K dynamique'!W77 * ((SQRT('Résultats des tournois'!W$2 + 1)/'Résultats des tournois'!W77) - (1 / (1 + 10^((W$103 - lastVal)/400)))))
)
))"),"")</f>
        <v/>
      </c>
      <c r="Y77" s="32" t="str">
        <f>IFERROR(__xludf.DUMMYFUNCTION("IF('Résultats des tournois'!X$2=0,"""",LET(
lastVal, INDEX(FILTER($B77:X77, ISNUMBER($B77:X77)), COUNTA(FILTER($B77:X77, ISNUMBER($B77:X77)))),
IFERROR(
IF('Résultats des tournois'!X77="""", INDEX(FILTER($C77:X77, ISNUMBER($C77:X77)), COUNTA(FILTER($C77:X"&amp;"77, ISNUMBER($C77:X77)))),
lastVal + 'K dynamique'!X77 * ((SQRT('Résultats des tournois'!X$2 + 1)/'Résultats des tournois'!X77) - (1 / (1 + 10^((X$103 - lastVal)/400)))))
)
))"),"")</f>
        <v/>
      </c>
      <c r="Z77" s="32" t="str">
        <f>IFERROR(__xludf.DUMMYFUNCTION("IF('Résultats des tournois'!Y$2=0,"""",LET(
lastVal, INDEX(FILTER($B77:Y77, ISNUMBER($B77:Y77)), COUNTA(FILTER($B77:Y77, ISNUMBER($B77:Y77)))),
IFERROR(
IF('Résultats des tournois'!Y77="""", INDEX(FILTER($C77:Y77, ISNUMBER($C77:Y77)), COUNTA(FILTER($C77:Y"&amp;"77, ISNUMBER($C77:Y77)))),
lastVal + 'K dynamique'!Y77 * ((SQRT('Résultats des tournois'!Y$2 + 1)/'Résultats des tournois'!Y77) - (1 / (1 + 10^((Y$103 - lastVal)/400)))))
)
))"),"")</f>
        <v/>
      </c>
      <c r="AA77" s="32" t="str">
        <f>IFERROR(__xludf.DUMMYFUNCTION("IF('Résultats des tournois'!Z$2=0,"""",LET(
lastVal, INDEX(FILTER($B77:Z77, ISNUMBER($B77:Z77)), COUNTA(FILTER($B77:Z77, ISNUMBER($B77:Z77)))),
IFERROR(
IF('Résultats des tournois'!Z77="""", INDEX(FILTER($C77:Z77, ISNUMBER($C77:Z77)), COUNTA(FILTER($C77:Z"&amp;"77, ISNUMBER($C77:Z77)))),
lastVal + 'K dynamique'!Z77 * ((SQRT('Résultats des tournois'!Z$2 + 1)/'Résultats des tournois'!Z77) - (1 / (1 + 10^((Z$103 - lastVal)/400)))))
)
))"),"")</f>
        <v/>
      </c>
      <c r="AB77" s="32" t="str">
        <f>IFERROR(__xludf.DUMMYFUNCTION("IF('Résultats des tournois'!AA$2=0,"""",LET(
lastVal, INDEX(FILTER($B77:AA77, ISNUMBER($B77:AA77)), COUNTA(FILTER($B77:AA77, ISNUMBER($B77:AA77)))),
IFERROR(
IF('Résultats des tournois'!AA77="""", INDEX(FILTER($C77:AA77, ISNUMBER($C77:AA77)), COUNTA(FILTE"&amp;"R($C77:AA77, ISNUMBER($C77:AA77)))),
lastVal + 'K dynamique'!AA77 * ((SQRT('Résultats des tournois'!AA$2 + 1)/'Résultats des tournois'!AA77) - (1 / (1 + 10^((AA$103 - lastVal)/400)))))
)
))"),"")</f>
        <v/>
      </c>
      <c r="AC77" s="32" t="str">
        <f>IFERROR(__xludf.DUMMYFUNCTION("IF('Résultats des tournois'!AB$2=0,"""",LET(
lastVal, INDEX(FILTER($B77:AB77, ISNUMBER($B77:AB77)), COUNTA(FILTER($B77:AB77, ISNUMBER($B77:AB77)))),
IFERROR(
IF('Résultats des tournois'!AB77="""", INDEX(FILTER($C77:AB77, ISNUMBER($C77:AB77)), COUNTA(FILTE"&amp;"R($C77:AB77, ISNUMBER($C77:AB77)))),
lastVal + 'K dynamique'!AB77 * ((SQRT('Résultats des tournois'!AB$2 + 1)/'Résultats des tournois'!AB77) - (1 / (1 + 10^((AB$103 - lastVal)/400)))))
)
))"),"")</f>
        <v/>
      </c>
      <c r="AD77" s="32" t="str">
        <f>IFERROR(__xludf.DUMMYFUNCTION("IF('Résultats des tournois'!AC$2=0,"""",LET(
lastVal, INDEX(FILTER($B77:AC77, ISNUMBER($B77:AC77)), COUNTA(FILTER($B77:AC77, ISNUMBER($B77:AC77)))),
IFERROR(
IF('Résultats des tournois'!AC77="""", INDEX(FILTER($C77:AC77, ISNUMBER($C77:AC77)), COUNTA(FILTE"&amp;"R($C77:AC77, ISNUMBER($C77:AC77)))),
lastVal + 'K dynamique'!AC77 * ((SQRT('Résultats des tournois'!AC$2 + 1)/'Résultats des tournois'!AC77) - (1 / (1 + 10^((AC$103 - lastVal)/400)))))
)
))"),"")</f>
        <v/>
      </c>
      <c r="AE77" s="32" t="str">
        <f>IFERROR(__xludf.DUMMYFUNCTION("IF('Résultats des tournois'!AD$2=0,"""",LET(
lastVal, INDEX(FILTER($B77:AD77, ISNUMBER($B77:AD77)), COUNTA(FILTER($B77:AD77, ISNUMBER($B77:AD77)))),
IFERROR(
IF('Résultats des tournois'!AD77="""", INDEX(FILTER($C77:AD77, ISNUMBER($C77:AD77)), COUNTA(FILTE"&amp;"R($C77:AD77, ISNUMBER($C77:AD77)))),
lastVal + 'K dynamique'!AD77 * ((SQRT('Résultats des tournois'!AD$2 + 1)/'Résultats des tournois'!AD77) - (1 / (1 + 10^((AD$103 - lastVal)/400)))))
)
))"),"")</f>
        <v/>
      </c>
      <c r="AF77" s="32" t="str">
        <f>IFERROR(__xludf.DUMMYFUNCTION("IF('Résultats des tournois'!AE$2=0,"""",LET(
lastVal, INDEX(FILTER($B77:AE77, ISNUMBER($B77:AE77)), COUNTA(FILTER($B77:AE77, ISNUMBER($B77:AE77)))),
IFERROR(
IF('Résultats des tournois'!AE77="""", INDEX(FILTER($C77:AE77, ISNUMBER($C77:AE77)), COUNTA(FILTE"&amp;"R($C77:AE77, ISNUMBER($C77:AE77)))),
lastVal + 'K dynamique'!AE77 * ((SQRT('Résultats des tournois'!AE$2 + 1)/'Résultats des tournois'!AE77) - (1 / (1 + 10^((AE$103 - lastVal)/400)))))
)
))"),"")</f>
        <v/>
      </c>
      <c r="AG77" s="32" t="str">
        <f>IFERROR(__xludf.DUMMYFUNCTION("IF('Résultats des tournois'!AF$2=0,"""",LET(
lastVal, INDEX(FILTER($B77:AF77, ISNUMBER($B77:AF77)), COUNTA(FILTER($B77:AF77, ISNUMBER($B77:AF77)))),
IFERROR(
IF('Résultats des tournois'!AF77="""", INDEX(FILTER($C77:AF77, ISNUMBER($C77:AF77)), COUNTA(FILTE"&amp;"R($C77:AF77, ISNUMBER($C77:AF77)))),
lastVal + 'K dynamique'!AF77 * ((SQRT('Résultats des tournois'!AF$2 + 1)/'Résultats des tournois'!AF77) - (1 / (1 + 10^((AF$103 - lastVal)/400)))))
)
))"),"")</f>
        <v/>
      </c>
      <c r="AH77" s="32" t="str">
        <f>IFERROR(__xludf.DUMMYFUNCTION("IF('Résultats des tournois'!AG$2=0,"""",LET(
lastVal, INDEX(FILTER($B77:AG77, ISNUMBER($B77:AG77)), COUNTA(FILTER($B77:AG77, ISNUMBER($B77:AG77)))),
IFERROR(
IF('Résultats des tournois'!AG77="""", INDEX(FILTER($C77:AG77, ISNUMBER($C77:AG77)), COUNTA(FILTE"&amp;"R($C77:AG77, ISNUMBER($C77:AG77)))),
lastVal + 'K dynamique'!AG77 * ((SQRT('Résultats des tournois'!AG$2 + 1)/'Résultats des tournois'!AG77) - (1 / (1 + 10^((AG$103 - lastVal)/400)))))
)
))"),"")</f>
        <v/>
      </c>
      <c r="AI77" s="32" t="str">
        <f>IFERROR(__xludf.DUMMYFUNCTION("IF('Résultats des tournois'!AH$2=0,"""",LET(
lastVal, INDEX(FILTER($B77:AH77, ISNUMBER($B77:AH77)), COUNTA(FILTER($B77:AH77, ISNUMBER($B77:AH77)))),
IFERROR(
IF('Résultats des tournois'!AH77="""", INDEX(FILTER($C77:AH77, ISNUMBER($C77:AH77)), COUNTA(FILTE"&amp;"R($C77:AH77, ISNUMBER($C77:AH77)))),
lastVal + 'K dynamique'!AH77 * ((SQRT('Résultats des tournois'!AH$2 + 1)/'Résultats des tournois'!AH77) - (1 / (1 + 10^((AH$103 - lastVal)/400)))))
)
))"),"")</f>
        <v/>
      </c>
      <c r="AJ77" s="32" t="str">
        <f>IFERROR(__xludf.DUMMYFUNCTION("IF('Résultats des tournois'!AI$2=0,"""",LET(
lastVal, INDEX(FILTER($B77:AI77, ISNUMBER($B77:AI77)), COUNTA(FILTER($B77:AI77, ISNUMBER($B77:AI77)))),
IFERROR(
IF('Résultats des tournois'!AI77="""", INDEX(FILTER($C77:AI77, ISNUMBER($C77:AI77)), COUNTA(FILTE"&amp;"R($C77:AI77, ISNUMBER($C77:AI77)))),
lastVal + 'K dynamique'!AI77 * ((SQRT('Résultats des tournois'!AI$2 + 1)/'Résultats des tournois'!AI77) - (1 / (1 + 10^((AI$103 - lastVal)/400)))))
)
))"),"")</f>
        <v/>
      </c>
      <c r="AK77" s="32" t="str">
        <f>IFERROR(__xludf.DUMMYFUNCTION("IF('Résultats des tournois'!AJ$2=0,"""",LET(
lastVal, INDEX(FILTER($B77:AJ77, ISNUMBER($B77:AJ77)), COUNTA(FILTER($B77:AJ77, ISNUMBER($B77:AJ77)))),
IFERROR(
IF('Résultats des tournois'!AJ77="""", INDEX(FILTER($C77:AJ77, ISNUMBER($C77:AJ77)), COUNTA(FILTE"&amp;"R($C77:AJ77, ISNUMBER($C77:AJ77)))),
lastVal + 'K dynamique'!AJ77 * ((SQRT('Résultats des tournois'!AJ$2 + 1)/'Résultats des tournois'!AJ77) - (1 / (1 + 10^((AJ$103 - lastVal)/400)))))
)
))"),"")</f>
        <v/>
      </c>
      <c r="AL77" s="32" t="str">
        <f>IFERROR(__xludf.DUMMYFUNCTION("IF('Résultats des tournois'!AK$2=0,"""",LET(
lastVal, INDEX(FILTER($B77:AK77, ISNUMBER($B77:AK77)), COUNTA(FILTER($B77:AK77, ISNUMBER($B77:AK77)))),
IFERROR(
IF('Résultats des tournois'!AK77="""", INDEX(FILTER($C77:AK77, ISNUMBER($C77:AK77)), COUNTA(FILTE"&amp;"R($C77:AK77, ISNUMBER($C77:AK77)))),
lastVal + 'K dynamique'!AK77 * ((SQRT('Résultats des tournois'!AK$2 + 1)/'Résultats des tournois'!AK77) - (1 / (1 + 10^((AK$103 - lastVal)/400)))))
)
))"),"")</f>
        <v/>
      </c>
      <c r="AM77" s="32" t="str">
        <f>IFERROR(__xludf.DUMMYFUNCTION("IF('Résultats des tournois'!AL$2=0,"""",LET(
lastVal, INDEX(FILTER($B77:AL77, ISNUMBER($B77:AL77)), COUNTA(FILTER($B77:AL77, ISNUMBER($B77:AL77)))),
IFERROR(
IF('Résultats des tournois'!AL77="""", INDEX(FILTER($C77:AL77, ISNUMBER($C77:AL77)), COUNTA(FILTE"&amp;"R($C77:AL77, ISNUMBER($C77:AL77)))),
lastVal + 'K dynamique'!AL77 * ((SQRT('Résultats des tournois'!AL$2 + 1)/'Résultats des tournois'!AL77) - (1 / (1 + 10^((AL$103 - lastVal)/400)))))
)
))"),"")</f>
        <v/>
      </c>
      <c r="AN77" s="32" t="str">
        <f>IFERROR(__xludf.DUMMYFUNCTION("IF('Résultats des tournois'!AM$2=0,"""",LET(
lastVal, INDEX(FILTER($B77:AM77, ISNUMBER($B77:AM77)), COUNTA(FILTER($B77:AM77, ISNUMBER($B77:AM77)))),
IFERROR(
IF('Résultats des tournois'!AM77="""", INDEX(FILTER($C77:AM77, ISNUMBER($C77:AM77)), COUNTA(FILTE"&amp;"R($C77:AM77, ISNUMBER($C77:AM77)))),
lastVal + 'K dynamique'!AM77 * ((SQRT('Résultats des tournois'!AM$2 + 1)/'Résultats des tournois'!AM77) - (1 / (1 + 10^((AM$103 - lastVal)/400)))))
)
))"),"")</f>
        <v/>
      </c>
      <c r="AO77" s="32" t="str">
        <f>IFERROR(__xludf.DUMMYFUNCTION("IF('Résultats des tournois'!AN$2=0,"""",LET(
lastVal, INDEX(FILTER($B77:AN77, ISNUMBER($B77:AN77)), COUNTA(FILTER($B77:AN77, ISNUMBER($B77:AN77)))),
IFERROR(
IF('Résultats des tournois'!AN77="""", INDEX(FILTER($C77:AN77, ISNUMBER($C77:AN77)), COUNTA(FILTE"&amp;"R($C77:AN77, ISNUMBER($C77:AN77)))),
lastVal + 'K dynamique'!AN77 * ((SQRT('Résultats des tournois'!AN$2 + 1)/'Résultats des tournois'!AN77) - (1 / (1 + 10^((AN$103 - lastVal)/400)))))
)
))"),"")</f>
        <v/>
      </c>
      <c r="AP77" s="32" t="str">
        <f>IFERROR(__xludf.DUMMYFUNCTION("IF('Résultats des tournois'!AO$2=0,"""",LET(
lastVal, INDEX(FILTER($B77:AO77, ISNUMBER($B77:AO77)), COUNTA(FILTER($B77:AO77, ISNUMBER($B77:AO77)))),
IFERROR(
IF('Résultats des tournois'!AO77="""", INDEX(FILTER($C77:AO77, ISNUMBER($C77:AO77)), COUNTA(FILTE"&amp;"R($C77:AO77, ISNUMBER($C77:AO77)))),
lastVal + 'K dynamique'!AO77 * ((SQRT('Résultats des tournois'!AO$2 + 1)/'Résultats des tournois'!AO77) - (1 / (1 + 10^((AO$103 - lastVal)/400)))))
)
))"),"")</f>
        <v/>
      </c>
      <c r="AQ77" s="32" t="str">
        <f>IFERROR(__xludf.DUMMYFUNCTION("IF('Résultats des tournois'!AP$2=0,"""",LET(
lastVal, INDEX(FILTER($B77:AP77, ISNUMBER($B77:AP77)), COUNTA(FILTER($B77:AP77, ISNUMBER($B77:AP77)))),
IFERROR(
IF('Résultats des tournois'!AP77="""", INDEX(FILTER($C77:AP77, ISNUMBER($C77:AP77)), COUNTA(FILTE"&amp;"R($C77:AP77, ISNUMBER($C77:AP77)))),
lastVal + 'K dynamique'!AP77 * ((SQRT('Résultats des tournois'!AP$2 + 1)/'Résultats des tournois'!AP77) - (1 / (1 + 10^((AP$103 - lastVal)/400)))))
)
))"),"")</f>
        <v/>
      </c>
      <c r="AR77" s="32" t="str">
        <f>IFERROR(__xludf.DUMMYFUNCTION("IF('Résultats des tournois'!AQ$2=0,"""",LET(
lastVal, INDEX(FILTER($B77:AQ77, ISNUMBER($B77:AQ77)), COUNTA(FILTER($B77:AQ77, ISNUMBER($B77:AQ77)))),
IFERROR(
IF('Résultats des tournois'!AQ77="""", INDEX(FILTER($C77:AQ77, ISNUMBER($C77:AQ77)), COUNTA(FILTE"&amp;"R($C77:AQ77, ISNUMBER($C77:AQ77)))),
lastVal + 'K dynamique'!AQ77 * ((SQRT('Résultats des tournois'!AQ$2 + 1)/'Résultats des tournois'!AQ77) - (1 / (1 + 10^((AQ$103 - lastVal)/400)))))
)
))"),"")</f>
        <v/>
      </c>
      <c r="AS77" s="32" t="str">
        <f>IFERROR(__xludf.DUMMYFUNCTION("IF('Résultats des tournois'!AR$2=0,"""",LET(
lastVal, INDEX(FILTER($B77:AR77, ISNUMBER($B77:AR77)), COUNTA(FILTER($B77:AR77, ISNUMBER($B77:AR77)))),
IFERROR(
IF('Résultats des tournois'!AR77="""", INDEX(FILTER($C77:AR77, ISNUMBER($C77:AR77)), COUNTA(FILTE"&amp;"R($C77:AR77, ISNUMBER($C77:AR77)))),
lastVal + 'K dynamique'!AR77 * ((SQRT('Résultats des tournois'!AR$2 + 1)/'Résultats des tournois'!AR77) - (1 / (1 + 10^((AR$103 - lastVal)/400)))))
)
))"),"")</f>
        <v/>
      </c>
      <c r="AT77" s="32" t="str">
        <f>IFERROR(__xludf.DUMMYFUNCTION("IF('Résultats des tournois'!AS$2=0,"""",LET(
lastVal, INDEX(FILTER($B77:AS77, ISNUMBER($B77:AS77)), COUNTA(FILTER($B77:AS77, ISNUMBER($B77:AS77)))),
IFERROR(
IF('Résultats des tournois'!AS77="""", INDEX(FILTER($C77:AS77, ISNUMBER($C77:AS77)), COUNTA(FILTE"&amp;"R($C77:AS77, ISNUMBER($C77:AS77)))),
lastVal + 'K dynamique'!AS77 * ((SQRT('Résultats des tournois'!AS$2 + 1)/'Résultats des tournois'!AS77) - (1 / (1 + 10^((AS$103 - lastVal)/400)))))
)
))"),"")</f>
        <v/>
      </c>
      <c r="AU77" s="32" t="str">
        <f>IFERROR(__xludf.DUMMYFUNCTION("IF('Résultats des tournois'!AT$2=0,"""",LET(
lastVal, INDEX(FILTER($B77:AT77, ISNUMBER($B77:AT77)), COUNTA(FILTER($B77:AT77, ISNUMBER($B77:AT77)))),
IFERROR(
IF('Résultats des tournois'!AT77="""", INDEX(FILTER($C77:AT77, ISNUMBER($C77:AT77)), COUNTA(FILTE"&amp;"R($C77:AT77, ISNUMBER($C77:AT77)))),
lastVal + 'K dynamique'!AT77 * ((SQRT('Résultats des tournois'!AT$2 + 1)/'Résultats des tournois'!AT77) - (1 / (1 + 10^((AT$103 - lastVal)/400)))))
)
))"),"")</f>
        <v/>
      </c>
      <c r="AV77" s="32" t="str">
        <f>IFERROR(__xludf.DUMMYFUNCTION("IF('Résultats des tournois'!AU$2=0,"""",LET(
lastVal, INDEX(FILTER($B77:AU77, ISNUMBER($B77:AU77)), COUNTA(FILTER($B77:AU77, ISNUMBER($B77:AU77)))),
IFERROR(
IF('Résultats des tournois'!AU77="""", INDEX(FILTER($C77:AU77, ISNUMBER($C77:AU77)), COUNTA(FILTE"&amp;"R($C77:AU77, ISNUMBER($C77:AU77)))),
lastVal + 'K dynamique'!AU77 * ((SQRT('Résultats des tournois'!AU$2 + 1)/'Résultats des tournois'!AU77) - (1 / (1 + 10^((AU$103 - lastVal)/400)))))
)
))"),"")</f>
        <v/>
      </c>
      <c r="AW77" s="32" t="str">
        <f>IFERROR(__xludf.DUMMYFUNCTION("IF('Résultats des tournois'!AV$2=0,"""",LET(
lastVal, INDEX(FILTER($B77:AV77, ISNUMBER($B77:AV77)), COUNTA(FILTER($B77:AV77, ISNUMBER($B77:AV77)))),
IFERROR(
IF('Résultats des tournois'!AV77="""", INDEX(FILTER($C77:AV77, ISNUMBER($C77:AV77)), COUNTA(FILTE"&amp;"R($C77:AV77, ISNUMBER($C77:AV77)))),
lastVal + 'K dynamique'!AV77 * ((SQRT('Résultats des tournois'!AV$2 + 1)/'Résultats des tournois'!AV77) - (1 / (1 + 10^((AV$103 - lastVal)/400)))))
)
))"),"")</f>
        <v/>
      </c>
      <c r="AX77" s="32" t="str">
        <f>IFERROR(__xludf.DUMMYFUNCTION("IF('Résultats des tournois'!AW$2=0,"""",LET(
lastVal, INDEX(FILTER($B77:AW77, ISNUMBER($B77:AW77)), COUNTA(FILTER($B77:AW77, ISNUMBER($B77:AW77)))),
IFERROR(
IF('Résultats des tournois'!AW77="""", INDEX(FILTER($C77:AW77, ISNUMBER($C77:AW77)), COUNTA(FILTE"&amp;"R($C77:AW77, ISNUMBER($C77:AW77)))),
lastVal + 'K dynamique'!AW77 * ((SQRT('Résultats des tournois'!AW$2 + 1)/'Résultats des tournois'!AW77) - (1 / (1 + 10^((AW$103 - lastVal)/400)))))
)
))"),"")</f>
        <v/>
      </c>
      <c r="AY77" s="32" t="str">
        <f>IFERROR(__xludf.DUMMYFUNCTION("IF('Résultats des tournois'!AX$2=0,"""",LET(
lastVal, INDEX(FILTER($B77:AX77, ISNUMBER($B77:AX77)), COUNTA(FILTER($B77:AX77, ISNUMBER($B77:AX77)))),
IFERROR(
IF('Résultats des tournois'!AX77="""", INDEX(FILTER($C77:AX77, ISNUMBER($C77:AX77)), COUNTA(FILTE"&amp;"R($C77:AX77, ISNUMBER($C77:AX77)))),
lastVal + 'K dynamique'!AX77 * ((SQRT('Résultats des tournois'!AX$2 + 1)/'Résultats des tournois'!AX77) - (1 / (1 + 10^((AX$103 - lastVal)/400)))))
)
))"),"")</f>
        <v/>
      </c>
      <c r="AZ77" s="4" t="str">
        <f t="array" ref="AZ77">IF(MAX(($C77:AY77&lt;&gt;"")*COLUMN($C77:AY77))=0,"",INDEX($C77:AY77,1,MAX(($C77:AY77&lt;&gt;"")*COLUMN($C77:AY77))-COLUMN($C77)+1))</f>
        <v/>
      </c>
      <c r="BA77" s="33" t="str">
        <f t="shared" si="1"/>
        <v/>
      </c>
    </row>
    <row r="78" ht="14.25" customHeight="1">
      <c r="A78" s="32" t="str">
        <f>IF('Résultats des tournois'!A78="","",'Résultats des tournois'!A78)</f>
        <v/>
      </c>
      <c r="B78" s="32">
        <v>1500.0</v>
      </c>
      <c r="C78" s="32" t="str">
        <f>IF('Résultats des tournois'!B78="","",B78+'K dynamique'!B78*((SQRT('Résultats des tournois'!B$2+1)/'Résultats des tournois'!B78)-(1/(1+10^((B78-B78)/400)))))</f>
        <v/>
      </c>
      <c r="D78" s="32" t="str">
        <f>IFERROR(__xludf.DUMMYFUNCTION("IF('Résultats des tournois'!C$2=0,"""",LET(
lastVal, INDEX(FILTER($B78:C78, ISNUMBER($B78:C78)), COUNTA(FILTER($B78:C78, ISNUMBER($B78:C78)))),
IFERROR(
IF('Résultats des tournois'!C78="""", INDEX(FILTER($C78:C78, ISNUMBER($C78:C78)), COUNTA(FILTER($C78:C"&amp;"78, ISNUMBER($C78:C78)))),
lastVal + 'K dynamique'!C78 * ((SQRT('Résultats des tournois'!C$2 + 1)/'Résultats des tournois'!C78) - (1 / (1 + 10^((C$103 - lastVal)/400)))))
)
))"),"")</f>
        <v/>
      </c>
      <c r="E78" s="32" t="str">
        <f>IFERROR(__xludf.DUMMYFUNCTION("IF('Résultats des tournois'!D$2=0,"""",LET(
lastVal, INDEX(FILTER($B78:D78, ISNUMBER($B78:D78)), COUNTA(FILTER($B78:D78, ISNUMBER($B78:D78)))),
IFERROR(
IF('Résultats des tournois'!D78="""", INDEX(FILTER($C78:D78, ISNUMBER($C78:D78)), COUNTA(FILTER($C78:D"&amp;"78, ISNUMBER($C78:D78)))),
lastVal + 'K dynamique'!D78 * ((SQRT('Résultats des tournois'!D$2 + 1)/'Résultats des tournois'!D78) - (1 / (1 + 10^((D$103 - lastVal)/400)))))
)
))"),"")</f>
        <v/>
      </c>
      <c r="F78" s="32" t="str">
        <f>IFERROR(__xludf.DUMMYFUNCTION("IF('Résultats des tournois'!E$2=0,"""",LET(
lastVal, INDEX(FILTER($B78:E78, ISNUMBER($B78:E78)), COUNTA(FILTER($B78:E78, ISNUMBER($B78:E78)))),
IFERROR(
IF('Résultats des tournois'!E78="""", INDEX(FILTER($C78:E78, ISNUMBER($C78:E78)), COUNTA(FILTER($C78:E"&amp;"78, ISNUMBER($C78:E78)))),
lastVal + 'K dynamique'!E78 * ((SQRT('Résultats des tournois'!E$2 + 1)/'Résultats des tournois'!E78) - (1 / (1 + 10^((E$103 - lastVal)/400)))))
)
))"),"")</f>
        <v/>
      </c>
      <c r="G78" s="32" t="str">
        <f>IFERROR(__xludf.DUMMYFUNCTION("IF('Résultats des tournois'!F$2=0,"""",LET(
lastVal, INDEX(FILTER($B78:F78, ISNUMBER($B78:F78)), COUNTA(FILTER($B78:F78, ISNUMBER($B78:F78)))),
IFERROR(
IF('Résultats des tournois'!F78="""", INDEX(FILTER($C78:F78, ISNUMBER($C78:F78)), COUNTA(FILTER($C78:F"&amp;"78, ISNUMBER($C78:F78)))),
lastVal + 'K dynamique'!F78 * ((SQRT('Résultats des tournois'!F$2 + 1)/'Résultats des tournois'!F78) - (1 / (1 + 10^((F$103 - lastVal)/400)))))
)
))"),"")</f>
        <v/>
      </c>
      <c r="H78" s="32" t="str">
        <f>IFERROR(__xludf.DUMMYFUNCTION("IF('Résultats des tournois'!G$2=0,"""",LET(
lastVal, INDEX(FILTER($B78:G78, ISNUMBER($B78:G78)), COUNTA(FILTER($B78:G78, ISNUMBER($B78:G78)))),
IFERROR(
IF('Résultats des tournois'!G78="""", INDEX(FILTER($C78:G78, ISNUMBER($C78:G78)), COUNTA(FILTER($C78:G"&amp;"78, ISNUMBER($C78:G78)))),
lastVal + 'K dynamique'!G78 * ((SQRT('Résultats des tournois'!G$2 + 1)/'Résultats des tournois'!G78) - (1 / (1 + 10^((G$103 - lastVal)/400)))))
)
))"),"")</f>
        <v/>
      </c>
      <c r="I78" s="32" t="str">
        <f>IFERROR(__xludf.DUMMYFUNCTION("IF('Résultats des tournois'!H$2=0,"""",LET(
lastVal, INDEX(FILTER($B78:H78, ISNUMBER($B78:H78)), COUNTA(FILTER($B78:H78, ISNUMBER($B78:H78)))),
IFERROR(
IF('Résultats des tournois'!H78="""", INDEX(FILTER($C78:H78, ISNUMBER($C78:H78)), COUNTA(FILTER($C78:H"&amp;"78, ISNUMBER($C78:H78)))),
lastVal + 'K dynamique'!H78 * ((SQRT('Résultats des tournois'!H$2 + 1)/'Résultats des tournois'!H78) - (1 / (1 + 10^((H$103 - lastVal)/400)))))
)
))"),"")</f>
        <v/>
      </c>
      <c r="J78" s="32" t="str">
        <f>IFERROR(__xludf.DUMMYFUNCTION("IF('Résultats des tournois'!I$2=0,"""",LET(
lastVal, INDEX(FILTER($B78:I78, ISNUMBER($B78:I78)), COUNTA(FILTER($B78:I78, ISNUMBER($B78:I78)))),
IFERROR(
IF('Résultats des tournois'!I78="""", INDEX(FILTER($C78:I78, ISNUMBER($C78:I78)), COUNTA(FILTER($C78:I"&amp;"78, ISNUMBER($C78:I78)))),
lastVal + 'K dynamique'!I78 * ((SQRT('Résultats des tournois'!I$2 + 1)/'Résultats des tournois'!I78) - (1 / (1 + 10^((I$103 - lastVal)/400)))))
)
))"),"")</f>
        <v/>
      </c>
      <c r="K78" s="32" t="str">
        <f>IFERROR(__xludf.DUMMYFUNCTION("IF('Résultats des tournois'!J$2=0,"""",LET(
lastVal, INDEX(FILTER($B78:J78, ISNUMBER($B78:J78)), COUNTA(FILTER($B78:J78, ISNUMBER($B78:J78)))),
IFERROR(
IF('Résultats des tournois'!J78="""", INDEX(FILTER($C78:J78, ISNUMBER($C78:J78)), COUNTA(FILTER($C78:J"&amp;"78, ISNUMBER($C78:J78)))),
lastVal + 'K dynamique'!J78 * ((SQRT('Résultats des tournois'!J$2 + 1)/'Résultats des tournois'!J78) - (1 / (1 + 10^((J$103 - lastVal)/400)))))
)
))"),"")</f>
        <v/>
      </c>
      <c r="L78" s="32" t="str">
        <f>IFERROR(__xludf.DUMMYFUNCTION("IF('Résultats des tournois'!K$2=0,"""",LET(
lastVal, INDEX(FILTER($B78:K78, ISNUMBER($B78:K78)), COUNTA(FILTER($B78:K78, ISNUMBER($B78:K78)))),
IFERROR(
IF('Résultats des tournois'!K78="""", INDEX(FILTER($C78:K78, ISNUMBER($C78:K78)), COUNTA(FILTER($C78:K"&amp;"78, ISNUMBER($C78:K78)))),
lastVal + 'K dynamique'!K78 * ((SQRT('Résultats des tournois'!K$2 + 1)/'Résultats des tournois'!K78) - (1 / (1 + 10^((K$103 - lastVal)/400)))))
)
))"),"")</f>
        <v/>
      </c>
      <c r="M78" s="32" t="str">
        <f>IFERROR(__xludf.DUMMYFUNCTION("IF('Résultats des tournois'!L$2=0,"""",LET(
lastVal, INDEX(FILTER($B78:L78, ISNUMBER($B78:L78)), COUNTA(FILTER($B78:L78, ISNUMBER($B78:L78)))),
IFERROR(
IF('Résultats des tournois'!L78="""", INDEX(FILTER($C78:L78, ISNUMBER($C78:L78)), COUNTA(FILTER($C78:L"&amp;"78, ISNUMBER($C78:L78)))),
lastVal + 'K dynamique'!L78 * ((SQRT('Résultats des tournois'!L$2 + 1)/'Résultats des tournois'!L78) - (1 / (1 + 10^((L$103 - lastVal)/400)))))
)
))"),"")</f>
        <v/>
      </c>
      <c r="N78" s="32" t="str">
        <f>IFERROR(__xludf.DUMMYFUNCTION("IF('Résultats des tournois'!M$2=0,"""",LET(
lastVal, INDEX(FILTER($B78:M78, ISNUMBER($B78:M78)), COUNTA(FILTER($B78:M78, ISNUMBER($B78:M78)))),
IFERROR(
IF('Résultats des tournois'!M78="""", INDEX(FILTER($C78:M78, ISNUMBER($C78:M78)), COUNTA(FILTER($C78:M"&amp;"78, ISNUMBER($C78:M78)))),
lastVal + 'K dynamique'!M78 * ((SQRT('Résultats des tournois'!M$2 + 1)/'Résultats des tournois'!M78) - (1 / (1 + 10^((M$103 - lastVal)/400)))))
)
))"),"")</f>
        <v/>
      </c>
      <c r="O78" s="32" t="str">
        <f>IFERROR(__xludf.DUMMYFUNCTION("IF('Résultats des tournois'!N$2=0,"""",LET(
lastVal, INDEX(FILTER($B78:N78, ISNUMBER($B78:N78)), COUNTA(FILTER($B78:N78, ISNUMBER($B78:N78)))),
IFERROR(
IF('Résultats des tournois'!N78="""", INDEX(FILTER($C78:N78, ISNUMBER($C78:N78)), COUNTA(FILTER($C78:N"&amp;"78, ISNUMBER($C78:N78)))),
lastVal + 'K dynamique'!N78 * ((SQRT('Résultats des tournois'!N$2 + 1)/'Résultats des tournois'!N78) - (1 / (1 + 10^((N$103 - lastVal)/400)))))
)
))"),"")</f>
        <v/>
      </c>
      <c r="P78" s="32" t="str">
        <f>IFERROR(__xludf.DUMMYFUNCTION("IF('Résultats des tournois'!O$2=0,"""",LET(
lastVal, INDEX(FILTER($B78:O78, ISNUMBER($B78:O78)), COUNTA(FILTER($B78:O78, ISNUMBER($B78:O78)))),
IFERROR(
IF('Résultats des tournois'!O78="""", INDEX(FILTER($C78:O78, ISNUMBER($C78:O78)), COUNTA(FILTER($C78:O"&amp;"78, ISNUMBER($C78:O78)))),
lastVal + 'K dynamique'!O78 * ((SQRT('Résultats des tournois'!O$2 + 1)/'Résultats des tournois'!O78) - (1 / (1 + 10^((O$103 - lastVal)/400)))))
)
))"),"")</f>
        <v/>
      </c>
      <c r="Q78" s="32" t="str">
        <f>IFERROR(__xludf.DUMMYFUNCTION("IF('Résultats des tournois'!P$2=0,"""",LET(
lastVal, INDEX(FILTER($B78:P78, ISNUMBER($B78:P78)), COUNTA(FILTER($B78:P78, ISNUMBER($B78:P78)))),
IFERROR(
IF('Résultats des tournois'!P78="""", INDEX(FILTER($C78:P78, ISNUMBER($C78:P78)), COUNTA(FILTER($C78:P"&amp;"78, ISNUMBER($C78:P78)))),
lastVal + 'K dynamique'!P78 * ((SQRT('Résultats des tournois'!P$2 + 1)/'Résultats des tournois'!P78) - (1 / (1 + 10^((P$103 - lastVal)/400)))))
)
))"),"")</f>
        <v/>
      </c>
      <c r="R78" s="32" t="str">
        <f>IFERROR(__xludf.DUMMYFUNCTION("IF('Résultats des tournois'!Q$2=0,"""",LET(
lastVal, INDEX(FILTER($B78:Q78, ISNUMBER($B78:Q78)), COUNTA(FILTER($B78:Q78, ISNUMBER($B78:Q78)))),
IFERROR(
IF('Résultats des tournois'!Q78="""", INDEX(FILTER($C78:Q78, ISNUMBER($C78:Q78)), COUNTA(FILTER($C78:Q"&amp;"78, ISNUMBER($C78:Q78)))),
lastVal + 'K dynamique'!Q78 * ((SQRT('Résultats des tournois'!Q$2 + 1)/'Résultats des tournois'!Q78) - (1 / (1 + 10^((Q$103 - lastVal)/400)))))
)
))"),"")</f>
        <v/>
      </c>
      <c r="S78" s="32" t="str">
        <f>IFERROR(__xludf.DUMMYFUNCTION("IF('Résultats des tournois'!R$2=0,"""",LET(
lastVal, INDEX(FILTER($B78:R78, ISNUMBER($B78:R78)), COUNTA(FILTER($B78:R78, ISNUMBER($B78:R78)))),
IFERROR(
IF('Résultats des tournois'!R78="""", INDEX(FILTER($C78:R78, ISNUMBER($C78:R78)), COUNTA(FILTER($C78:R"&amp;"78, ISNUMBER($C78:R78)))),
lastVal + 'K dynamique'!R78 * ((SQRT('Résultats des tournois'!R$2 + 1)/'Résultats des tournois'!R78) - (1 / (1 + 10^((R$103 - lastVal)/400)))))
)
))"),"")</f>
        <v/>
      </c>
      <c r="T78" s="32" t="str">
        <f>IFERROR(__xludf.DUMMYFUNCTION("IF('Résultats des tournois'!S$2=0,"""",LET(
lastVal, INDEX(FILTER($B78:S78, ISNUMBER($B78:S78)), COUNTA(FILTER($B78:S78, ISNUMBER($B78:S78)))),
IFERROR(
IF('Résultats des tournois'!S78="""", INDEX(FILTER($C78:S78, ISNUMBER($C78:S78)), COUNTA(FILTER($C78:S"&amp;"78, ISNUMBER($C78:S78)))),
lastVal + 'K dynamique'!S78 * ((SQRT('Résultats des tournois'!S$2 + 1)/'Résultats des tournois'!S78) - (1 / (1 + 10^((S$103 - lastVal)/400)))))
)
))"),"")</f>
        <v/>
      </c>
      <c r="U78" s="32" t="str">
        <f>IFERROR(__xludf.DUMMYFUNCTION("IF('Résultats des tournois'!T$2=0,"""",LET(
lastVal, INDEX(FILTER($B78:T78, ISNUMBER($B78:T78)), COUNTA(FILTER($B78:T78, ISNUMBER($B78:T78)))),
IFERROR(
IF('Résultats des tournois'!T78="""", INDEX(FILTER($C78:T78, ISNUMBER($C78:T78)), COUNTA(FILTER($C78:T"&amp;"78, ISNUMBER($C78:T78)))),
lastVal + 'K dynamique'!T78 * ((SQRT('Résultats des tournois'!T$2 + 1)/'Résultats des tournois'!T78) - (1 / (1 + 10^((T$103 - lastVal)/400)))))
)
))"),"")</f>
        <v/>
      </c>
      <c r="V78" s="32" t="str">
        <f>IFERROR(__xludf.DUMMYFUNCTION("IF('Résultats des tournois'!U$2=0,"""",LET(
lastVal, INDEX(FILTER($B78:U78, ISNUMBER($B78:U78)), COUNTA(FILTER($B78:U78, ISNUMBER($B78:U78)))),
IFERROR(
IF('Résultats des tournois'!U78="""", INDEX(FILTER($C78:U78, ISNUMBER($C78:U78)), COUNTA(FILTER($C78:U"&amp;"78, ISNUMBER($C78:U78)))),
lastVal + 'K dynamique'!U78 * ((SQRT('Résultats des tournois'!U$2 + 1)/'Résultats des tournois'!U78) - (1 / (1 + 10^((U$103 - lastVal)/400)))))
)
))"),"")</f>
        <v/>
      </c>
      <c r="W78" s="32" t="str">
        <f>IFERROR(__xludf.DUMMYFUNCTION("IF('Résultats des tournois'!V$2=0,"""",LET(
lastVal, INDEX(FILTER($B78:V78, ISNUMBER($B78:V78)), COUNTA(FILTER($B78:V78, ISNUMBER($B78:V78)))),
IFERROR(
IF('Résultats des tournois'!V78="""", INDEX(FILTER($C78:V78, ISNUMBER($C78:V78)), COUNTA(FILTER($C78:V"&amp;"78, ISNUMBER($C78:V78)))),
lastVal + 'K dynamique'!V78 * ((SQRT('Résultats des tournois'!V$2 + 1)/'Résultats des tournois'!V78) - (1 / (1 + 10^((V$103 - lastVal)/400)))))
)
))"),"")</f>
        <v/>
      </c>
      <c r="X78" s="32" t="str">
        <f>IFERROR(__xludf.DUMMYFUNCTION("IF('Résultats des tournois'!W$2=0,"""",LET(
lastVal, INDEX(FILTER($B78:W78, ISNUMBER($B78:W78)), COUNTA(FILTER($B78:W78, ISNUMBER($B78:W78)))),
IFERROR(
IF('Résultats des tournois'!W78="""", INDEX(FILTER($C78:W78, ISNUMBER($C78:W78)), COUNTA(FILTER($C78:W"&amp;"78, ISNUMBER($C78:W78)))),
lastVal + 'K dynamique'!W78 * ((SQRT('Résultats des tournois'!W$2 + 1)/'Résultats des tournois'!W78) - (1 / (1 + 10^((W$103 - lastVal)/400)))))
)
))"),"")</f>
        <v/>
      </c>
      <c r="Y78" s="32" t="str">
        <f>IFERROR(__xludf.DUMMYFUNCTION("IF('Résultats des tournois'!X$2=0,"""",LET(
lastVal, INDEX(FILTER($B78:X78, ISNUMBER($B78:X78)), COUNTA(FILTER($B78:X78, ISNUMBER($B78:X78)))),
IFERROR(
IF('Résultats des tournois'!X78="""", INDEX(FILTER($C78:X78, ISNUMBER($C78:X78)), COUNTA(FILTER($C78:X"&amp;"78, ISNUMBER($C78:X78)))),
lastVal + 'K dynamique'!X78 * ((SQRT('Résultats des tournois'!X$2 + 1)/'Résultats des tournois'!X78) - (1 / (1 + 10^((X$103 - lastVal)/400)))))
)
))"),"")</f>
        <v/>
      </c>
      <c r="Z78" s="32" t="str">
        <f>IFERROR(__xludf.DUMMYFUNCTION("IF('Résultats des tournois'!Y$2=0,"""",LET(
lastVal, INDEX(FILTER($B78:Y78, ISNUMBER($B78:Y78)), COUNTA(FILTER($B78:Y78, ISNUMBER($B78:Y78)))),
IFERROR(
IF('Résultats des tournois'!Y78="""", INDEX(FILTER($C78:Y78, ISNUMBER($C78:Y78)), COUNTA(FILTER($C78:Y"&amp;"78, ISNUMBER($C78:Y78)))),
lastVal + 'K dynamique'!Y78 * ((SQRT('Résultats des tournois'!Y$2 + 1)/'Résultats des tournois'!Y78) - (1 / (1 + 10^((Y$103 - lastVal)/400)))))
)
))"),"")</f>
        <v/>
      </c>
      <c r="AA78" s="32" t="str">
        <f>IFERROR(__xludf.DUMMYFUNCTION("IF('Résultats des tournois'!Z$2=0,"""",LET(
lastVal, INDEX(FILTER($B78:Z78, ISNUMBER($B78:Z78)), COUNTA(FILTER($B78:Z78, ISNUMBER($B78:Z78)))),
IFERROR(
IF('Résultats des tournois'!Z78="""", INDEX(FILTER($C78:Z78, ISNUMBER($C78:Z78)), COUNTA(FILTER($C78:Z"&amp;"78, ISNUMBER($C78:Z78)))),
lastVal + 'K dynamique'!Z78 * ((SQRT('Résultats des tournois'!Z$2 + 1)/'Résultats des tournois'!Z78) - (1 / (1 + 10^((Z$103 - lastVal)/400)))))
)
))"),"")</f>
        <v/>
      </c>
      <c r="AB78" s="32" t="str">
        <f>IFERROR(__xludf.DUMMYFUNCTION("IF('Résultats des tournois'!AA$2=0,"""",LET(
lastVal, INDEX(FILTER($B78:AA78, ISNUMBER($B78:AA78)), COUNTA(FILTER($B78:AA78, ISNUMBER($B78:AA78)))),
IFERROR(
IF('Résultats des tournois'!AA78="""", INDEX(FILTER($C78:AA78, ISNUMBER($C78:AA78)), COUNTA(FILTE"&amp;"R($C78:AA78, ISNUMBER($C78:AA78)))),
lastVal + 'K dynamique'!AA78 * ((SQRT('Résultats des tournois'!AA$2 + 1)/'Résultats des tournois'!AA78) - (1 / (1 + 10^((AA$103 - lastVal)/400)))))
)
))"),"")</f>
        <v/>
      </c>
      <c r="AC78" s="32" t="str">
        <f>IFERROR(__xludf.DUMMYFUNCTION("IF('Résultats des tournois'!AB$2=0,"""",LET(
lastVal, INDEX(FILTER($B78:AB78, ISNUMBER($B78:AB78)), COUNTA(FILTER($B78:AB78, ISNUMBER($B78:AB78)))),
IFERROR(
IF('Résultats des tournois'!AB78="""", INDEX(FILTER($C78:AB78, ISNUMBER($C78:AB78)), COUNTA(FILTE"&amp;"R($C78:AB78, ISNUMBER($C78:AB78)))),
lastVal + 'K dynamique'!AB78 * ((SQRT('Résultats des tournois'!AB$2 + 1)/'Résultats des tournois'!AB78) - (1 / (1 + 10^((AB$103 - lastVal)/400)))))
)
))"),"")</f>
        <v/>
      </c>
      <c r="AD78" s="32" t="str">
        <f>IFERROR(__xludf.DUMMYFUNCTION("IF('Résultats des tournois'!AC$2=0,"""",LET(
lastVal, INDEX(FILTER($B78:AC78, ISNUMBER($B78:AC78)), COUNTA(FILTER($B78:AC78, ISNUMBER($B78:AC78)))),
IFERROR(
IF('Résultats des tournois'!AC78="""", INDEX(FILTER($C78:AC78, ISNUMBER($C78:AC78)), COUNTA(FILTE"&amp;"R($C78:AC78, ISNUMBER($C78:AC78)))),
lastVal + 'K dynamique'!AC78 * ((SQRT('Résultats des tournois'!AC$2 + 1)/'Résultats des tournois'!AC78) - (1 / (1 + 10^((AC$103 - lastVal)/400)))))
)
))"),"")</f>
        <v/>
      </c>
      <c r="AE78" s="32" t="str">
        <f>IFERROR(__xludf.DUMMYFUNCTION("IF('Résultats des tournois'!AD$2=0,"""",LET(
lastVal, INDEX(FILTER($B78:AD78, ISNUMBER($B78:AD78)), COUNTA(FILTER($B78:AD78, ISNUMBER($B78:AD78)))),
IFERROR(
IF('Résultats des tournois'!AD78="""", INDEX(FILTER($C78:AD78, ISNUMBER($C78:AD78)), COUNTA(FILTE"&amp;"R($C78:AD78, ISNUMBER($C78:AD78)))),
lastVal + 'K dynamique'!AD78 * ((SQRT('Résultats des tournois'!AD$2 + 1)/'Résultats des tournois'!AD78) - (1 / (1 + 10^((AD$103 - lastVal)/400)))))
)
))"),"")</f>
        <v/>
      </c>
      <c r="AF78" s="32" t="str">
        <f>IFERROR(__xludf.DUMMYFUNCTION("IF('Résultats des tournois'!AE$2=0,"""",LET(
lastVal, INDEX(FILTER($B78:AE78, ISNUMBER($B78:AE78)), COUNTA(FILTER($B78:AE78, ISNUMBER($B78:AE78)))),
IFERROR(
IF('Résultats des tournois'!AE78="""", INDEX(FILTER($C78:AE78, ISNUMBER($C78:AE78)), COUNTA(FILTE"&amp;"R($C78:AE78, ISNUMBER($C78:AE78)))),
lastVal + 'K dynamique'!AE78 * ((SQRT('Résultats des tournois'!AE$2 + 1)/'Résultats des tournois'!AE78) - (1 / (1 + 10^((AE$103 - lastVal)/400)))))
)
))"),"")</f>
        <v/>
      </c>
      <c r="AG78" s="32" t="str">
        <f>IFERROR(__xludf.DUMMYFUNCTION("IF('Résultats des tournois'!AF$2=0,"""",LET(
lastVal, INDEX(FILTER($B78:AF78, ISNUMBER($B78:AF78)), COUNTA(FILTER($B78:AF78, ISNUMBER($B78:AF78)))),
IFERROR(
IF('Résultats des tournois'!AF78="""", INDEX(FILTER($C78:AF78, ISNUMBER($C78:AF78)), COUNTA(FILTE"&amp;"R($C78:AF78, ISNUMBER($C78:AF78)))),
lastVal + 'K dynamique'!AF78 * ((SQRT('Résultats des tournois'!AF$2 + 1)/'Résultats des tournois'!AF78) - (1 / (1 + 10^((AF$103 - lastVal)/400)))))
)
))"),"")</f>
        <v/>
      </c>
      <c r="AH78" s="32" t="str">
        <f>IFERROR(__xludf.DUMMYFUNCTION("IF('Résultats des tournois'!AG$2=0,"""",LET(
lastVal, INDEX(FILTER($B78:AG78, ISNUMBER($B78:AG78)), COUNTA(FILTER($B78:AG78, ISNUMBER($B78:AG78)))),
IFERROR(
IF('Résultats des tournois'!AG78="""", INDEX(FILTER($C78:AG78, ISNUMBER($C78:AG78)), COUNTA(FILTE"&amp;"R($C78:AG78, ISNUMBER($C78:AG78)))),
lastVal + 'K dynamique'!AG78 * ((SQRT('Résultats des tournois'!AG$2 + 1)/'Résultats des tournois'!AG78) - (1 / (1 + 10^((AG$103 - lastVal)/400)))))
)
))"),"")</f>
        <v/>
      </c>
      <c r="AI78" s="32" t="str">
        <f>IFERROR(__xludf.DUMMYFUNCTION("IF('Résultats des tournois'!AH$2=0,"""",LET(
lastVal, INDEX(FILTER($B78:AH78, ISNUMBER($B78:AH78)), COUNTA(FILTER($B78:AH78, ISNUMBER($B78:AH78)))),
IFERROR(
IF('Résultats des tournois'!AH78="""", INDEX(FILTER($C78:AH78, ISNUMBER($C78:AH78)), COUNTA(FILTE"&amp;"R($C78:AH78, ISNUMBER($C78:AH78)))),
lastVal + 'K dynamique'!AH78 * ((SQRT('Résultats des tournois'!AH$2 + 1)/'Résultats des tournois'!AH78) - (1 / (1 + 10^((AH$103 - lastVal)/400)))))
)
))"),"")</f>
        <v/>
      </c>
      <c r="AJ78" s="32" t="str">
        <f>IFERROR(__xludf.DUMMYFUNCTION("IF('Résultats des tournois'!AI$2=0,"""",LET(
lastVal, INDEX(FILTER($B78:AI78, ISNUMBER($B78:AI78)), COUNTA(FILTER($B78:AI78, ISNUMBER($B78:AI78)))),
IFERROR(
IF('Résultats des tournois'!AI78="""", INDEX(FILTER($C78:AI78, ISNUMBER($C78:AI78)), COUNTA(FILTE"&amp;"R($C78:AI78, ISNUMBER($C78:AI78)))),
lastVal + 'K dynamique'!AI78 * ((SQRT('Résultats des tournois'!AI$2 + 1)/'Résultats des tournois'!AI78) - (1 / (1 + 10^((AI$103 - lastVal)/400)))))
)
))"),"")</f>
        <v/>
      </c>
      <c r="AK78" s="32" t="str">
        <f>IFERROR(__xludf.DUMMYFUNCTION("IF('Résultats des tournois'!AJ$2=0,"""",LET(
lastVal, INDEX(FILTER($B78:AJ78, ISNUMBER($B78:AJ78)), COUNTA(FILTER($B78:AJ78, ISNUMBER($B78:AJ78)))),
IFERROR(
IF('Résultats des tournois'!AJ78="""", INDEX(FILTER($C78:AJ78, ISNUMBER($C78:AJ78)), COUNTA(FILTE"&amp;"R($C78:AJ78, ISNUMBER($C78:AJ78)))),
lastVal + 'K dynamique'!AJ78 * ((SQRT('Résultats des tournois'!AJ$2 + 1)/'Résultats des tournois'!AJ78) - (1 / (1 + 10^((AJ$103 - lastVal)/400)))))
)
))"),"")</f>
        <v/>
      </c>
      <c r="AL78" s="32" t="str">
        <f>IFERROR(__xludf.DUMMYFUNCTION("IF('Résultats des tournois'!AK$2=0,"""",LET(
lastVal, INDEX(FILTER($B78:AK78, ISNUMBER($B78:AK78)), COUNTA(FILTER($B78:AK78, ISNUMBER($B78:AK78)))),
IFERROR(
IF('Résultats des tournois'!AK78="""", INDEX(FILTER($C78:AK78, ISNUMBER($C78:AK78)), COUNTA(FILTE"&amp;"R($C78:AK78, ISNUMBER($C78:AK78)))),
lastVal + 'K dynamique'!AK78 * ((SQRT('Résultats des tournois'!AK$2 + 1)/'Résultats des tournois'!AK78) - (1 / (1 + 10^((AK$103 - lastVal)/400)))))
)
))"),"")</f>
        <v/>
      </c>
      <c r="AM78" s="32" t="str">
        <f>IFERROR(__xludf.DUMMYFUNCTION("IF('Résultats des tournois'!AL$2=0,"""",LET(
lastVal, INDEX(FILTER($B78:AL78, ISNUMBER($B78:AL78)), COUNTA(FILTER($B78:AL78, ISNUMBER($B78:AL78)))),
IFERROR(
IF('Résultats des tournois'!AL78="""", INDEX(FILTER($C78:AL78, ISNUMBER($C78:AL78)), COUNTA(FILTE"&amp;"R($C78:AL78, ISNUMBER($C78:AL78)))),
lastVal + 'K dynamique'!AL78 * ((SQRT('Résultats des tournois'!AL$2 + 1)/'Résultats des tournois'!AL78) - (1 / (1 + 10^((AL$103 - lastVal)/400)))))
)
))"),"")</f>
        <v/>
      </c>
      <c r="AN78" s="32" t="str">
        <f>IFERROR(__xludf.DUMMYFUNCTION("IF('Résultats des tournois'!AM$2=0,"""",LET(
lastVal, INDEX(FILTER($B78:AM78, ISNUMBER($B78:AM78)), COUNTA(FILTER($B78:AM78, ISNUMBER($B78:AM78)))),
IFERROR(
IF('Résultats des tournois'!AM78="""", INDEX(FILTER($C78:AM78, ISNUMBER($C78:AM78)), COUNTA(FILTE"&amp;"R($C78:AM78, ISNUMBER($C78:AM78)))),
lastVal + 'K dynamique'!AM78 * ((SQRT('Résultats des tournois'!AM$2 + 1)/'Résultats des tournois'!AM78) - (1 / (1 + 10^((AM$103 - lastVal)/400)))))
)
))"),"")</f>
        <v/>
      </c>
      <c r="AO78" s="32" t="str">
        <f>IFERROR(__xludf.DUMMYFUNCTION("IF('Résultats des tournois'!AN$2=0,"""",LET(
lastVal, INDEX(FILTER($B78:AN78, ISNUMBER($B78:AN78)), COUNTA(FILTER($B78:AN78, ISNUMBER($B78:AN78)))),
IFERROR(
IF('Résultats des tournois'!AN78="""", INDEX(FILTER($C78:AN78, ISNUMBER($C78:AN78)), COUNTA(FILTE"&amp;"R($C78:AN78, ISNUMBER($C78:AN78)))),
lastVal + 'K dynamique'!AN78 * ((SQRT('Résultats des tournois'!AN$2 + 1)/'Résultats des tournois'!AN78) - (1 / (1 + 10^((AN$103 - lastVal)/400)))))
)
))"),"")</f>
        <v/>
      </c>
      <c r="AP78" s="32" t="str">
        <f>IFERROR(__xludf.DUMMYFUNCTION("IF('Résultats des tournois'!AO$2=0,"""",LET(
lastVal, INDEX(FILTER($B78:AO78, ISNUMBER($B78:AO78)), COUNTA(FILTER($B78:AO78, ISNUMBER($B78:AO78)))),
IFERROR(
IF('Résultats des tournois'!AO78="""", INDEX(FILTER($C78:AO78, ISNUMBER($C78:AO78)), COUNTA(FILTE"&amp;"R($C78:AO78, ISNUMBER($C78:AO78)))),
lastVal + 'K dynamique'!AO78 * ((SQRT('Résultats des tournois'!AO$2 + 1)/'Résultats des tournois'!AO78) - (1 / (1 + 10^((AO$103 - lastVal)/400)))))
)
))"),"")</f>
        <v/>
      </c>
      <c r="AQ78" s="32" t="str">
        <f>IFERROR(__xludf.DUMMYFUNCTION("IF('Résultats des tournois'!AP$2=0,"""",LET(
lastVal, INDEX(FILTER($B78:AP78, ISNUMBER($B78:AP78)), COUNTA(FILTER($B78:AP78, ISNUMBER($B78:AP78)))),
IFERROR(
IF('Résultats des tournois'!AP78="""", INDEX(FILTER($C78:AP78, ISNUMBER($C78:AP78)), COUNTA(FILTE"&amp;"R($C78:AP78, ISNUMBER($C78:AP78)))),
lastVal + 'K dynamique'!AP78 * ((SQRT('Résultats des tournois'!AP$2 + 1)/'Résultats des tournois'!AP78) - (1 / (1 + 10^((AP$103 - lastVal)/400)))))
)
))"),"")</f>
        <v/>
      </c>
      <c r="AR78" s="32" t="str">
        <f>IFERROR(__xludf.DUMMYFUNCTION("IF('Résultats des tournois'!AQ$2=0,"""",LET(
lastVal, INDEX(FILTER($B78:AQ78, ISNUMBER($B78:AQ78)), COUNTA(FILTER($B78:AQ78, ISNUMBER($B78:AQ78)))),
IFERROR(
IF('Résultats des tournois'!AQ78="""", INDEX(FILTER($C78:AQ78, ISNUMBER($C78:AQ78)), COUNTA(FILTE"&amp;"R($C78:AQ78, ISNUMBER($C78:AQ78)))),
lastVal + 'K dynamique'!AQ78 * ((SQRT('Résultats des tournois'!AQ$2 + 1)/'Résultats des tournois'!AQ78) - (1 / (1 + 10^((AQ$103 - lastVal)/400)))))
)
))"),"")</f>
        <v/>
      </c>
      <c r="AS78" s="32" t="str">
        <f>IFERROR(__xludf.DUMMYFUNCTION("IF('Résultats des tournois'!AR$2=0,"""",LET(
lastVal, INDEX(FILTER($B78:AR78, ISNUMBER($B78:AR78)), COUNTA(FILTER($B78:AR78, ISNUMBER($B78:AR78)))),
IFERROR(
IF('Résultats des tournois'!AR78="""", INDEX(FILTER($C78:AR78, ISNUMBER($C78:AR78)), COUNTA(FILTE"&amp;"R($C78:AR78, ISNUMBER($C78:AR78)))),
lastVal + 'K dynamique'!AR78 * ((SQRT('Résultats des tournois'!AR$2 + 1)/'Résultats des tournois'!AR78) - (1 / (1 + 10^((AR$103 - lastVal)/400)))))
)
))"),"")</f>
        <v/>
      </c>
      <c r="AT78" s="32" t="str">
        <f>IFERROR(__xludf.DUMMYFUNCTION("IF('Résultats des tournois'!AS$2=0,"""",LET(
lastVal, INDEX(FILTER($B78:AS78, ISNUMBER($B78:AS78)), COUNTA(FILTER($B78:AS78, ISNUMBER($B78:AS78)))),
IFERROR(
IF('Résultats des tournois'!AS78="""", INDEX(FILTER($C78:AS78, ISNUMBER($C78:AS78)), COUNTA(FILTE"&amp;"R($C78:AS78, ISNUMBER($C78:AS78)))),
lastVal + 'K dynamique'!AS78 * ((SQRT('Résultats des tournois'!AS$2 + 1)/'Résultats des tournois'!AS78) - (1 / (1 + 10^((AS$103 - lastVal)/400)))))
)
))"),"")</f>
        <v/>
      </c>
      <c r="AU78" s="32" t="str">
        <f>IFERROR(__xludf.DUMMYFUNCTION("IF('Résultats des tournois'!AT$2=0,"""",LET(
lastVal, INDEX(FILTER($B78:AT78, ISNUMBER($B78:AT78)), COUNTA(FILTER($B78:AT78, ISNUMBER($B78:AT78)))),
IFERROR(
IF('Résultats des tournois'!AT78="""", INDEX(FILTER($C78:AT78, ISNUMBER($C78:AT78)), COUNTA(FILTE"&amp;"R($C78:AT78, ISNUMBER($C78:AT78)))),
lastVal + 'K dynamique'!AT78 * ((SQRT('Résultats des tournois'!AT$2 + 1)/'Résultats des tournois'!AT78) - (1 / (1 + 10^((AT$103 - lastVal)/400)))))
)
))"),"")</f>
        <v/>
      </c>
      <c r="AV78" s="32" t="str">
        <f>IFERROR(__xludf.DUMMYFUNCTION("IF('Résultats des tournois'!AU$2=0,"""",LET(
lastVal, INDEX(FILTER($B78:AU78, ISNUMBER($B78:AU78)), COUNTA(FILTER($B78:AU78, ISNUMBER($B78:AU78)))),
IFERROR(
IF('Résultats des tournois'!AU78="""", INDEX(FILTER($C78:AU78, ISNUMBER($C78:AU78)), COUNTA(FILTE"&amp;"R($C78:AU78, ISNUMBER($C78:AU78)))),
lastVal + 'K dynamique'!AU78 * ((SQRT('Résultats des tournois'!AU$2 + 1)/'Résultats des tournois'!AU78) - (1 / (1 + 10^((AU$103 - lastVal)/400)))))
)
))"),"")</f>
        <v/>
      </c>
      <c r="AW78" s="32" t="str">
        <f>IFERROR(__xludf.DUMMYFUNCTION("IF('Résultats des tournois'!AV$2=0,"""",LET(
lastVal, INDEX(FILTER($B78:AV78, ISNUMBER($B78:AV78)), COUNTA(FILTER($B78:AV78, ISNUMBER($B78:AV78)))),
IFERROR(
IF('Résultats des tournois'!AV78="""", INDEX(FILTER($C78:AV78, ISNUMBER($C78:AV78)), COUNTA(FILTE"&amp;"R($C78:AV78, ISNUMBER($C78:AV78)))),
lastVal + 'K dynamique'!AV78 * ((SQRT('Résultats des tournois'!AV$2 + 1)/'Résultats des tournois'!AV78) - (1 / (1 + 10^((AV$103 - lastVal)/400)))))
)
))"),"")</f>
        <v/>
      </c>
      <c r="AX78" s="32" t="str">
        <f>IFERROR(__xludf.DUMMYFUNCTION("IF('Résultats des tournois'!AW$2=0,"""",LET(
lastVal, INDEX(FILTER($B78:AW78, ISNUMBER($B78:AW78)), COUNTA(FILTER($B78:AW78, ISNUMBER($B78:AW78)))),
IFERROR(
IF('Résultats des tournois'!AW78="""", INDEX(FILTER($C78:AW78, ISNUMBER($C78:AW78)), COUNTA(FILTE"&amp;"R($C78:AW78, ISNUMBER($C78:AW78)))),
lastVal + 'K dynamique'!AW78 * ((SQRT('Résultats des tournois'!AW$2 + 1)/'Résultats des tournois'!AW78) - (1 / (1 + 10^((AW$103 - lastVal)/400)))))
)
))"),"")</f>
        <v/>
      </c>
      <c r="AY78" s="32" t="str">
        <f>IFERROR(__xludf.DUMMYFUNCTION("IF('Résultats des tournois'!AX$2=0,"""",LET(
lastVal, INDEX(FILTER($B78:AX78, ISNUMBER($B78:AX78)), COUNTA(FILTER($B78:AX78, ISNUMBER($B78:AX78)))),
IFERROR(
IF('Résultats des tournois'!AX78="""", INDEX(FILTER($C78:AX78, ISNUMBER($C78:AX78)), COUNTA(FILTE"&amp;"R($C78:AX78, ISNUMBER($C78:AX78)))),
lastVal + 'K dynamique'!AX78 * ((SQRT('Résultats des tournois'!AX$2 + 1)/'Résultats des tournois'!AX78) - (1 / (1 + 10^((AX$103 - lastVal)/400)))))
)
))"),"")</f>
        <v/>
      </c>
      <c r="AZ78" s="4" t="str">
        <f t="array" ref="AZ78">IF(MAX(($C78:AY78&lt;&gt;"")*COLUMN($C78:AY78))=0,"",INDEX($C78:AY78,1,MAX(($C78:AY78&lt;&gt;"")*COLUMN($C78:AY78))-COLUMN($C78)+1))</f>
        <v/>
      </c>
      <c r="BA78" s="33" t="str">
        <f t="shared" si="1"/>
        <v/>
      </c>
    </row>
    <row r="79" ht="14.25" customHeight="1">
      <c r="A79" s="32" t="str">
        <f>IF('Résultats des tournois'!A79="","",'Résultats des tournois'!A79)</f>
        <v/>
      </c>
      <c r="B79" s="32">
        <v>1500.0</v>
      </c>
      <c r="C79" s="32" t="str">
        <f>IF('Résultats des tournois'!B79="","",B79+'K dynamique'!B79*((SQRT('Résultats des tournois'!B$2+1)/'Résultats des tournois'!B79)-(1/(1+10^((B79-B79)/400)))))</f>
        <v/>
      </c>
      <c r="D79" s="32" t="str">
        <f>IFERROR(__xludf.DUMMYFUNCTION("IF('Résultats des tournois'!C$2=0,"""",LET(
lastVal, INDEX(FILTER($B79:C79, ISNUMBER($B79:C79)), COUNTA(FILTER($B79:C79, ISNUMBER($B79:C79)))),
IFERROR(
IF('Résultats des tournois'!C79="""", INDEX(FILTER($C79:C79, ISNUMBER($C79:C79)), COUNTA(FILTER($C79:C"&amp;"79, ISNUMBER($C79:C79)))),
lastVal + 'K dynamique'!C79 * ((SQRT('Résultats des tournois'!C$2 + 1)/'Résultats des tournois'!C79) - (1 / (1 + 10^((C$103 - lastVal)/400)))))
)
))"),"")</f>
        <v/>
      </c>
      <c r="E79" s="32" t="str">
        <f>IFERROR(__xludf.DUMMYFUNCTION("IF('Résultats des tournois'!D$2=0,"""",LET(
lastVal, INDEX(FILTER($B79:D79, ISNUMBER($B79:D79)), COUNTA(FILTER($B79:D79, ISNUMBER($B79:D79)))),
IFERROR(
IF('Résultats des tournois'!D79="""", INDEX(FILTER($C79:D79, ISNUMBER($C79:D79)), COUNTA(FILTER($C79:D"&amp;"79, ISNUMBER($C79:D79)))),
lastVal + 'K dynamique'!D79 * ((SQRT('Résultats des tournois'!D$2 + 1)/'Résultats des tournois'!D79) - (1 / (1 + 10^((D$103 - lastVal)/400)))))
)
))"),"")</f>
        <v/>
      </c>
      <c r="F79" s="32" t="str">
        <f>IFERROR(__xludf.DUMMYFUNCTION("IF('Résultats des tournois'!E$2=0,"""",LET(
lastVal, INDEX(FILTER($B79:E79, ISNUMBER($B79:E79)), COUNTA(FILTER($B79:E79, ISNUMBER($B79:E79)))),
IFERROR(
IF('Résultats des tournois'!E79="""", INDEX(FILTER($C79:E79, ISNUMBER($C79:E79)), COUNTA(FILTER($C79:E"&amp;"79, ISNUMBER($C79:E79)))),
lastVal + 'K dynamique'!E79 * ((SQRT('Résultats des tournois'!E$2 + 1)/'Résultats des tournois'!E79) - (1 / (1 + 10^((E$103 - lastVal)/400)))))
)
))"),"")</f>
        <v/>
      </c>
      <c r="G79" s="32" t="str">
        <f>IFERROR(__xludf.DUMMYFUNCTION("IF('Résultats des tournois'!F$2=0,"""",LET(
lastVal, INDEX(FILTER($B79:F79, ISNUMBER($B79:F79)), COUNTA(FILTER($B79:F79, ISNUMBER($B79:F79)))),
IFERROR(
IF('Résultats des tournois'!F79="""", INDEX(FILTER($C79:F79, ISNUMBER($C79:F79)), COUNTA(FILTER($C79:F"&amp;"79, ISNUMBER($C79:F79)))),
lastVal + 'K dynamique'!F79 * ((SQRT('Résultats des tournois'!F$2 + 1)/'Résultats des tournois'!F79) - (1 / (1 + 10^((F$103 - lastVal)/400)))))
)
))"),"")</f>
        <v/>
      </c>
      <c r="H79" s="32" t="str">
        <f>IFERROR(__xludf.DUMMYFUNCTION("IF('Résultats des tournois'!G$2=0,"""",LET(
lastVal, INDEX(FILTER($B79:G79, ISNUMBER($B79:G79)), COUNTA(FILTER($B79:G79, ISNUMBER($B79:G79)))),
IFERROR(
IF('Résultats des tournois'!G79="""", INDEX(FILTER($C79:G79, ISNUMBER($C79:G79)), COUNTA(FILTER($C79:G"&amp;"79, ISNUMBER($C79:G79)))),
lastVal + 'K dynamique'!G79 * ((SQRT('Résultats des tournois'!G$2 + 1)/'Résultats des tournois'!G79) - (1 / (1 + 10^((G$103 - lastVal)/400)))))
)
))"),"")</f>
        <v/>
      </c>
      <c r="I79" s="32" t="str">
        <f>IFERROR(__xludf.DUMMYFUNCTION("IF('Résultats des tournois'!H$2=0,"""",LET(
lastVal, INDEX(FILTER($B79:H79, ISNUMBER($B79:H79)), COUNTA(FILTER($B79:H79, ISNUMBER($B79:H79)))),
IFERROR(
IF('Résultats des tournois'!H79="""", INDEX(FILTER($C79:H79, ISNUMBER($C79:H79)), COUNTA(FILTER($C79:H"&amp;"79, ISNUMBER($C79:H79)))),
lastVal + 'K dynamique'!H79 * ((SQRT('Résultats des tournois'!H$2 + 1)/'Résultats des tournois'!H79) - (1 / (1 + 10^((H$103 - lastVal)/400)))))
)
))"),"")</f>
        <v/>
      </c>
      <c r="J79" s="32" t="str">
        <f>IFERROR(__xludf.DUMMYFUNCTION("IF('Résultats des tournois'!I$2=0,"""",LET(
lastVal, INDEX(FILTER($B79:I79, ISNUMBER($B79:I79)), COUNTA(FILTER($B79:I79, ISNUMBER($B79:I79)))),
IFERROR(
IF('Résultats des tournois'!I79="""", INDEX(FILTER($C79:I79, ISNUMBER($C79:I79)), COUNTA(FILTER($C79:I"&amp;"79, ISNUMBER($C79:I79)))),
lastVal + 'K dynamique'!I79 * ((SQRT('Résultats des tournois'!I$2 + 1)/'Résultats des tournois'!I79) - (1 / (1 + 10^((I$103 - lastVal)/400)))))
)
))"),"")</f>
        <v/>
      </c>
      <c r="K79" s="32" t="str">
        <f>IFERROR(__xludf.DUMMYFUNCTION("IF('Résultats des tournois'!J$2=0,"""",LET(
lastVal, INDEX(FILTER($B79:J79, ISNUMBER($B79:J79)), COUNTA(FILTER($B79:J79, ISNUMBER($B79:J79)))),
IFERROR(
IF('Résultats des tournois'!J79="""", INDEX(FILTER($C79:J79, ISNUMBER($C79:J79)), COUNTA(FILTER($C79:J"&amp;"79, ISNUMBER($C79:J79)))),
lastVal + 'K dynamique'!J79 * ((SQRT('Résultats des tournois'!J$2 + 1)/'Résultats des tournois'!J79) - (1 / (1 + 10^((J$103 - lastVal)/400)))))
)
))"),"")</f>
        <v/>
      </c>
      <c r="L79" s="32" t="str">
        <f>IFERROR(__xludf.DUMMYFUNCTION("IF('Résultats des tournois'!K$2=0,"""",LET(
lastVal, INDEX(FILTER($B79:K79, ISNUMBER($B79:K79)), COUNTA(FILTER($B79:K79, ISNUMBER($B79:K79)))),
IFERROR(
IF('Résultats des tournois'!K79="""", INDEX(FILTER($C79:K79, ISNUMBER($C79:K79)), COUNTA(FILTER($C79:K"&amp;"79, ISNUMBER($C79:K79)))),
lastVal + 'K dynamique'!K79 * ((SQRT('Résultats des tournois'!K$2 + 1)/'Résultats des tournois'!K79) - (1 / (1 + 10^((K$103 - lastVal)/400)))))
)
))"),"")</f>
        <v/>
      </c>
      <c r="M79" s="32" t="str">
        <f>IFERROR(__xludf.DUMMYFUNCTION("IF('Résultats des tournois'!L$2=0,"""",LET(
lastVal, INDEX(FILTER($B79:L79, ISNUMBER($B79:L79)), COUNTA(FILTER($B79:L79, ISNUMBER($B79:L79)))),
IFERROR(
IF('Résultats des tournois'!L79="""", INDEX(FILTER($C79:L79, ISNUMBER($C79:L79)), COUNTA(FILTER($C79:L"&amp;"79, ISNUMBER($C79:L79)))),
lastVal + 'K dynamique'!L79 * ((SQRT('Résultats des tournois'!L$2 + 1)/'Résultats des tournois'!L79) - (1 / (1 + 10^((L$103 - lastVal)/400)))))
)
))"),"")</f>
        <v/>
      </c>
      <c r="N79" s="32" t="str">
        <f>IFERROR(__xludf.DUMMYFUNCTION("IF('Résultats des tournois'!M$2=0,"""",LET(
lastVal, INDEX(FILTER($B79:M79, ISNUMBER($B79:M79)), COUNTA(FILTER($B79:M79, ISNUMBER($B79:M79)))),
IFERROR(
IF('Résultats des tournois'!M79="""", INDEX(FILTER($C79:M79, ISNUMBER($C79:M79)), COUNTA(FILTER($C79:M"&amp;"79, ISNUMBER($C79:M79)))),
lastVal + 'K dynamique'!M79 * ((SQRT('Résultats des tournois'!M$2 + 1)/'Résultats des tournois'!M79) - (1 / (1 + 10^((M$103 - lastVal)/400)))))
)
))"),"")</f>
        <v/>
      </c>
      <c r="O79" s="32" t="str">
        <f>IFERROR(__xludf.DUMMYFUNCTION("IF('Résultats des tournois'!N$2=0,"""",LET(
lastVal, INDEX(FILTER($B79:N79, ISNUMBER($B79:N79)), COUNTA(FILTER($B79:N79, ISNUMBER($B79:N79)))),
IFERROR(
IF('Résultats des tournois'!N79="""", INDEX(FILTER($C79:N79, ISNUMBER($C79:N79)), COUNTA(FILTER($C79:N"&amp;"79, ISNUMBER($C79:N79)))),
lastVal + 'K dynamique'!N79 * ((SQRT('Résultats des tournois'!N$2 + 1)/'Résultats des tournois'!N79) - (1 / (1 + 10^((N$103 - lastVal)/400)))))
)
))"),"")</f>
        <v/>
      </c>
      <c r="P79" s="32" t="str">
        <f>IFERROR(__xludf.DUMMYFUNCTION("IF('Résultats des tournois'!O$2=0,"""",LET(
lastVal, INDEX(FILTER($B79:O79, ISNUMBER($B79:O79)), COUNTA(FILTER($B79:O79, ISNUMBER($B79:O79)))),
IFERROR(
IF('Résultats des tournois'!O79="""", INDEX(FILTER($C79:O79, ISNUMBER($C79:O79)), COUNTA(FILTER($C79:O"&amp;"79, ISNUMBER($C79:O79)))),
lastVal + 'K dynamique'!O79 * ((SQRT('Résultats des tournois'!O$2 + 1)/'Résultats des tournois'!O79) - (1 / (1 + 10^((O$103 - lastVal)/400)))))
)
))"),"")</f>
        <v/>
      </c>
      <c r="Q79" s="32" t="str">
        <f>IFERROR(__xludf.DUMMYFUNCTION("IF('Résultats des tournois'!P$2=0,"""",LET(
lastVal, INDEX(FILTER($B79:P79, ISNUMBER($B79:P79)), COUNTA(FILTER($B79:P79, ISNUMBER($B79:P79)))),
IFERROR(
IF('Résultats des tournois'!P79="""", INDEX(FILTER($C79:P79, ISNUMBER($C79:P79)), COUNTA(FILTER($C79:P"&amp;"79, ISNUMBER($C79:P79)))),
lastVal + 'K dynamique'!P79 * ((SQRT('Résultats des tournois'!P$2 + 1)/'Résultats des tournois'!P79) - (1 / (1 + 10^((P$103 - lastVal)/400)))))
)
))"),"")</f>
        <v/>
      </c>
      <c r="R79" s="32" t="str">
        <f>IFERROR(__xludf.DUMMYFUNCTION("IF('Résultats des tournois'!Q$2=0,"""",LET(
lastVal, INDEX(FILTER($B79:Q79, ISNUMBER($B79:Q79)), COUNTA(FILTER($B79:Q79, ISNUMBER($B79:Q79)))),
IFERROR(
IF('Résultats des tournois'!Q79="""", INDEX(FILTER($C79:Q79, ISNUMBER($C79:Q79)), COUNTA(FILTER($C79:Q"&amp;"79, ISNUMBER($C79:Q79)))),
lastVal + 'K dynamique'!Q79 * ((SQRT('Résultats des tournois'!Q$2 + 1)/'Résultats des tournois'!Q79) - (1 / (1 + 10^((Q$103 - lastVal)/400)))))
)
))"),"")</f>
        <v/>
      </c>
      <c r="S79" s="32" t="str">
        <f>IFERROR(__xludf.DUMMYFUNCTION("IF('Résultats des tournois'!R$2=0,"""",LET(
lastVal, INDEX(FILTER($B79:R79, ISNUMBER($B79:R79)), COUNTA(FILTER($B79:R79, ISNUMBER($B79:R79)))),
IFERROR(
IF('Résultats des tournois'!R79="""", INDEX(FILTER($C79:R79, ISNUMBER($C79:R79)), COUNTA(FILTER($C79:R"&amp;"79, ISNUMBER($C79:R79)))),
lastVal + 'K dynamique'!R79 * ((SQRT('Résultats des tournois'!R$2 + 1)/'Résultats des tournois'!R79) - (1 / (1 + 10^((R$103 - lastVal)/400)))))
)
))"),"")</f>
        <v/>
      </c>
      <c r="T79" s="32" t="str">
        <f>IFERROR(__xludf.DUMMYFUNCTION("IF('Résultats des tournois'!S$2=0,"""",LET(
lastVal, INDEX(FILTER($B79:S79, ISNUMBER($B79:S79)), COUNTA(FILTER($B79:S79, ISNUMBER($B79:S79)))),
IFERROR(
IF('Résultats des tournois'!S79="""", INDEX(FILTER($C79:S79, ISNUMBER($C79:S79)), COUNTA(FILTER($C79:S"&amp;"79, ISNUMBER($C79:S79)))),
lastVal + 'K dynamique'!S79 * ((SQRT('Résultats des tournois'!S$2 + 1)/'Résultats des tournois'!S79) - (1 / (1 + 10^((S$103 - lastVal)/400)))))
)
))"),"")</f>
        <v/>
      </c>
      <c r="U79" s="32" t="str">
        <f>IFERROR(__xludf.DUMMYFUNCTION("IF('Résultats des tournois'!T$2=0,"""",LET(
lastVal, INDEX(FILTER($B79:T79, ISNUMBER($B79:T79)), COUNTA(FILTER($B79:T79, ISNUMBER($B79:T79)))),
IFERROR(
IF('Résultats des tournois'!T79="""", INDEX(FILTER($C79:T79, ISNUMBER($C79:T79)), COUNTA(FILTER($C79:T"&amp;"79, ISNUMBER($C79:T79)))),
lastVal + 'K dynamique'!T79 * ((SQRT('Résultats des tournois'!T$2 + 1)/'Résultats des tournois'!T79) - (1 / (1 + 10^((T$103 - lastVal)/400)))))
)
))"),"")</f>
        <v/>
      </c>
      <c r="V79" s="32" t="str">
        <f>IFERROR(__xludf.DUMMYFUNCTION("IF('Résultats des tournois'!U$2=0,"""",LET(
lastVal, INDEX(FILTER($B79:U79, ISNUMBER($B79:U79)), COUNTA(FILTER($B79:U79, ISNUMBER($B79:U79)))),
IFERROR(
IF('Résultats des tournois'!U79="""", INDEX(FILTER($C79:U79, ISNUMBER($C79:U79)), COUNTA(FILTER($C79:U"&amp;"79, ISNUMBER($C79:U79)))),
lastVal + 'K dynamique'!U79 * ((SQRT('Résultats des tournois'!U$2 + 1)/'Résultats des tournois'!U79) - (1 / (1 + 10^((U$103 - lastVal)/400)))))
)
))"),"")</f>
        <v/>
      </c>
      <c r="W79" s="32" t="str">
        <f>IFERROR(__xludf.DUMMYFUNCTION("IF('Résultats des tournois'!V$2=0,"""",LET(
lastVal, INDEX(FILTER($B79:V79, ISNUMBER($B79:V79)), COUNTA(FILTER($B79:V79, ISNUMBER($B79:V79)))),
IFERROR(
IF('Résultats des tournois'!V79="""", INDEX(FILTER($C79:V79, ISNUMBER($C79:V79)), COUNTA(FILTER($C79:V"&amp;"79, ISNUMBER($C79:V79)))),
lastVal + 'K dynamique'!V79 * ((SQRT('Résultats des tournois'!V$2 + 1)/'Résultats des tournois'!V79) - (1 / (1 + 10^((V$103 - lastVal)/400)))))
)
))"),"")</f>
        <v/>
      </c>
      <c r="X79" s="32" t="str">
        <f>IFERROR(__xludf.DUMMYFUNCTION("IF('Résultats des tournois'!W$2=0,"""",LET(
lastVal, INDEX(FILTER($B79:W79, ISNUMBER($B79:W79)), COUNTA(FILTER($B79:W79, ISNUMBER($B79:W79)))),
IFERROR(
IF('Résultats des tournois'!W79="""", INDEX(FILTER($C79:W79, ISNUMBER($C79:W79)), COUNTA(FILTER($C79:W"&amp;"79, ISNUMBER($C79:W79)))),
lastVal + 'K dynamique'!W79 * ((SQRT('Résultats des tournois'!W$2 + 1)/'Résultats des tournois'!W79) - (1 / (1 + 10^((W$103 - lastVal)/400)))))
)
))"),"")</f>
        <v/>
      </c>
      <c r="Y79" s="32" t="str">
        <f>IFERROR(__xludf.DUMMYFUNCTION("IF('Résultats des tournois'!X$2=0,"""",LET(
lastVal, INDEX(FILTER($B79:X79, ISNUMBER($B79:X79)), COUNTA(FILTER($B79:X79, ISNUMBER($B79:X79)))),
IFERROR(
IF('Résultats des tournois'!X79="""", INDEX(FILTER($C79:X79, ISNUMBER($C79:X79)), COUNTA(FILTER($C79:X"&amp;"79, ISNUMBER($C79:X79)))),
lastVal + 'K dynamique'!X79 * ((SQRT('Résultats des tournois'!X$2 + 1)/'Résultats des tournois'!X79) - (1 / (1 + 10^((X$103 - lastVal)/400)))))
)
))"),"")</f>
        <v/>
      </c>
      <c r="Z79" s="32" t="str">
        <f>IFERROR(__xludf.DUMMYFUNCTION("IF('Résultats des tournois'!Y$2=0,"""",LET(
lastVal, INDEX(FILTER($B79:Y79, ISNUMBER($B79:Y79)), COUNTA(FILTER($B79:Y79, ISNUMBER($B79:Y79)))),
IFERROR(
IF('Résultats des tournois'!Y79="""", INDEX(FILTER($C79:Y79, ISNUMBER($C79:Y79)), COUNTA(FILTER($C79:Y"&amp;"79, ISNUMBER($C79:Y79)))),
lastVal + 'K dynamique'!Y79 * ((SQRT('Résultats des tournois'!Y$2 + 1)/'Résultats des tournois'!Y79) - (1 / (1 + 10^((Y$103 - lastVal)/400)))))
)
))"),"")</f>
        <v/>
      </c>
      <c r="AA79" s="32" t="str">
        <f>IFERROR(__xludf.DUMMYFUNCTION("IF('Résultats des tournois'!Z$2=0,"""",LET(
lastVal, INDEX(FILTER($B79:Z79, ISNUMBER($B79:Z79)), COUNTA(FILTER($B79:Z79, ISNUMBER($B79:Z79)))),
IFERROR(
IF('Résultats des tournois'!Z79="""", INDEX(FILTER($C79:Z79, ISNUMBER($C79:Z79)), COUNTA(FILTER($C79:Z"&amp;"79, ISNUMBER($C79:Z79)))),
lastVal + 'K dynamique'!Z79 * ((SQRT('Résultats des tournois'!Z$2 + 1)/'Résultats des tournois'!Z79) - (1 / (1 + 10^((Z$103 - lastVal)/400)))))
)
))"),"")</f>
        <v/>
      </c>
      <c r="AB79" s="32" t="str">
        <f>IFERROR(__xludf.DUMMYFUNCTION("IF('Résultats des tournois'!AA$2=0,"""",LET(
lastVal, INDEX(FILTER($B79:AA79, ISNUMBER($B79:AA79)), COUNTA(FILTER($B79:AA79, ISNUMBER($B79:AA79)))),
IFERROR(
IF('Résultats des tournois'!AA79="""", INDEX(FILTER($C79:AA79, ISNUMBER($C79:AA79)), COUNTA(FILTE"&amp;"R($C79:AA79, ISNUMBER($C79:AA79)))),
lastVal + 'K dynamique'!AA79 * ((SQRT('Résultats des tournois'!AA$2 + 1)/'Résultats des tournois'!AA79) - (1 / (1 + 10^((AA$103 - lastVal)/400)))))
)
))"),"")</f>
        <v/>
      </c>
      <c r="AC79" s="32" t="str">
        <f>IFERROR(__xludf.DUMMYFUNCTION("IF('Résultats des tournois'!AB$2=0,"""",LET(
lastVal, INDEX(FILTER($B79:AB79, ISNUMBER($B79:AB79)), COUNTA(FILTER($B79:AB79, ISNUMBER($B79:AB79)))),
IFERROR(
IF('Résultats des tournois'!AB79="""", INDEX(FILTER($C79:AB79, ISNUMBER($C79:AB79)), COUNTA(FILTE"&amp;"R($C79:AB79, ISNUMBER($C79:AB79)))),
lastVal + 'K dynamique'!AB79 * ((SQRT('Résultats des tournois'!AB$2 + 1)/'Résultats des tournois'!AB79) - (1 / (1 + 10^((AB$103 - lastVal)/400)))))
)
))"),"")</f>
        <v/>
      </c>
      <c r="AD79" s="32" t="str">
        <f>IFERROR(__xludf.DUMMYFUNCTION("IF('Résultats des tournois'!AC$2=0,"""",LET(
lastVal, INDEX(FILTER($B79:AC79, ISNUMBER($B79:AC79)), COUNTA(FILTER($B79:AC79, ISNUMBER($B79:AC79)))),
IFERROR(
IF('Résultats des tournois'!AC79="""", INDEX(FILTER($C79:AC79, ISNUMBER($C79:AC79)), COUNTA(FILTE"&amp;"R($C79:AC79, ISNUMBER($C79:AC79)))),
lastVal + 'K dynamique'!AC79 * ((SQRT('Résultats des tournois'!AC$2 + 1)/'Résultats des tournois'!AC79) - (1 / (1 + 10^((AC$103 - lastVal)/400)))))
)
))"),"")</f>
        <v/>
      </c>
      <c r="AE79" s="32" t="str">
        <f>IFERROR(__xludf.DUMMYFUNCTION("IF('Résultats des tournois'!AD$2=0,"""",LET(
lastVal, INDEX(FILTER($B79:AD79, ISNUMBER($B79:AD79)), COUNTA(FILTER($B79:AD79, ISNUMBER($B79:AD79)))),
IFERROR(
IF('Résultats des tournois'!AD79="""", INDEX(FILTER($C79:AD79, ISNUMBER($C79:AD79)), COUNTA(FILTE"&amp;"R($C79:AD79, ISNUMBER($C79:AD79)))),
lastVal + 'K dynamique'!AD79 * ((SQRT('Résultats des tournois'!AD$2 + 1)/'Résultats des tournois'!AD79) - (1 / (1 + 10^((AD$103 - lastVal)/400)))))
)
))"),"")</f>
        <v/>
      </c>
      <c r="AF79" s="32" t="str">
        <f>IFERROR(__xludf.DUMMYFUNCTION("IF('Résultats des tournois'!AE$2=0,"""",LET(
lastVal, INDEX(FILTER($B79:AE79, ISNUMBER($B79:AE79)), COUNTA(FILTER($B79:AE79, ISNUMBER($B79:AE79)))),
IFERROR(
IF('Résultats des tournois'!AE79="""", INDEX(FILTER($C79:AE79, ISNUMBER($C79:AE79)), COUNTA(FILTE"&amp;"R($C79:AE79, ISNUMBER($C79:AE79)))),
lastVal + 'K dynamique'!AE79 * ((SQRT('Résultats des tournois'!AE$2 + 1)/'Résultats des tournois'!AE79) - (1 / (1 + 10^((AE$103 - lastVal)/400)))))
)
))"),"")</f>
        <v/>
      </c>
      <c r="AG79" s="32" t="str">
        <f>IFERROR(__xludf.DUMMYFUNCTION("IF('Résultats des tournois'!AF$2=0,"""",LET(
lastVal, INDEX(FILTER($B79:AF79, ISNUMBER($B79:AF79)), COUNTA(FILTER($B79:AF79, ISNUMBER($B79:AF79)))),
IFERROR(
IF('Résultats des tournois'!AF79="""", INDEX(FILTER($C79:AF79, ISNUMBER($C79:AF79)), COUNTA(FILTE"&amp;"R($C79:AF79, ISNUMBER($C79:AF79)))),
lastVal + 'K dynamique'!AF79 * ((SQRT('Résultats des tournois'!AF$2 + 1)/'Résultats des tournois'!AF79) - (1 / (1 + 10^((AF$103 - lastVal)/400)))))
)
))"),"")</f>
        <v/>
      </c>
      <c r="AH79" s="32" t="str">
        <f>IFERROR(__xludf.DUMMYFUNCTION("IF('Résultats des tournois'!AG$2=0,"""",LET(
lastVal, INDEX(FILTER($B79:AG79, ISNUMBER($B79:AG79)), COUNTA(FILTER($B79:AG79, ISNUMBER($B79:AG79)))),
IFERROR(
IF('Résultats des tournois'!AG79="""", INDEX(FILTER($C79:AG79, ISNUMBER($C79:AG79)), COUNTA(FILTE"&amp;"R($C79:AG79, ISNUMBER($C79:AG79)))),
lastVal + 'K dynamique'!AG79 * ((SQRT('Résultats des tournois'!AG$2 + 1)/'Résultats des tournois'!AG79) - (1 / (1 + 10^((AG$103 - lastVal)/400)))))
)
))"),"")</f>
        <v/>
      </c>
      <c r="AI79" s="32" t="str">
        <f>IFERROR(__xludf.DUMMYFUNCTION("IF('Résultats des tournois'!AH$2=0,"""",LET(
lastVal, INDEX(FILTER($B79:AH79, ISNUMBER($B79:AH79)), COUNTA(FILTER($B79:AH79, ISNUMBER($B79:AH79)))),
IFERROR(
IF('Résultats des tournois'!AH79="""", INDEX(FILTER($C79:AH79, ISNUMBER($C79:AH79)), COUNTA(FILTE"&amp;"R($C79:AH79, ISNUMBER($C79:AH79)))),
lastVal + 'K dynamique'!AH79 * ((SQRT('Résultats des tournois'!AH$2 + 1)/'Résultats des tournois'!AH79) - (1 / (1 + 10^((AH$103 - lastVal)/400)))))
)
))"),"")</f>
        <v/>
      </c>
      <c r="AJ79" s="32" t="str">
        <f>IFERROR(__xludf.DUMMYFUNCTION("IF('Résultats des tournois'!AI$2=0,"""",LET(
lastVal, INDEX(FILTER($B79:AI79, ISNUMBER($B79:AI79)), COUNTA(FILTER($B79:AI79, ISNUMBER($B79:AI79)))),
IFERROR(
IF('Résultats des tournois'!AI79="""", INDEX(FILTER($C79:AI79, ISNUMBER($C79:AI79)), COUNTA(FILTE"&amp;"R($C79:AI79, ISNUMBER($C79:AI79)))),
lastVal + 'K dynamique'!AI79 * ((SQRT('Résultats des tournois'!AI$2 + 1)/'Résultats des tournois'!AI79) - (1 / (1 + 10^((AI$103 - lastVal)/400)))))
)
))"),"")</f>
        <v/>
      </c>
      <c r="AK79" s="32" t="str">
        <f>IFERROR(__xludf.DUMMYFUNCTION("IF('Résultats des tournois'!AJ$2=0,"""",LET(
lastVal, INDEX(FILTER($B79:AJ79, ISNUMBER($B79:AJ79)), COUNTA(FILTER($B79:AJ79, ISNUMBER($B79:AJ79)))),
IFERROR(
IF('Résultats des tournois'!AJ79="""", INDEX(FILTER($C79:AJ79, ISNUMBER($C79:AJ79)), COUNTA(FILTE"&amp;"R($C79:AJ79, ISNUMBER($C79:AJ79)))),
lastVal + 'K dynamique'!AJ79 * ((SQRT('Résultats des tournois'!AJ$2 + 1)/'Résultats des tournois'!AJ79) - (1 / (1 + 10^((AJ$103 - lastVal)/400)))))
)
))"),"")</f>
        <v/>
      </c>
      <c r="AL79" s="32" t="str">
        <f>IFERROR(__xludf.DUMMYFUNCTION("IF('Résultats des tournois'!AK$2=0,"""",LET(
lastVal, INDEX(FILTER($B79:AK79, ISNUMBER($B79:AK79)), COUNTA(FILTER($B79:AK79, ISNUMBER($B79:AK79)))),
IFERROR(
IF('Résultats des tournois'!AK79="""", INDEX(FILTER($C79:AK79, ISNUMBER($C79:AK79)), COUNTA(FILTE"&amp;"R($C79:AK79, ISNUMBER($C79:AK79)))),
lastVal + 'K dynamique'!AK79 * ((SQRT('Résultats des tournois'!AK$2 + 1)/'Résultats des tournois'!AK79) - (1 / (1 + 10^((AK$103 - lastVal)/400)))))
)
))"),"")</f>
        <v/>
      </c>
      <c r="AM79" s="32" t="str">
        <f>IFERROR(__xludf.DUMMYFUNCTION("IF('Résultats des tournois'!AL$2=0,"""",LET(
lastVal, INDEX(FILTER($B79:AL79, ISNUMBER($B79:AL79)), COUNTA(FILTER($B79:AL79, ISNUMBER($B79:AL79)))),
IFERROR(
IF('Résultats des tournois'!AL79="""", INDEX(FILTER($C79:AL79, ISNUMBER($C79:AL79)), COUNTA(FILTE"&amp;"R($C79:AL79, ISNUMBER($C79:AL79)))),
lastVal + 'K dynamique'!AL79 * ((SQRT('Résultats des tournois'!AL$2 + 1)/'Résultats des tournois'!AL79) - (1 / (1 + 10^((AL$103 - lastVal)/400)))))
)
))"),"")</f>
        <v/>
      </c>
      <c r="AN79" s="32" t="str">
        <f>IFERROR(__xludf.DUMMYFUNCTION("IF('Résultats des tournois'!AM$2=0,"""",LET(
lastVal, INDEX(FILTER($B79:AM79, ISNUMBER($B79:AM79)), COUNTA(FILTER($B79:AM79, ISNUMBER($B79:AM79)))),
IFERROR(
IF('Résultats des tournois'!AM79="""", INDEX(FILTER($C79:AM79, ISNUMBER($C79:AM79)), COUNTA(FILTE"&amp;"R($C79:AM79, ISNUMBER($C79:AM79)))),
lastVal + 'K dynamique'!AM79 * ((SQRT('Résultats des tournois'!AM$2 + 1)/'Résultats des tournois'!AM79) - (1 / (1 + 10^((AM$103 - lastVal)/400)))))
)
))"),"")</f>
        <v/>
      </c>
      <c r="AO79" s="32" t="str">
        <f>IFERROR(__xludf.DUMMYFUNCTION("IF('Résultats des tournois'!AN$2=0,"""",LET(
lastVal, INDEX(FILTER($B79:AN79, ISNUMBER($B79:AN79)), COUNTA(FILTER($B79:AN79, ISNUMBER($B79:AN79)))),
IFERROR(
IF('Résultats des tournois'!AN79="""", INDEX(FILTER($C79:AN79, ISNUMBER($C79:AN79)), COUNTA(FILTE"&amp;"R($C79:AN79, ISNUMBER($C79:AN79)))),
lastVal + 'K dynamique'!AN79 * ((SQRT('Résultats des tournois'!AN$2 + 1)/'Résultats des tournois'!AN79) - (1 / (1 + 10^((AN$103 - lastVal)/400)))))
)
))"),"")</f>
        <v/>
      </c>
      <c r="AP79" s="32" t="str">
        <f>IFERROR(__xludf.DUMMYFUNCTION("IF('Résultats des tournois'!AO$2=0,"""",LET(
lastVal, INDEX(FILTER($B79:AO79, ISNUMBER($B79:AO79)), COUNTA(FILTER($B79:AO79, ISNUMBER($B79:AO79)))),
IFERROR(
IF('Résultats des tournois'!AO79="""", INDEX(FILTER($C79:AO79, ISNUMBER($C79:AO79)), COUNTA(FILTE"&amp;"R($C79:AO79, ISNUMBER($C79:AO79)))),
lastVal + 'K dynamique'!AO79 * ((SQRT('Résultats des tournois'!AO$2 + 1)/'Résultats des tournois'!AO79) - (1 / (1 + 10^((AO$103 - lastVal)/400)))))
)
))"),"")</f>
        <v/>
      </c>
      <c r="AQ79" s="32" t="str">
        <f>IFERROR(__xludf.DUMMYFUNCTION("IF('Résultats des tournois'!AP$2=0,"""",LET(
lastVal, INDEX(FILTER($B79:AP79, ISNUMBER($B79:AP79)), COUNTA(FILTER($B79:AP79, ISNUMBER($B79:AP79)))),
IFERROR(
IF('Résultats des tournois'!AP79="""", INDEX(FILTER($C79:AP79, ISNUMBER($C79:AP79)), COUNTA(FILTE"&amp;"R($C79:AP79, ISNUMBER($C79:AP79)))),
lastVal + 'K dynamique'!AP79 * ((SQRT('Résultats des tournois'!AP$2 + 1)/'Résultats des tournois'!AP79) - (1 / (1 + 10^((AP$103 - lastVal)/400)))))
)
))"),"")</f>
        <v/>
      </c>
      <c r="AR79" s="32" t="str">
        <f>IFERROR(__xludf.DUMMYFUNCTION("IF('Résultats des tournois'!AQ$2=0,"""",LET(
lastVal, INDEX(FILTER($B79:AQ79, ISNUMBER($B79:AQ79)), COUNTA(FILTER($B79:AQ79, ISNUMBER($B79:AQ79)))),
IFERROR(
IF('Résultats des tournois'!AQ79="""", INDEX(FILTER($C79:AQ79, ISNUMBER($C79:AQ79)), COUNTA(FILTE"&amp;"R($C79:AQ79, ISNUMBER($C79:AQ79)))),
lastVal + 'K dynamique'!AQ79 * ((SQRT('Résultats des tournois'!AQ$2 + 1)/'Résultats des tournois'!AQ79) - (1 / (1 + 10^((AQ$103 - lastVal)/400)))))
)
))"),"")</f>
        <v/>
      </c>
      <c r="AS79" s="32" t="str">
        <f>IFERROR(__xludf.DUMMYFUNCTION("IF('Résultats des tournois'!AR$2=0,"""",LET(
lastVal, INDEX(FILTER($B79:AR79, ISNUMBER($B79:AR79)), COUNTA(FILTER($B79:AR79, ISNUMBER($B79:AR79)))),
IFERROR(
IF('Résultats des tournois'!AR79="""", INDEX(FILTER($C79:AR79, ISNUMBER($C79:AR79)), COUNTA(FILTE"&amp;"R($C79:AR79, ISNUMBER($C79:AR79)))),
lastVal + 'K dynamique'!AR79 * ((SQRT('Résultats des tournois'!AR$2 + 1)/'Résultats des tournois'!AR79) - (1 / (1 + 10^((AR$103 - lastVal)/400)))))
)
))"),"")</f>
        <v/>
      </c>
      <c r="AT79" s="32" t="str">
        <f>IFERROR(__xludf.DUMMYFUNCTION("IF('Résultats des tournois'!AS$2=0,"""",LET(
lastVal, INDEX(FILTER($B79:AS79, ISNUMBER($B79:AS79)), COUNTA(FILTER($B79:AS79, ISNUMBER($B79:AS79)))),
IFERROR(
IF('Résultats des tournois'!AS79="""", INDEX(FILTER($C79:AS79, ISNUMBER($C79:AS79)), COUNTA(FILTE"&amp;"R($C79:AS79, ISNUMBER($C79:AS79)))),
lastVal + 'K dynamique'!AS79 * ((SQRT('Résultats des tournois'!AS$2 + 1)/'Résultats des tournois'!AS79) - (1 / (1 + 10^((AS$103 - lastVal)/400)))))
)
))"),"")</f>
        <v/>
      </c>
      <c r="AU79" s="32" t="str">
        <f>IFERROR(__xludf.DUMMYFUNCTION("IF('Résultats des tournois'!AT$2=0,"""",LET(
lastVal, INDEX(FILTER($B79:AT79, ISNUMBER($B79:AT79)), COUNTA(FILTER($B79:AT79, ISNUMBER($B79:AT79)))),
IFERROR(
IF('Résultats des tournois'!AT79="""", INDEX(FILTER($C79:AT79, ISNUMBER($C79:AT79)), COUNTA(FILTE"&amp;"R($C79:AT79, ISNUMBER($C79:AT79)))),
lastVal + 'K dynamique'!AT79 * ((SQRT('Résultats des tournois'!AT$2 + 1)/'Résultats des tournois'!AT79) - (1 / (1 + 10^((AT$103 - lastVal)/400)))))
)
))"),"")</f>
        <v/>
      </c>
      <c r="AV79" s="32" t="str">
        <f>IFERROR(__xludf.DUMMYFUNCTION("IF('Résultats des tournois'!AU$2=0,"""",LET(
lastVal, INDEX(FILTER($B79:AU79, ISNUMBER($B79:AU79)), COUNTA(FILTER($B79:AU79, ISNUMBER($B79:AU79)))),
IFERROR(
IF('Résultats des tournois'!AU79="""", INDEX(FILTER($C79:AU79, ISNUMBER($C79:AU79)), COUNTA(FILTE"&amp;"R($C79:AU79, ISNUMBER($C79:AU79)))),
lastVal + 'K dynamique'!AU79 * ((SQRT('Résultats des tournois'!AU$2 + 1)/'Résultats des tournois'!AU79) - (1 / (1 + 10^((AU$103 - lastVal)/400)))))
)
))"),"")</f>
        <v/>
      </c>
      <c r="AW79" s="32" t="str">
        <f>IFERROR(__xludf.DUMMYFUNCTION("IF('Résultats des tournois'!AV$2=0,"""",LET(
lastVal, INDEX(FILTER($B79:AV79, ISNUMBER($B79:AV79)), COUNTA(FILTER($B79:AV79, ISNUMBER($B79:AV79)))),
IFERROR(
IF('Résultats des tournois'!AV79="""", INDEX(FILTER($C79:AV79, ISNUMBER($C79:AV79)), COUNTA(FILTE"&amp;"R($C79:AV79, ISNUMBER($C79:AV79)))),
lastVal + 'K dynamique'!AV79 * ((SQRT('Résultats des tournois'!AV$2 + 1)/'Résultats des tournois'!AV79) - (1 / (1 + 10^((AV$103 - lastVal)/400)))))
)
))"),"")</f>
        <v/>
      </c>
      <c r="AX79" s="32" t="str">
        <f>IFERROR(__xludf.DUMMYFUNCTION("IF('Résultats des tournois'!AW$2=0,"""",LET(
lastVal, INDEX(FILTER($B79:AW79, ISNUMBER($B79:AW79)), COUNTA(FILTER($B79:AW79, ISNUMBER($B79:AW79)))),
IFERROR(
IF('Résultats des tournois'!AW79="""", INDEX(FILTER($C79:AW79, ISNUMBER($C79:AW79)), COUNTA(FILTE"&amp;"R($C79:AW79, ISNUMBER($C79:AW79)))),
lastVal + 'K dynamique'!AW79 * ((SQRT('Résultats des tournois'!AW$2 + 1)/'Résultats des tournois'!AW79) - (1 / (1 + 10^((AW$103 - lastVal)/400)))))
)
))"),"")</f>
        <v/>
      </c>
      <c r="AY79" s="32" t="str">
        <f>IFERROR(__xludf.DUMMYFUNCTION("IF('Résultats des tournois'!AX$2=0,"""",LET(
lastVal, INDEX(FILTER($B79:AX79, ISNUMBER($B79:AX79)), COUNTA(FILTER($B79:AX79, ISNUMBER($B79:AX79)))),
IFERROR(
IF('Résultats des tournois'!AX79="""", INDEX(FILTER($C79:AX79, ISNUMBER($C79:AX79)), COUNTA(FILTE"&amp;"R($C79:AX79, ISNUMBER($C79:AX79)))),
lastVal + 'K dynamique'!AX79 * ((SQRT('Résultats des tournois'!AX$2 + 1)/'Résultats des tournois'!AX79) - (1 / (1 + 10^((AX$103 - lastVal)/400)))))
)
))"),"")</f>
        <v/>
      </c>
      <c r="AZ79" s="4" t="str">
        <f t="array" ref="AZ79">IF(MAX(($C79:AY79&lt;&gt;"")*COLUMN($C79:AY79))=0,"",INDEX($C79:AY79,1,MAX(($C79:AY79&lt;&gt;"")*COLUMN($C79:AY79))-COLUMN($C79)+1))</f>
        <v/>
      </c>
      <c r="BA79" s="33" t="str">
        <f t="shared" si="1"/>
        <v/>
      </c>
    </row>
    <row r="80" ht="14.25" customHeight="1">
      <c r="A80" s="32" t="str">
        <f>IF('Résultats des tournois'!A80="","",'Résultats des tournois'!A80)</f>
        <v/>
      </c>
      <c r="B80" s="32">
        <v>1500.0</v>
      </c>
      <c r="C80" s="32" t="str">
        <f>IF('Résultats des tournois'!B80="","",B80+'K dynamique'!B80*((SQRT('Résultats des tournois'!B$2+1)/'Résultats des tournois'!B80)-(1/(1+10^((B80-B80)/400)))))</f>
        <v/>
      </c>
      <c r="D80" s="32" t="str">
        <f>IFERROR(__xludf.DUMMYFUNCTION("IF('Résultats des tournois'!C$2=0,"""",LET(
lastVal, INDEX(FILTER($B80:C80, ISNUMBER($B80:C80)), COUNTA(FILTER($B80:C80, ISNUMBER($B80:C80)))),
IFERROR(
IF('Résultats des tournois'!C80="""", INDEX(FILTER($C80:C80, ISNUMBER($C80:C80)), COUNTA(FILTER($C80:C"&amp;"80, ISNUMBER($C80:C80)))),
lastVal + 'K dynamique'!C80 * ((SQRT('Résultats des tournois'!C$2 + 1)/'Résultats des tournois'!C80) - (1 / (1 + 10^((C$103 - lastVal)/400)))))
)
))"),"")</f>
        <v/>
      </c>
      <c r="E80" s="32" t="str">
        <f>IFERROR(__xludf.DUMMYFUNCTION("IF('Résultats des tournois'!D$2=0,"""",LET(
lastVal, INDEX(FILTER($B80:D80, ISNUMBER($B80:D80)), COUNTA(FILTER($B80:D80, ISNUMBER($B80:D80)))),
IFERROR(
IF('Résultats des tournois'!D80="""", INDEX(FILTER($C80:D80, ISNUMBER($C80:D80)), COUNTA(FILTER($C80:D"&amp;"80, ISNUMBER($C80:D80)))),
lastVal + 'K dynamique'!D80 * ((SQRT('Résultats des tournois'!D$2 + 1)/'Résultats des tournois'!D80) - (1 / (1 + 10^((D$103 - lastVal)/400)))))
)
))"),"")</f>
        <v/>
      </c>
      <c r="F80" s="32" t="str">
        <f>IFERROR(__xludf.DUMMYFUNCTION("IF('Résultats des tournois'!E$2=0,"""",LET(
lastVal, INDEX(FILTER($B80:E80, ISNUMBER($B80:E80)), COUNTA(FILTER($B80:E80, ISNUMBER($B80:E80)))),
IFERROR(
IF('Résultats des tournois'!E80="""", INDEX(FILTER($C80:E80, ISNUMBER($C80:E80)), COUNTA(FILTER($C80:E"&amp;"80, ISNUMBER($C80:E80)))),
lastVal + 'K dynamique'!E80 * ((SQRT('Résultats des tournois'!E$2 + 1)/'Résultats des tournois'!E80) - (1 / (1 + 10^((E$103 - lastVal)/400)))))
)
))"),"")</f>
        <v/>
      </c>
      <c r="G80" s="32" t="str">
        <f>IFERROR(__xludf.DUMMYFUNCTION("IF('Résultats des tournois'!F$2=0,"""",LET(
lastVal, INDEX(FILTER($B80:F80, ISNUMBER($B80:F80)), COUNTA(FILTER($B80:F80, ISNUMBER($B80:F80)))),
IFERROR(
IF('Résultats des tournois'!F80="""", INDEX(FILTER($C80:F80, ISNUMBER($C80:F80)), COUNTA(FILTER($C80:F"&amp;"80, ISNUMBER($C80:F80)))),
lastVal + 'K dynamique'!F80 * ((SQRT('Résultats des tournois'!F$2 + 1)/'Résultats des tournois'!F80) - (1 / (1 + 10^((F$103 - lastVal)/400)))))
)
))"),"")</f>
        <v/>
      </c>
      <c r="H80" s="32" t="str">
        <f>IFERROR(__xludf.DUMMYFUNCTION("IF('Résultats des tournois'!G$2=0,"""",LET(
lastVal, INDEX(FILTER($B80:G80, ISNUMBER($B80:G80)), COUNTA(FILTER($B80:G80, ISNUMBER($B80:G80)))),
IFERROR(
IF('Résultats des tournois'!G80="""", INDEX(FILTER($C80:G80, ISNUMBER($C80:G80)), COUNTA(FILTER($C80:G"&amp;"80, ISNUMBER($C80:G80)))),
lastVal + 'K dynamique'!G80 * ((SQRT('Résultats des tournois'!G$2 + 1)/'Résultats des tournois'!G80) - (1 / (1 + 10^((G$103 - lastVal)/400)))))
)
))"),"")</f>
        <v/>
      </c>
      <c r="I80" s="32" t="str">
        <f>IFERROR(__xludf.DUMMYFUNCTION("IF('Résultats des tournois'!H$2=0,"""",LET(
lastVal, INDEX(FILTER($B80:H80, ISNUMBER($B80:H80)), COUNTA(FILTER($B80:H80, ISNUMBER($B80:H80)))),
IFERROR(
IF('Résultats des tournois'!H80="""", INDEX(FILTER($C80:H80, ISNUMBER($C80:H80)), COUNTA(FILTER($C80:H"&amp;"80, ISNUMBER($C80:H80)))),
lastVal + 'K dynamique'!H80 * ((SQRT('Résultats des tournois'!H$2 + 1)/'Résultats des tournois'!H80) - (1 / (1 + 10^((H$103 - lastVal)/400)))))
)
))"),"")</f>
        <v/>
      </c>
      <c r="J80" s="32" t="str">
        <f>IFERROR(__xludf.DUMMYFUNCTION("IF('Résultats des tournois'!I$2=0,"""",LET(
lastVal, INDEX(FILTER($B80:I80, ISNUMBER($B80:I80)), COUNTA(FILTER($B80:I80, ISNUMBER($B80:I80)))),
IFERROR(
IF('Résultats des tournois'!I80="""", INDEX(FILTER($C80:I80, ISNUMBER($C80:I80)), COUNTA(FILTER($C80:I"&amp;"80, ISNUMBER($C80:I80)))),
lastVal + 'K dynamique'!I80 * ((SQRT('Résultats des tournois'!I$2 + 1)/'Résultats des tournois'!I80) - (1 / (1 + 10^((I$103 - lastVal)/400)))))
)
))"),"")</f>
        <v/>
      </c>
      <c r="K80" s="32" t="str">
        <f>IFERROR(__xludf.DUMMYFUNCTION("IF('Résultats des tournois'!J$2=0,"""",LET(
lastVal, INDEX(FILTER($B80:J80, ISNUMBER($B80:J80)), COUNTA(FILTER($B80:J80, ISNUMBER($B80:J80)))),
IFERROR(
IF('Résultats des tournois'!J80="""", INDEX(FILTER($C80:J80, ISNUMBER($C80:J80)), COUNTA(FILTER($C80:J"&amp;"80, ISNUMBER($C80:J80)))),
lastVal + 'K dynamique'!J80 * ((SQRT('Résultats des tournois'!J$2 + 1)/'Résultats des tournois'!J80) - (1 / (1 + 10^((J$103 - lastVal)/400)))))
)
))"),"")</f>
        <v/>
      </c>
      <c r="L80" s="32" t="str">
        <f>IFERROR(__xludf.DUMMYFUNCTION("IF('Résultats des tournois'!K$2=0,"""",LET(
lastVal, INDEX(FILTER($B80:K80, ISNUMBER($B80:K80)), COUNTA(FILTER($B80:K80, ISNUMBER($B80:K80)))),
IFERROR(
IF('Résultats des tournois'!K80="""", INDEX(FILTER($C80:K80, ISNUMBER($C80:K80)), COUNTA(FILTER($C80:K"&amp;"80, ISNUMBER($C80:K80)))),
lastVal + 'K dynamique'!K80 * ((SQRT('Résultats des tournois'!K$2 + 1)/'Résultats des tournois'!K80) - (1 / (1 + 10^((K$103 - lastVal)/400)))))
)
))"),"")</f>
        <v/>
      </c>
      <c r="M80" s="32" t="str">
        <f>IFERROR(__xludf.DUMMYFUNCTION("IF('Résultats des tournois'!L$2=0,"""",LET(
lastVal, INDEX(FILTER($B80:L80, ISNUMBER($B80:L80)), COUNTA(FILTER($B80:L80, ISNUMBER($B80:L80)))),
IFERROR(
IF('Résultats des tournois'!L80="""", INDEX(FILTER($C80:L80, ISNUMBER($C80:L80)), COUNTA(FILTER($C80:L"&amp;"80, ISNUMBER($C80:L80)))),
lastVal + 'K dynamique'!L80 * ((SQRT('Résultats des tournois'!L$2 + 1)/'Résultats des tournois'!L80) - (1 / (1 + 10^((L$103 - lastVal)/400)))))
)
))"),"")</f>
        <v/>
      </c>
      <c r="N80" s="32" t="str">
        <f>IFERROR(__xludf.DUMMYFUNCTION("IF('Résultats des tournois'!M$2=0,"""",LET(
lastVal, INDEX(FILTER($B80:M80, ISNUMBER($B80:M80)), COUNTA(FILTER($B80:M80, ISNUMBER($B80:M80)))),
IFERROR(
IF('Résultats des tournois'!M80="""", INDEX(FILTER($C80:M80, ISNUMBER($C80:M80)), COUNTA(FILTER($C80:M"&amp;"80, ISNUMBER($C80:M80)))),
lastVal + 'K dynamique'!M80 * ((SQRT('Résultats des tournois'!M$2 + 1)/'Résultats des tournois'!M80) - (1 / (1 + 10^((M$103 - lastVal)/400)))))
)
))"),"")</f>
        <v/>
      </c>
      <c r="O80" s="32" t="str">
        <f>IFERROR(__xludf.DUMMYFUNCTION("IF('Résultats des tournois'!N$2=0,"""",LET(
lastVal, INDEX(FILTER($B80:N80, ISNUMBER($B80:N80)), COUNTA(FILTER($B80:N80, ISNUMBER($B80:N80)))),
IFERROR(
IF('Résultats des tournois'!N80="""", INDEX(FILTER($C80:N80, ISNUMBER($C80:N80)), COUNTA(FILTER($C80:N"&amp;"80, ISNUMBER($C80:N80)))),
lastVal + 'K dynamique'!N80 * ((SQRT('Résultats des tournois'!N$2 + 1)/'Résultats des tournois'!N80) - (1 / (1 + 10^((N$103 - lastVal)/400)))))
)
))"),"")</f>
        <v/>
      </c>
      <c r="P80" s="32" t="str">
        <f>IFERROR(__xludf.DUMMYFUNCTION("IF('Résultats des tournois'!O$2=0,"""",LET(
lastVal, INDEX(FILTER($B80:O80, ISNUMBER($B80:O80)), COUNTA(FILTER($B80:O80, ISNUMBER($B80:O80)))),
IFERROR(
IF('Résultats des tournois'!O80="""", INDEX(FILTER($C80:O80, ISNUMBER($C80:O80)), COUNTA(FILTER($C80:O"&amp;"80, ISNUMBER($C80:O80)))),
lastVal + 'K dynamique'!O80 * ((SQRT('Résultats des tournois'!O$2 + 1)/'Résultats des tournois'!O80) - (1 / (1 + 10^((O$103 - lastVal)/400)))))
)
))"),"")</f>
        <v/>
      </c>
      <c r="Q80" s="32" t="str">
        <f>IFERROR(__xludf.DUMMYFUNCTION("IF('Résultats des tournois'!P$2=0,"""",LET(
lastVal, INDEX(FILTER($B80:P80, ISNUMBER($B80:P80)), COUNTA(FILTER($B80:P80, ISNUMBER($B80:P80)))),
IFERROR(
IF('Résultats des tournois'!P80="""", INDEX(FILTER($C80:P80, ISNUMBER($C80:P80)), COUNTA(FILTER($C80:P"&amp;"80, ISNUMBER($C80:P80)))),
lastVal + 'K dynamique'!P80 * ((SQRT('Résultats des tournois'!P$2 + 1)/'Résultats des tournois'!P80) - (1 / (1 + 10^((P$103 - lastVal)/400)))))
)
))"),"")</f>
        <v/>
      </c>
      <c r="R80" s="32" t="str">
        <f>IFERROR(__xludf.DUMMYFUNCTION("IF('Résultats des tournois'!Q$2=0,"""",LET(
lastVal, INDEX(FILTER($B80:Q80, ISNUMBER($B80:Q80)), COUNTA(FILTER($B80:Q80, ISNUMBER($B80:Q80)))),
IFERROR(
IF('Résultats des tournois'!Q80="""", INDEX(FILTER($C80:Q80, ISNUMBER($C80:Q80)), COUNTA(FILTER($C80:Q"&amp;"80, ISNUMBER($C80:Q80)))),
lastVal + 'K dynamique'!Q80 * ((SQRT('Résultats des tournois'!Q$2 + 1)/'Résultats des tournois'!Q80) - (1 / (1 + 10^((Q$103 - lastVal)/400)))))
)
))"),"")</f>
        <v/>
      </c>
      <c r="S80" s="32" t="str">
        <f>IFERROR(__xludf.DUMMYFUNCTION("IF('Résultats des tournois'!R$2=0,"""",LET(
lastVal, INDEX(FILTER($B80:R80, ISNUMBER($B80:R80)), COUNTA(FILTER($B80:R80, ISNUMBER($B80:R80)))),
IFERROR(
IF('Résultats des tournois'!R80="""", INDEX(FILTER($C80:R80, ISNUMBER($C80:R80)), COUNTA(FILTER($C80:R"&amp;"80, ISNUMBER($C80:R80)))),
lastVal + 'K dynamique'!R80 * ((SQRT('Résultats des tournois'!R$2 + 1)/'Résultats des tournois'!R80) - (1 / (1 + 10^((R$103 - lastVal)/400)))))
)
))"),"")</f>
        <v/>
      </c>
      <c r="T80" s="32" t="str">
        <f>IFERROR(__xludf.DUMMYFUNCTION("IF('Résultats des tournois'!S$2=0,"""",LET(
lastVal, INDEX(FILTER($B80:S80, ISNUMBER($B80:S80)), COUNTA(FILTER($B80:S80, ISNUMBER($B80:S80)))),
IFERROR(
IF('Résultats des tournois'!S80="""", INDEX(FILTER($C80:S80, ISNUMBER($C80:S80)), COUNTA(FILTER($C80:S"&amp;"80, ISNUMBER($C80:S80)))),
lastVal + 'K dynamique'!S80 * ((SQRT('Résultats des tournois'!S$2 + 1)/'Résultats des tournois'!S80) - (1 / (1 + 10^((S$103 - lastVal)/400)))))
)
))"),"")</f>
        <v/>
      </c>
      <c r="U80" s="32" t="str">
        <f>IFERROR(__xludf.DUMMYFUNCTION("IF('Résultats des tournois'!T$2=0,"""",LET(
lastVal, INDEX(FILTER($B80:T80, ISNUMBER($B80:T80)), COUNTA(FILTER($B80:T80, ISNUMBER($B80:T80)))),
IFERROR(
IF('Résultats des tournois'!T80="""", INDEX(FILTER($C80:T80, ISNUMBER($C80:T80)), COUNTA(FILTER($C80:T"&amp;"80, ISNUMBER($C80:T80)))),
lastVal + 'K dynamique'!T80 * ((SQRT('Résultats des tournois'!T$2 + 1)/'Résultats des tournois'!T80) - (1 / (1 + 10^((T$103 - lastVal)/400)))))
)
))"),"")</f>
        <v/>
      </c>
      <c r="V80" s="32" t="str">
        <f>IFERROR(__xludf.DUMMYFUNCTION("IF('Résultats des tournois'!U$2=0,"""",LET(
lastVal, INDEX(FILTER($B80:U80, ISNUMBER($B80:U80)), COUNTA(FILTER($B80:U80, ISNUMBER($B80:U80)))),
IFERROR(
IF('Résultats des tournois'!U80="""", INDEX(FILTER($C80:U80, ISNUMBER($C80:U80)), COUNTA(FILTER($C80:U"&amp;"80, ISNUMBER($C80:U80)))),
lastVal + 'K dynamique'!U80 * ((SQRT('Résultats des tournois'!U$2 + 1)/'Résultats des tournois'!U80) - (1 / (1 + 10^((U$103 - lastVal)/400)))))
)
))"),"")</f>
        <v/>
      </c>
      <c r="W80" s="32" t="str">
        <f>IFERROR(__xludf.DUMMYFUNCTION("IF('Résultats des tournois'!V$2=0,"""",LET(
lastVal, INDEX(FILTER($B80:V80, ISNUMBER($B80:V80)), COUNTA(FILTER($B80:V80, ISNUMBER($B80:V80)))),
IFERROR(
IF('Résultats des tournois'!V80="""", INDEX(FILTER($C80:V80, ISNUMBER($C80:V80)), COUNTA(FILTER($C80:V"&amp;"80, ISNUMBER($C80:V80)))),
lastVal + 'K dynamique'!V80 * ((SQRT('Résultats des tournois'!V$2 + 1)/'Résultats des tournois'!V80) - (1 / (1 + 10^((V$103 - lastVal)/400)))))
)
))"),"")</f>
        <v/>
      </c>
      <c r="X80" s="32" t="str">
        <f>IFERROR(__xludf.DUMMYFUNCTION("IF('Résultats des tournois'!W$2=0,"""",LET(
lastVal, INDEX(FILTER($B80:W80, ISNUMBER($B80:W80)), COUNTA(FILTER($B80:W80, ISNUMBER($B80:W80)))),
IFERROR(
IF('Résultats des tournois'!W80="""", INDEX(FILTER($C80:W80, ISNUMBER($C80:W80)), COUNTA(FILTER($C80:W"&amp;"80, ISNUMBER($C80:W80)))),
lastVal + 'K dynamique'!W80 * ((SQRT('Résultats des tournois'!W$2 + 1)/'Résultats des tournois'!W80) - (1 / (1 + 10^((W$103 - lastVal)/400)))))
)
))"),"")</f>
        <v/>
      </c>
      <c r="Y80" s="32" t="str">
        <f>IFERROR(__xludf.DUMMYFUNCTION("IF('Résultats des tournois'!X$2=0,"""",LET(
lastVal, INDEX(FILTER($B80:X80, ISNUMBER($B80:X80)), COUNTA(FILTER($B80:X80, ISNUMBER($B80:X80)))),
IFERROR(
IF('Résultats des tournois'!X80="""", INDEX(FILTER($C80:X80, ISNUMBER($C80:X80)), COUNTA(FILTER($C80:X"&amp;"80, ISNUMBER($C80:X80)))),
lastVal + 'K dynamique'!X80 * ((SQRT('Résultats des tournois'!X$2 + 1)/'Résultats des tournois'!X80) - (1 / (1 + 10^((X$103 - lastVal)/400)))))
)
))"),"")</f>
        <v/>
      </c>
      <c r="Z80" s="32" t="str">
        <f>IFERROR(__xludf.DUMMYFUNCTION("IF('Résultats des tournois'!Y$2=0,"""",LET(
lastVal, INDEX(FILTER($B80:Y80, ISNUMBER($B80:Y80)), COUNTA(FILTER($B80:Y80, ISNUMBER($B80:Y80)))),
IFERROR(
IF('Résultats des tournois'!Y80="""", INDEX(FILTER($C80:Y80, ISNUMBER($C80:Y80)), COUNTA(FILTER($C80:Y"&amp;"80, ISNUMBER($C80:Y80)))),
lastVal + 'K dynamique'!Y80 * ((SQRT('Résultats des tournois'!Y$2 + 1)/'Résultats des tournois'!Y80) - (1 / (1 + 10^((Y$103 - lastVal)/400)))))
)
))"),"")</f>
        <v/>
      </c>
      <c r="AA80" s="32" t="str">
        <f>IFERROR(__xludf.DUMMYFUNCTION("IF('Résultats des tournois'!Z$2=0,"""",LET(
lastVal, INDEX(FILTER($B80:Z80, ISNUMBER($B80:Z80)), COUNTA(FILTER($B80:Z80, ISNUMBER($B80:Z80)))),
IFERROR(
IF('Résultats des tournois'!Z80="""", INDEX(FILTER($C80:Z80, ISNUMBER($C80:Z80)), COUNTA(FILTER($C80:Z"&amp;"80, ISNUMBER($C80:Z80)))),
lastVal + 'K dynamique'!Z80 * ((SQRT('Résultats des tournois'!Z$2 + 1)/'Résultats des tournois'!Z80) - (1 / (1 + 10^((Z$103 - lastVal)/400)))))
)
))"),"")</f>
        <v/>
      </c>
      <c r="AB80" s="32" t="str">
        <f>IFERROR(__xludf.DUMMYFUNCTION("IF('Résultats des tournois'!AA$2=0,"""",LET(
lastVal, INDEX(FILTER($B80:AA80, ISNUMBER($B80:AA80)), COUNTA(FILTER($B80:AA80, ISNUMBER($B80:AA80)))),
IFERROR(
IF('Résultats des tournois'!AA80="""", INDEX(FILTER($C80:AA80, ISNUMBER($C80:AA80)), COUNTA(FILTE"&amp;"R($C80:AA80, ISNUMBER($C80:AA80)))),
lastVal + 'K dynamique'!AA80 * ((SQRT('Résultats des tournois'!AA$2 + 1)/'Résultats des tournois'!AA80) - (1 / (1 + 10^((AA$103 - lastVal)/400)))))
)
))"),"")</f>
        <v/>
      </c>
      <c r="AC80" s="32" t="str">
        <f>IFERROR(__xludf.DUMMYFUNCTION("IF('Résultats des tournois'!AB$2=0,"""",LET(
lastVal, INDEX(FILTER($B80:AB80, ISNUMBER($B80:AB80)), COUNTA(FILTER($B80:AB80, ISNUMBER($B80:AB80)))),
IFERROR(
IF('Résultats des tournois'!AB80="""", INDEX(FILTER($C80:AB80, ISNUMBER($C80:AB80)), COUNTA(FILTE"&amp;"R($C80:AB80, ISNUMBER($C80:AB80)))),
lastVal + 'K dynamique'!AB80 * ((SQRT('Résultats des tournois'!AB$2 + 1)/'Résultats des tournois'!AB80) - (1 / (1 + 10^((AB$103 - lastVal)/400)))))
)
))"),"")</f>
        <v/>
      </c>
      <c r="AD80" s="32" t="str">
        <f>IFERROR(__xludf.DUMMYFUNCTION("IF('Résultats des tournois'!AC$2=0,"""",LET(
lastVal, INDEX(FILTER($B80:AC80, ISNUMBER($B80:AC80)), COUNTA(FILTER($B80:AC80, ISNUMBER($B80:AC80)))),
IFERROR(
IF('Résultats des tournois'!AC80="""", INDEX(FILTER($C80:AC80, ISNUMBER($C80:AC80)), COUNTA(FILTE"&amp;"R($C80:AC80, ISNUMBER($C80:AC80)))),
lastVal + 'K dynamique'!AC80 * ((SQRT('Résultats des tournois'!AC$2 + 1)/'Résultats des tournois'!AC80) - (1 / (1 + 10^((AC$103 - lastVal)/400)))))
)
))"),"")</f>
        <v/>
      </c>
      <c r="AE80" s="32" t="str">
        <f>IFERROR(__xludf.DUMMYFUNCTION("IF('Résultats des tournois'!AD$2=0,"""",LET(
lastVal, INDEX(FILTER($B80:AD80, ISNUMBER($B80:AD80)), COUNTA(FILTER($B80:AD80, ISNUMBER($B80:AD80)))),
IFERROR(
IF('Résultats des tournois'!AD80="""", INDEX(FILTER($C80:AD80, ISNUMBER($C80:AD80)), COUNTA(FILTE"&amp;"R($C80:AD80, ISNUMBER($C80:AD80)))),
lastVal + 'K dynamique'!AD80 * ((SQRT('Résultats des tournois'!AD$2 + 1)/'Résultats des tournois'!AD80) - (1 / (1 + 10^((AD$103 - lastVal)/400)))))
)
))"),"")</f>
        <v/>
      </c>
      <c r="AF80" s="32" t="str">
        <f>IFERROR(__xludf.DUMMYFUNCTION("IF('Résultats des tournois'!AE$2=0,"""",LET(
lastVal, INDEX(FILTER($B80:AE80, ISNUMBER($B80:AE80)), COUNTA(FILTER($B80:AE80, ISNUMBER($B80:AE80)))),
IFERROR(
IF('Résultats des tournois'!AE80="""", INDEX(FILTER($C80:AE80, ISNUMBER($C80:AE80)), COUNTA(FILTE"&amp;"R($C80:AE80, ISNUMBER($C80:AE80)))),
lastVal + 'K dynamique'!AE80 * ((SQRT('Résultats des tournois'!AE$2 + 1)/'Résultats des tournois'!AE80) - (1 / (1 + 10^((AE$103 - lastVal)/400)))))
)
))"),"")</f>
        <v/>
      </c>
      <c r="AG80" s="32" t="str">
        <f>IFERROR(__xludf.DUMMYFUNCTION("IF('Résultats des tournois'!AF$2=0,"""",LET(
lastVal, INDEX(FILTER($B80:AF80, ISNUMBER($B80:AF80)), COUNTA(FILTER($B80:AF80, ISNUMBER($B80:AF80)))),
IFERROR(
IF('Résultats des tournois'!AF80="""", INDEX(FILTER($C80:AF80, ISNUMBER($C80:AF80)), COUNTA(FILTE"&amp;"R($C80:AF80, ISNUMBER($C80:AF80)))),
lastVal + 'K dynamique'!AF80 * ((SQRT('Résultats des tournois'!AF$2 + 1)/'Résultats des tournois'!AF80) - (1 / (1 + 10^((AF$103 - lastVal)/400)))))
)
))"),"")</f>
        <v/>
      </c>
      <c r="AH80" s="32" t="str">
        <f>IFERROR(__xludf.DUMMYFUNCTION("IF('Résultats des tournois'!AG$2=0,"""",LET(
lastVal, INDEX(FILTER($B80:AG80, ISNUMBER($B80:AG80)), COUNTA(FILTER($B80:AG80, ISNUMBER($B80:AG80)))),
IFERROR(
IF('Résultats des tournois'!AG80="""", INDEX(FILTER($C80:AG80, ISNUMBER($C80:AG80)), COUNTA(FILTE"&amp;"R($C80:AG80, ISNUMBER($C80:AG80)))),
lastVal + 'K dynamique'!AG80 * ((SQRT('Résultats des tournois'!AG$2 + 1)/'Résultats des tournois'!AG80) - (1 / (1 + 10^((AG$103 - lastVal)/400)))))
)
))"),"")</f>
        <v/>
      </c>
      <c r="AI80" s="32" t="str">
        <f>IFERROR(__xludf.DUMMYFUNCTION("IF('Résultats des tournois'!AH$2=0,"""",LET(
lastVal, INDEX(FILTER($B80:AH80, ISNUMBER($B80:AH80)), COUNTA(FILTER($B80:AH80, ISNUMBER($B80:AH80)))),
IFERROR(
IF('Résultats des tournois'!AH80="""", INDEX(FILTER($C80:AH80, ISNUMBER($C80:AH80)), COUNTA(FILTE"&amp;"R($C80:AH80, ISNUMBER($C80:AH80)))),
lastVal + 'K dynamique'!AH80 * ((SQRT('Résultats des tournois'!AH$2 + 1)/'Résultats des tournois'!AH80) - (1 / (1 + 10^((AH$103 - lastVal)/400)))))
)
))"),"")</f>
        <v/>
      </c>
      <c r="AJ80" s="32" t="str">
        <f>IFERROR(__xludf.DUMMYFUNCTION("IF('Résultats des tournois'!AI$2=0,"""",LET(
lastVal, INDEX(FILTER($B80:AI80, ISNUMBER($B80:AI80)), COUNTA(FILTER($B80:AI80, ISNUMBER($B80:AI80)))),
IFERROR(
IF('Résultats des tournois'!AI80="""", INDEX(FILTER($C80:AI80, ISNUMBER($C80:AI80)), COUNTA(FILTE"&amp;"R($C80:AI80, ISNUMBER($C80:AI80)))),
lastVal + 'K dynamique'!AI80 * ((SQRT('Résultats des tournois'!AI$2 + 1)/'Résultats des tournois'!AI80) - (1 / (1 + 10^((AI$103 - lastVal)/400)))))
)
))"),"")</f>
        <v/>
      </c>
      <c r="AK80" s="32" t="str">
        <f>IFERROR(__xludf.DUMMYFUNCTION("IF('Résultats des tournois'!AJ$2=0,"""",LET(
lastVal, INDEX(FILTER($B80:AJ80, ISNUMBER($B80:AJ80)), COUNTA(FILTER($B80:AJ80, ISNUMBER($B80:AJ80)))),
IFERROR(
IF('Résultats des tournois'!AJ80="""", INDEX(FILTER($C80:AJ80, ISNUMBER($C80:AJ80)), COUNTA(FILTE"&amp;"R($C80:AJ80, ISNUMBER($C80:AJ80)))),
lastVal + 'K dynamique'!AJ80 * ((SQRT('Résultats des tournois'!AJ$2 + 1)/'Résultats des tournois'!AJ80) - (1 / (1 + 10^((AJ$103 - lastVal)/400)))))
)
))"),"")</f>
        <v/>
      </c>
      <c r="AL80" s="32" t="str">
        <f>IFERROR(__xludf.DUMMYFUNCTION("IF('Résultats des tournois'!AK$2=0,"""",LET(
lastVal, INDEX(FILTER($B80:AK80, ISNUMBER($B80:AK80)), COUNTA(FILTER($B80:AK80, ISNUMBER($B80:AK80)))),
IFERROR(
IF('Résultats des tournois'!AK80="""", INDEX(FILTER($C80:AK80, ISNUMBER($C80:AK80)), COUNTA(FILTE"&amp;"R($C80:AK80, ISNUMBER($C80:AK80)))),
lastVal + 'K dynamique'!AK80 * ((SQRT('Résultats des tournois'!AK$2 + 1)/'Résultats des tournois'!AK80) - (1 / (1 + 10^((AK$103 - lastVal)/400)))))
)
))"),"")</f>
        <v/>
      </c>
      <c r="AM80" s="32" t="str">
        <f>IFERROR(__xludf.DUMMYFUNCTION("IF('Résultats des tournois'!AL$2=0,"""",LET(
lastVal, INDEX(FILTER($B80:AL80, ISNUMBER($B80:AL80)), COUNTA(FILTER($B80:AL80, ISNUMBER($B80:AL80)))),
IFERROR(
IF('Résultats des tournois'!AL80="""", INDEX(FILTER($C80:AL80, ISNUMBER($C80:AL80)), COUNTA(FILTE"&amp;"R($C80:AL80, ISNUMBER($C80:AL80)))),
lastVal + 'K dynamique'!AL80 * ((SQRT('Résultats des tournois'!AL$2 + 1)/'Résultats des tournois'!AL80) - (1 / (1 + 10^((AL$103 - lastVal)/400)))))
)
))"),"")</f>
        <v/>
      </c>
      <c r="AN80" s="32" t="str">
        <f>IFERROR(__xludf.DUMMYFUNCTION("IF('Résultats des tournois'!AM$2=0,"""",LET(
lastVal, INDEX(FILTER($B80:AM80, ISNUMBER($B80:AM80)), COUNTA(FILTER($B80:AM80, ISNUMBER($B80:AM80)))),
IFERROR(
IF('Résultats des tournois'!AM80="""", INDEX(FILTER($C80:AM80, ISNUMBER($C80:AM80)), COUNTA(FILTE"&amp;"R($C80:AM80, ISNUMBER($C80:AM80)))),
lastVal + 'K dynamique'!AM80 * ((SQRT('Résultats des tournois'!AM$2 + 1)/'Résultats des tournois'!AM80) - (1 / (1 + 10^((AM$103 - lastVal)/400)))))
)
))"),"")</f>
        <v/>
      </c>
      <c r="AO80" s="32" t="str">
        <f>IFERROR(__xludf.DUMMYFUNCTION("IF('Résultats des tournois'!AN$2=0,"""",LET(
lastVal, INDEX(FILTER($B80:AN80, ISNUMBER($B80:AN80)), COUNTA(FILTER($B80:AN80, ISNUMBER($B80:AN80)))),
IFERROR(
IF('Résultats des tournois'!AN80="""", INDEX(FILTER($C80:AN80, ISNUMBER($C80:AN80)), COUNTA(FILTE"&amp;"R($C80:AN80, ISNUMBER($C80:AN80)))),
lastVal + 'K dynamique'!AN80 * ((SQRT('Résultats des tournois'!AN$2 + 1)/'Résultats des tournois'!AN80) - (1 / (1 + 10^((AN$103 - lastVal)/400)))))
)
))"),"")</f>
        <v/>
      </c>
      <c r="AP80" s="32" t="str">
        <f>IFERROR(__xludf.DUMMYFUNCTION("IF('Résultats des tournois'!AO$2=0,"""",LET(
lastVal, INDEX(FILTER($B80:AO80, ISNUMBER($B80:AO80)), COUNTA(FILTER($B80:AO80, ISNUMBER($B80:AO80)))),
IFERROR(
IF('Résultats des tournois'!AO80="""", INDEX(FILTER($C80:AO80, ISNUMBER($C80:AO80)), COUNTA(FILTE"&amp;"R($C80:AO80, ISNUMBER($C80:AO80)))),
lastVal + 'K dynamique'!AO80 * ((SQRT('Résultats des tournois'!AO$2 + 1)/'Résultats des tournois'!AO80) - (1 / (1 + 10^((AO$103 - lastVal)/400)))))
)
))"),"")</f>
        <v/>
      </c>
      <c r="AQ80" s="32" t="str">
        <f>IFERROR(__xludf.DUMMYFUNCTION("IF('Résultats des tournois'!AP$2=0,"""",LET(
lastVal, INDEX(FILTER($B80:AP80, ISNUMBER($B80:AP80)), COUNTA(FILTER($B80:AP80, ISNUMBER($B80:AP80)))),
IFERROR(
IF('Résultats des tournois'!AP80="""", INDEX(FILTER($C80:AP80, ISNUMBER($C80:AP80)), COUNTA(FILTE"&amp;"R($C80:AP80, ISNUMBER($C80:AP80)))),
lastVal + 'K dynamique'!AP80 * ((SQRT('Résultats des tournois'!AP$2 + 1)/'Résultats des tournois'!AP80) - (1 / (1 + 10^((AP$103 - lastVal)/400)))))
)
))"),"")</f>
        <v/>
      </c>
      <c r="AR80" s="32" t="str">
        <f>IFERROR(__xludf.DUMMYFUNCTION("IF('Résultats des tournois'!AQ$2=0,"""",LET(
lastVal, INDEX(FILTER($B80:AQ80, ISNUMBER($B80:AQ80)), COUNTA(FILTER($B80:AQ80, ISNUMBER($B80:AQ80)))),
IFERROR(
IF('Résultats des tournois'!AQ80="""", INDEX(FILTER($C80:AQ80, ISNUMBER($C80:AQ80)), COUNTA(FILTE"&amp;"R($C80:AQ80, ISNUMBER($C80:AQ80)))),
lastVal + 'K dynamique'!AQ80 * ((SQRT('Résultats des tournois'!AQ$2 + 1)/'Résultats des tournois'!AQ80) - (1 / (1 + 10^((AQ$103 - lastVal)/400)))))
)
))"),"")</f>
        <v/>
      </c>
      <c r="AS80" s="32" t="str">
        <f>IFERROR(__xludf.DUMMYFUNCTION("IF('Résultats des tournois'!AR$2=0,"""",LET(
lastVal, INDEX(FILTER($B80:AR80, ISNUMBER($B80:AR80)), COUNTA(FILTER($B80:AR80, ISNUMBER($B80:AR80)))),
IFERROR(
IF('Résultats des tournois'!AR80="""", INDEX(FILTER($C80:AR80, ISNUMBER($C80:AR80)), COUNTA(FILTE"&amp;"R($C80:AR80, ISNUMBER($C80:AR80)))),
lastVal + 'K dynamique'!AR80 * ((SQRT('Résultats des tournois'!AR$2 + 1)/'Résultats des tournois'!AR80) - (1 / (1 + 10^((AR$103 - lastVal)/400)))))
)
))"),"")</f>
        <v/>
      </c>
      <c r="AT80" s="32" t="str">
        <f>IFERROR(__xludf.DUMMYFUNCTION("IF('Résultats des tournois'!AS$2=0,"""",LET(
lastVal, INDEX(FILTER($B80:AS80, ISNUMBER($B80:AS80)), COUNTA(FILTER($B80:AS80, ISNUMBER($B80:AS80)))),
IFERROR(
IF('Résultats des tournois'!AS80="""", INDEX(FILTER($C80:AS80, ISNUMBER($C80:AS80)), COUNTA(FILTE"&amp;"R($C80:AS80, ISNUMBER($C80:AS80)))),
lastVal + 'K dynamique'!AS80 * ((SQRT('Résultats des tournois'!AS$2 + 1)/'Résultats des tournois'!AS80) - (1 / (1 + 10^((AS$103 - lastVal)/400)))))
)
))"),"")</f>
        <v/>
      </c>
      <c r="AU80" s="32" t="str">
        <f>IFERROR(__xludf.DUMMYFUNCTION("IF('Résultats des tournois'!AT$2=0,"""",LET(
lastVal, INDEX(FILTER($B80:AT80, ISNUMBER($B80:AT80)), COUNTA(FILTER($B80:AT80, ISNUMBER($B80:AT80)))),
IFERROR(
IF('Résultats des tournois'!AT80="""", INDEX(FILTER($C80:AT80, ISNUMBER($C80:AT80)), COUNTA(FILTE"&amp;"R($C80:AT80, ISNUMBER($C80:AT80)))),
lastVal + 'K dynamique'!AT80 * ((SQRT('Résultats des tournois'!AT$2 + 1)/'Résultats des tournois'!AT80) - (1 / (1 + 10^((AT$103 - lastVal)/400)))))
)
))"),"")</f>
        <v/>
      </c>
      <c r="AV80" s="32" t="str">
        <f>IFERROR(__xludf.DUMMYFUNCTION("IF('Résultats des tournois'!AU$2=0,"""",LET(
lastVal, INDEX(FILTER($B80:AU80, ISNUMBER($B80:AU80)), COUNTA(FILTER($B80:AU80, ISNUMBER($B80:AU80)))),
IFERROR(
IF('Résultats des tournois'!AU80="""", INDEX(FILTER($C80:AU80, ISNUMBER($C80:AU80)), COUNTA(FILTE"&amp;"R($C80:AU80, ISNUMBER($C80:AU80)))),
lastVal + 'K dynamique'!AU80 * ((SQRT('Résultats des tournois'!AU$2 + 1)/'Résultats des tournois'!AU80) - (1 / (1 + 10^((AU$103 - lastVal)/400)))))
)
))"),"")</f>
        <v/>
      </c>
      <c r="AW80" s="32" t="str">
        <f>IFERROR(__xludf.DUMMYFUNCTION("IF('Résultats des tournois'!AV$2=0,"""",LET(
lastVal, INDEX(FILTER($B80:AV80, ISNUMBER($B80:AV80)), COUNTA(FILTER($B80:AV80, ISNUMBER($B80:AV80)))),
IFERROR(
IF('Résultats des tournois'!AV80="""", INDEX(FILTER($C80:AV80, ISNUMBER($C80:AV80)), COUNTA(FILTE"&amp;"R($C80:AV80, ISNUMBER($C80:AV80)))),
lastVal + 'K dynamique'!AV80 * ((SQRT('Résultats des tournois'!AV$2 + 1)/'Résultats des tournois'!AV80) - (1 / (1 + 10^((AV$103 - lastVal)/400)))))
)
))"),"")</f>
        <v/>
      </c>
      <c r="AX80" s="32" t="str">
        <f>IFERROR(__xludf.DUMMYFUNCTION("IF('Résultats des tournois'!AW$2=0,"""",LET(
lastVal, INDEX(FILTER($B80:AW80, ISNUMBER($B80:AW80)), COUNTA(FILTER($B80:AW80, ISNUMBER($B80:AW80)))),
IFERROR(
IF('Résultats des tournois'!AW80="""", INDEX(FILTER($C80:AW80, ISNUMBER($C80:AW80)), COUNTA(FILTE"&amp;"R($C80:AW80, ISNUMBER($C80:AW80)))),
lastVal + 'K dynamique'!AW80 * ((SQRT('Résultats des tournois'!AW$2 + 1)/'Résultats des tournois'!AW80) - (1 / (1 + 10^((AW$103 - lastVal)/400)))))
)
))"),"")</f>
        <v/>
      </c>
      <c r="AY80" s="32" t="str">
        <f>IFERROR(__xludf.DUMMYFUNCTION("IF('Résultats des tournois'!AX$2=0,"""",LET(
lastVal, INDEX(FILTER($B80:AX80, ISNUMBER($B80:AX80)), COUNTA(FILTER($B80:AX80, ISNUMBER($B80:AX80)))),
IFERROR(
IF('Résultats des tournois'!AX80="""", INDEX(FILTER($C80:AX80, ISNUMBER($C80:AX80)), COUNTA(FILTE"&amp;"R($C80:AX80, ISNUMBER($C80:AX80)))),
lastVal + 'K dynamique'!AX80 * ((SQRT('Résultats des tournois'!AX$2 + 1)/'Résultats des tournois'!AX80) - (1 / (1 + 10^((AX$103 - lastVal)/400)))))
)
))"),"")</f>
        <v/>
      </c>
      <c r="AZ80" s="4" t="str">
        <f t="array" ref="AZ80">IF(MAX(($C80:AY80&lt;&gt;"")*COLUMN($C80:AY80))=0,"",INDEX($C80:AY80,1,MAX(($C80:AY80&lt;&gt;"")*COLUMN($C80:AY80))-COLUMN($C80)+1))</f>
        <v/>
      </c>
      <c r="BA80" s="33" t="str">
        <f t="shared" si="1"/>
        <v/>
      </c>
    </row>
    <row r="81" ht="14.25" customHeight="1">
      <c r="A81" s="32" t="str">
        <f>IF('Résultats des tournois'!A81="","",'Résultats des tournois'!A81)</f>
        <v/>
      </c>
      <c r="B81" s="32">
        <v>1500.0</v>
      </c>
      <c r="C81" s="32" t="str">
        <f>IF('Résultats des tournois'!B81="","",B81+'K dynamique'!B81*((SQRT('Résultats des tournois'!B$2+1)/'Résultats des tournois'!B81)-(1/(1+10^((B81-B81)/400)))))</f>
        <v/>
      </c>
      <c r="D81" s="32" t="str">
        <f>IFERROR(__xludf.DUMMYFUNCTION("IF('Résultats des tournois'!C$2=0,"""",LET(
lastVal, INDEX(FILTER($B81:C81, ISNUMBER($B81:C81)), COUNTA(FILTER($B81:C81, ISNUMBER($B81:C81)))),
IFERROR(
IF('Résultats des tournois'!C81="""", INDEX(FILTER($C81:C81, ISNUMBER($C81:C81)), COUNTA(FILTER($C81:C"&amp;"81, ISNUMBER($C81:C81)))),
lastVal + 'K dynamique'!C81 * ((SQRT('Résultats des tournois'!C$2 + 1)/'Résultats des tournois'!C81) - (1 / (1 + 10^((C$103 - lastVal)/400)))))
)
))"),"")</f>
        <v/>
      </c>
      <c r="E81" s="32" t="str">
        <f>IFERROR(__xludf.DUMMYFUNCTION("IF('Résultats des tournois'!D$2=0,"""",LET(
lastVal, INDEX(FILTER($B81:D81, ISNUMBER($B81:D81)), COUNTA(FILTER($B81:D81, ISNUMBER($B81:D81)))),
IFERROR(
IF('Résultats des tournois'!D81="""", INDEX(FILTER($C81:D81, ISNUMBER($C81:D81)), COUNTA(FILTER($C81:D"&amp;"81, ISNUMBER($C81:D81)))),
lastVal + 'K dynamique'!D81 * ((SQRT('Résultats des tournois'!D$2 + 1)/'Résultats des tournois'!D81) - (1 / (1 + 10^((D$103 - lastVal)/400)))))
)
))"),"")</f>
        <v/>
      </c>
      <c r="F81" s="32" t="str">
        <f>IFERROR(__xludf.DUMMYFUNCTION("IF('Résultats des tournois'!E$2=0,"""",LET(
lastVal, INDEX(FILTER($B81:E81, ISNUMBER($B81:E81)), COUNTA(FILTER($B81:E81, ISNUMBER($B81:E81)))),
IFERROR(
IF('Résultats des tournois'!E81="""", INDEX(FILTER($C81:E81, ISNUMBER($C81:E81)), COUNTA(FILTER($C81:E"&amp;"81, ISNUMBER($C81:E81)))),
lastVal + 'K dynamique'!E81 * ((SQRT('Résultats des tournois'!E$2 + 1)/'Résultats des tournois'!E81) - (1 / (1 + 10^((E$103 - lastVal)/400)))))
)
))"),"")</f>
        <v/>
      </c>
      <c r="G81" s="32" t="str">
        <f>IFERROR(__xludf.DUMMYFUNCTION("IF('Résultats des tournois'!F$2=0,"""",LET(
lastVal, INDEX(FILTER($B81:F81, ISNUMBER($B81:F81)), COUNTA(FILTER($B81:F81, ISNUMBER($B81:F81)))),
IFERROR(
IF('Résultats des tournois'!F81="""", INDEX(FILTER($C81:F81, ISNUMBER($C81:F81)), COUNTA(FILTER($C81:F"&amp;"81, ISNUMBER($C81:F81)))),
lastVal + 'K dynamique'!F81 * ((SQRT('Résultats des tournois'!F$2 + 1)/'Résultats des tournois'!F81) - (1 / (1 + 10^((F$103 - lastVal)/400)))))
)
))"),"")</f>
        <v/>
      </c>
      <c r="H81" s="32" t="str">
        <f>IFERROR(__xludf.DUMMYFUNCTION("IF('Résultats des tournois'!G$2=0,"""",LET(
lastVal, INDEX(FILTER($B81:G81, ISNUMBER($B81:G81)), COUNTA(FILTER($B81:G81, ISNUMBER($B81:G81)))),
IFERROR(
IF('Résultats des tournois'!G81="""", INDEX(FILTER($C81:G81, ISNUMBER($C81:G81)), COUNTA(FILTER($C81:G"&amp;"81, ISNUMBER($C81:G81)))),
lastVal + 'K dynamique'!G81 * ((SQRT('Résultats des tournois'!G$2 + 1)/'Résultats des tournois'!G81) - (1 / (1 + 10^((G$103 - lastVal)/400)))))
)
))"),"")</f>
        <v/>
      </c>
      <c r="I81" s="32" t="str">
        <f>IFERROR(__xludf.DUMMYFUNCTION("IF('Résultats des tournois'!H$2=0,"""",LET(
lastVal, INDEX(FILTER($B81:H81, ISNUMBER($B81:H81)), COUNTA(FILTER($B81:H81, ISNUMBER($B81:H81)))),
IFERROR(
IF('Résultats des tournois'!H81="""", INDEX(FILTER($C81:H81, ISNUMBER($C81:H81)), COUNTA(FILTER($C81:H"&amp;"81, ISNUMBER($C81:H81)))),
lastVal + 'K dynamique'!H81 * ((SQRT('Résultats des tournois'!H$2 + 1)/'Résultats des tournois'!H81) - (1 / (1 + 10^((H$103 - lastVal)/400)))))
)
))"),"")</f>
        <v/>
      </c>
      <c r="J81" s="32" t="str">
        <f>IFERROR(__xludf.DUMMYFUNCTION("IF('Résultats des tournois'!I$2=0,"""",LET(
lastVal, INDEX(FILTER($B81:I81, ISNUMBER($B81:I81)), COUNTA(FILTER($B81:I81, ISNUMBER($B81:I81)))),
IFERROR(
IF('Résultats des tournois'!I81="""", INDEX(FILTER($C81:I81, ISNUMBER($C81:I81)), COUNTA(FILTER($C81:I"&amp;"81, ISNUMBER($C81:I81)))),
lastVal + 'K dynamique'!I81 * ((SQRT('Résultats des tournois'!I$2 + 1)/'Résultats des tournois'!I81) - (1 / (1 + 10^((I$103 - lastVal)/400)))))
)
))"),"")</f>
        <v/>
      </c>
      <c r="K81" s="32" t="str">
        <f>IFERROR(__xludf.DUMMYFUNCTION("IF('Résultats des tournois'!J$2=0,"""",LET(
lastVal, INDEX(FILTER($B81:J81, ISNUMBER($B81:J81)), COUNTA(FILTER($B81:J81, ISNUMBER($B81:J81)))),
IFERROR(
IF('Résultats des tournois'!J81="""", INDEX(FILTER($C81:J81, ISNUMBER($C81:J81)), COUNTA(FILTER($C81:J"&amp;"81, ISNUMBER($C81:J81)))),
lastVal + 'K dynamique'!J81 * ((SQRT('Résultats des tournois'!J$2 + 1)/'Résultats des tournois'!J81) - (1 / (1 + 10^((J$103 - lastVal)/400)))))
)
))"),"")</f>
        <v/>
      </c>
      <c r="L81" s="32" t="str">
        <f>IFERROR(__xludf.DUMMYFUNCTION("IF('Résultats des tournois'!K$2=0,"""",LET(
lastVal, INDEX(FILTER($B81:K81, ISNUMBER($B81:K81)), COUNTA(FILTER($B81:K81, ISNUMBER($B81:K81)))),
IFERROR(
IF('Résultats des tournois'!K81="""", INDEX(FILTER($C81:K81, ISNUMBER($C81:K81)), COUNTA(FILTER($C81:K"&amp;"81, ISNUMBER($C81:K81)))),
lastVal + 'K dynamique'!K81 * ((SQRT('Résultats des tournois'!K$2 + 1)/'Résultats des tournois'!K81) - (1 / (1 + 10^((K$103 - lastVal)/400)))))
)
))"),"")</f>
        <v/>
      </c>
      <c r="M81" s="32" t="str">
        <f>IFERROR(__xludf.DUMMYFUNCTION("IF('Résultats des tournois'!L$2=0,"""",LET(
lastVal, INDEX(FILTER($B81:L81, ISNUMBER($B81:L81)), COUNTA(FILTER($B81:L81, ISNUMBER($B81:L81)))),
IFERROR(
IF('Résultats des tournois'!L81="""", INDEX(FILTER($C81:L81, ISNUMBER($C81:L81)), COUNTA(FILTER($C81:L"&amp;"81, ISNUMBER($C81:L81)))),
lastVal + 'K dynamique'!L81 * ((SQRT('Résultats des tournois'!L$2 + 1)/'Résultats des tournois'!L81) - (1 / (1 + 10^((L$103 - lastVal)/400)))))
)
))"),"")</f>
        <v/>
      </c>
      <c r="N81" s="32" t="str">
        <f>IFERROR(__xludf.DUMMYFUNCTION("IF('Résultats des tournois'!M$2=0,"""",LET(
lastVal, INDEX(FILTER($B81:M81, ISNUMBER($B81:M81)), COUNTA(FILTER($B81:M81, ISNUMBER($B81:M81)))),
IFERROR(
IF('Résultats des tournois'!M81="""", INDEX(FILTER($C81:M81, ISNUMBER($C81:M81)), COUNTA(FILTER($C81:M"&amp;"81, ISNUMBER($C81:M81)))),
lastVal + 'K dynamique'!M81 * ((SQRT('Résultats des tournois'!M$2 + 1)/'Résultats des tournois'!M81) - (1 / (1 + 10^((M$103 - lastVal)/400)))))
)
))"),"")</f>
        <v/>
      </c>
      <c r="O81" s="32" t="str">
        <f>IFERROR(__xludf.DUMMYFUNCTION("IF('Résultats des tournois'!N$2=0,"""",LET(
lastVal, INDEX(FILTER($B81:N81, ISNUMBER($B81:N81)), COUNTA(FILTER($B81:N81, ISNUMBER($B81:N81)))),
IFERROR(
IF('Résultats des tournois'!N81="""", INDEX(FILTER($C81:N81, ISNUMBER($C81:N81)), COUNTA(FILTER($C81:N"&amp;"81, ISNUMBER($C81:N81)))),
lastVal + 'K dynamique'!N81 * ((SQRT('Résultats des tournois'!N$2 + 1)/'Résultats des tournois'!N81) - (1 / (1 + 10^((N$103 - lastVal)/400)))))
)
))"),"")</f>
        <v/>
      </c>
      <c r="P81" s="32" t="str">
        <f>IFERROR(__xludf.DUMMYFUNCTION("IF('Résultats des tournois'!O$2=0,"""",LET(
lastVal, INDEX(FILTER($B81:O81, ISNUMBER($B81:O81)), COUNTA(FILTER($B81:O81, ISNUMBER($B81:O81)))),
IFERROR(
IF('Résultats des tournois'!O81="""", INDEX(FILTER($C81:O81, ISNUMBER($C81:O81)), COUNTA(FILTER($C81:O"&amp;"81, ISNUMBER($C81:O81)))),
lastVal + 'K dynamique'!O81 * ((SQRT('Résultats des tournois'!O$2 + 1)/'Résultats des tournois'!O81) - (1 / (1 + 10^((O$103 - lastVal)/400)))))
)
))"),"")</f>
        <v/>
      </c>
      <c r="Q81" s="32" t="str">
        <f>IFERROR(__xludf.DUMMYFUNCTION("IF('Résultats des tournois'!P$2=0,"""",LET(
lastVal, INDEX(FILTER($B81:P81, ISNUMBER($B81:P81)), COUNTA(FILTER($B81:P81, ISNUMBER($B81:P81)))),
IFERROR(
IF('Résultats des tournois'!P81="""", INDEX(FILTER($C81:P81, ISNUMBER($C81:P81)), COUNTA(FILTER($C81:P"&amp;"81, ISNUMBER($C81:P81)))),
lastVal + 'K dynamique'!P81 * ((SQRT('Résultats des tournois'!P$2 + 1)/'Résultats des tournois'!P81) - (1 / (1 + 10^((P$103 - lastVal)/400)))))
)
))"),"")</f>
        <v/>
      </c>
      <c r="R81" s="32" t="str">
        <f>IFERROR(__xludf.DUMMYFUNCTION("IF('Résultats des tournois'!Q$2=0,"""",LET(
lastVal, INDEX(FILTER($B81:Q81, ISNUMBER($B81:Q81)), COUNTA(FILTER($B81:Q81, ISNUMBER($B81:Q81)))),
IFERROR(
IF('Résultats des tournois'!Q81="""", INDEX(FILTER($C81:Q81, ISNUMBER($C81:Q81)), COUNTA(FILTER($C81:Q"&amp;"81, ISNUMBER($C81:Q81)))),
lastVal + 'K dynamique'!Q81 * ((SQRT('Résultats des tournois'!Q$2 + 1)/'Résultats des tournois'!Q81) - (1 / (1 + 10^((Q$103 - lastVal)/400)))))
)
))"),"")</f>
        <v/>
      </c>
      <c r="S81" s="32" t="str">
        <f>IFERROR(__xludf.DUMMYFUNCTION("IF('Résultats des tournois'!R$2=0,"""",LET(
lastVal, INDEX(FILTER($B81:R81, ISNUMBER($B81:R81)), COUNTA(FILTER($B81:R81, ISNUMBER($B81:R81)))),
IFERROR(
IF('Résultats des tournois'!R81="""", INDEX(FILTER($C81:R81, ISNUMBER($C81:R81)), COUNTA(FILTER($C81:R"&amp;"81, ISNUMBER($C81:R81)))),
lastVal + 'K dynamique'!R81 * ((SQRT('Résultats des tournois'!R$2 + 1)/'Résultats des tournois'!R81) - (1 / (1 + 10^((R$103 - lastVal)/400)))))
)
))"),"")</f>
        <v/>
      </c>
      <c r="T81" s="32" t="str">
        <f>IFERROR(__xludf.DUMMYFUNCTION("IF('Résultats des tournois'!S$2=0,"""",LET(
lastVal, INDEX(FILTER($B81:S81, ISNUMBER($B81:S81)), COUNTA(FILTER($B81:S81, ISNUMBER($B81:S81)))),
IFERROR(
IF('Résultats des tournois'!S81="""", INDEX(FILTER($C81:S81, ISNUMBER($C81:S81)), COUNTA(FILTER($C81:S"&amp;"81, ISNUMBER($C81:S81)))),
lastVal + 'K dynamique'!S81 * ((SQRT('Résultats des tournois'!S$2 + 1)/'Résultats des tournois'!S81) - (1 / (1 + 10^((S$103 - lastVal)/400)))))
)
))"),"")</f>
        <v/>
      </c>
      <c r="U81" s="32" t="str">
        <f>IFERROR(__xludf.DUMMYFUNCTION("IF('Résultats des tournois'!T$2=0,"""",LET(
lastVal, INDEX(FILTER($B81:T81, ISNUMBER($B81:T81)), COUNTA(FILTER($B81:T81, ISNUMBER($B81:T81)))),
IFERROR(
IF('Résultats des tournois'!T81="""", INDEX(FILTER($C81:T81, ISNUMBER($C81:T81)), COUNTA(FILTER($C81:T"&amp;"81, ISNUMBER($C81:T81)))),
lastVal + 'K dynamique'!T81 * ((SQRT('Résultats des tournois'!T$2 + 1)/'Résultats des tournois'!T81) - (1 / (1 + 10^((T$103 - lastVal)/400)))))
)
))"),"")</f>
        <v/>
      </c>
      <c r="V81" s="32" t="str">
        <f>IFERROR(__xludf.DUMMYFUNCTION("IF('Résultats des tournois'!U$2=0,"""",LET(
lastVal, INDEX(FILTER($B81:U81, ISNUMBER($B81:U81)), COUNTA(FILTER($B81:U81, ISNUMBER($B81:U81)))),
IFERROR(
IF('Résultats des tournois'!U81="""", INDEX(FILTER($C81:U81, ISNUMBER($C81:U81)), COUNTA(FILTER($C81:U"&amp;"81, ISNUMBER($C81:U81)))),
lastVal + 'K dynamique'!U81 * ((SQRT('Résultats des tournois'!U$2 + 1)/'Résultats des tournois'!U81) - (1 / (1 + 10^((U$103 - lastVal)/400)))))
)
))"),"")</f>
        <v/>
      </c>
      <c r="W81" s="32" t="str">
        <f>IFERROR(__xludf.DUMMYFUNCTION("IF('Résultats des tournois'!V$2=0,"""",LET(
lastVal, INDEX(FILTER($B81:V81, ISNUMBER($B81:V81)), COUNTA(FILTER($B81:V81, ISNUMBER($B81:V81)))),
IFERROR(
IF('Résultats des tournois'!V81="""", INDEX(FILTER($C81:V81, ISNUMBER($C81:V81)), COUNTA(FILTER($C81:V"&amp;"81, ISNUMBER($C81:V81)))),
lastVal + 'K dynamique'!V81 * ((SQRT('Résultats des tournois'!V$2 + 1)/'Résultats des tournois'!V81) - (1 / (1 + 10^((V$103 - lastVal)/400)))))
)
))"),"")</f>
        <v/>
      </c>
      <c r="X81" s="32" t="str">
        <f>IFERROR(__xludf.DUMMYFUNCTION("IF('Résultats des tournois'!W$2=0,"""",LET(
lastVal, INDEX(FILTER($B81:W81, ISNUMBER($B81:W81)), COUNTA(FILTER($B81:W81, ISNUMBER($B81:W81)))),
IFERROR(
IF('Résultats des tournois'!W81="""", INDEX(FILTER($C81:W81, ISNUMBER($C81:W81)), COUNTA(FILTER($C81:W"&amp;"81, ISNUMBER($C81:W81)))),
lastVal + 'K dynamique'!W81 * ((SQRT('Résultats des tournois'!W$2 + 1)/'Résultats des tournois'!W81) - (1 / (1 + 10^((W$103 - lastVal)/400)))))
)
))"),"")</f>
        <v/>
      </c>
      <c r="Y81" s="32" t="str">
        <f>IFERROR(__xludf.DUMMYFUNCTION("IF('Résultats des tournois'!X$2=0,"""",LET(
lastVal, INDEX(FILTER($B81:X81, ISNUMBER($B81:X81)), COUNTA(FILTER($B81:X81, ISNUMBER($B81:X81)))),
IFERROR(
IF('Résultats des tournois'!X81="""", INDEX(FILTER($C81:X81, ISNUMBER($C81:X81)), COUNTA(FILTER($C81:X"&amp;"81, ISNUMBER($C81:X81)))),
lastVal + 'K dynamique'!X81 * ((SQRT('Résultats des tournois'!X$2 + 1)/'Résultats des tournois'!X81) - (1 / (1 + 10^((X$103 - lastVal)/400)))))
)
))"),"")</f>
        <v/>
      </c>
      <c r="Z81" s="32" t="str">
        <f>IFERROR(__xludf.DUMMYFUNCTION("IF('Résultats des tournois'!Y$2=0,"""",LET(
lastVal, INDEX(FILTER($B81:Y81, ISNUMBER($B81:Y81)), COUNTA(FILTER($B81:Y81, ISNUMBER($B81:Y81)))),
IFERROR(
IF('Résultats des tournois'!Y81="""", INDEX(FILTER($C81:Y81, ISNUMBER($C81:Y81)), COUNTA(FILTER($C81:Y"&amp;"81, ISNUMBER($C81:Y81)))),
lastVal + 'K dynamique'!Y81 * ((SQRT('Résultats des tournois'!Y$2 + 1)/'Résultats des tournois'!Y81) - (1 / (1 + 10^((Y$103 - lastVal)/400)))))
)
))"),"")</f>
        <v/>
      </c>
      <c r="AA81" s="32" t="str">
        <f>IFERROR(__xludf.DUMMYFUNCTION("IF('Résultats des tournois'!Z$2=0,"""",LET(
lastVal, INDEX(FILTER($B81:Z81, ISNUMBER($B81:Z81)), COUNTA(FILTER($B81:Z81, ISNUMBER($B81:Z81)))),
IFERROR(
IF('Résultats des tournois'!Z81="""", INDEX(FILTER($C81:Z81, ISNUMBER($C81:Z81)), COUNTA(FILTER($C81:Z"&amp;"81, ISNUMBER($C81:Z81)))),
lastVal + 'K dynamique'!Z81 * ((SQRT('Résultats des tournois'!Z$2 + 1)/'Résultats des tournois'!Z81) - (1 / (1 + 10^((Z$103 - lastVal)/400)))))
)
))"),"")</f>
        <v/>
      </c>
      <c r="AB81" s="32" t="str">
        <f>IFERROR(__xludf.DUMMYFUNCTION("IF('Résultats des tournois'!AA$2=0,"""",LET(
lastVal, INDEX(FILTER($B81:AA81, ISNUMBER($B81:AA81)), COUNTA(FILTER($B81:AA81, ISNUMBER($B81:AA81)))),
IFERROR(
IF('Résultats des tournois'!AA81="""", INDEX(FILTER($C81:AA81, ISNUMBER($C81:AA81)), COUNTA(FILTE"&amp;"R($C81:AA81, ISNUMBER($C81:AA81)))),
lastVal + 'K dynamique'!AA81 * ((SQRT('Résultats des tournois'!AA$2 + 1)/'Résultats des tournois'!AA81) - (1 / (1 + 10^((AA$103 - lastVal)/400)))))
)
))"),"")</f>
        <v/>
      </c>
      <c r="AC81" s="32" t="str">
        <f>IFERROR(__xludf.DUMMYFUNCTION("IF('Résultats des tournois'!AB$2=0,"""",LET(
lastVal, INDEX(FILTER($B81:AB81, ISNUMBER($B81:AB81)), COUNTA(FILTER($B81:AB81, ISNUMBER($B81:AB81)))),
IFERROR(
IF('Résultats des tournois'!AB81="""", INDEX(FILTER($C81:AB81, ISNUMBER($C81:AB81)), COUNTA(FILTE"&amp;"R($C81:AB81, ISNUMBER($C81:AB81)))),
lastVal + 'K dynamique'!AB81 * ((SQRT('Résultats des tournois'!AB$2 + 1)/'Résultats des tournois'!AB81) - (1 / (1 + 10^((AB$103 - lastVal)/400)))))
)
))"),"")</f>
        <v/>
      </c>
      <c r="AD81" s="32" t="str">
        <f>IFERROR(__xludf.DUMMYFUNCTION("IF('Résultats des tournois'!AC$2=0,"""",LET(
lastVal, INDEX(FILTER($B81:AC81, ISNUMBER($B81:AC81)), COUNTA(FILTER($B81:AC81, ISNUMBER($B81:AC81)))),
IFERROR(
IF('Résultats des tournois'!AC81="""", INDEX(FILTER($C81:AC81, ISNUMBER($C81:AC81)), COUNTA(FILTE"&amp;"R($C81:AC81, ISNUMBER($C81:AC81)))),
lastVal + 'K dynamique'!AC81 * ((SQRT('Résultats des tournois'!AC$2 + 1)/'Résultats des tournois'!AC81) - (1 / (1 + 10^((AC$103 - lastVal)/400)))))
)
))"),"")</f>
        <v/>
      </c>
      <c r="AE81" s="32" t="str">
        <f>IFERROR(__xludf.DUMMYFUNCTION("IF('Résultats des tournois'!AD$2=0,"""",LET(
lastVal, INDEX(FILTER($B81:AD81, ISNUMBER($B81:AD81)), COUNTA(FILTER($B81:AD81, ISNUMBER($B81:AD81)))),
IFERROR(
IF('Résultats des tournois'!AD81="""", INDEX(FILTER($C81:AD81, ISNUMBER($C81:AD81)), COUNTA(FILTE"&amp;"R($C81:AD81, ISNUMBER($C81:AD81)))),
lastVal + 'K dynamique'!AD81 * ((SQRT('Résultats des tournois'!AD$2 + 1)/'Résultats des tournois'!AD81) - (1 / (1 + 10^((AD$103 - lastVal)/400)))))
)
))"),"")</f>
        <v/>
      </c>
      <c r="AF81" s="32" t="str">
        <f>IFERROR(__xludf.DUMMYFUNCTION("IF('Résultats des tournois'!AE$2=0,"""",LET(
lastVal, INDEX(FILTER($B81:AE81, ISNUMBER($B81:AE81)), COUNTA(FILTER($B81:AE81, ISNUMBER($B81:AE81)))),
IFERROR(
IF('Résultats des tournois'!AE81="""", INDEX(FILTER($C81:AE81, ISNUMBER($C81:AE81)), COUNTA(FILTE"&amp;"R($C81:AE81, ISNUMBER($C81:AE81)))),
lastVal + 'K dynamique'!AE81 * ((SQRT('Résultats des tournois'!AE$2 + 1)/'Résultats des tournois'!AE81) - (1 / (1 + 10^((AE$103 - lastVal)/400)))))
)
))"),"")</f>
        <v/>
      </c>
      <c r="AG81" s="32" t="str">
        <f>IFERROR(__xludf.DUMMYFUNCTION("IF('Résultats des tournois'!AF$2=0,"""",LET(
lastVal, INDEX(FILTER($B81:AF81, ISNUMBER($B81:AF81)), COUNTA(FILTER($B81:AF81, ISNUMBER($B81:AF81)))),
IFERROR(
IF('Résultats des tournois'!AF81="""", INDEX(FILTER($C81:AF81, ISNUMBER($C81:AF81)), COUNTA(FILTE"&amp;"R($C81:AF81, ISNUMBER($C81:AF81)))),
lastVal + 'K dynamique'!AF81 * ((SQRT('Résultats des tournois'!AF$2 + 1)/'Résultats des tournois'!AF81) - (1 / (1 + 10^((AF$103 - lastVal)/400)))))
)
))"),"")</f>
        <v/>
      </c>
      <c r="AH81" s="32" t="str">
        <f>IFERROR(__xludf.DUMMYFUNCTION("IF('Résultats des tournois'!AG$2=0,"""",LET(
lastVal, INDEX(FILTER($B81:AG81, ISNUMBER($B81:AG81)), COUNTA(FILTER($B81:AG81, ISNUMBER($B81:AG81)))),
IFERROR(
IF('Résultats des tournois'!AG81="""", INDEX(FILTER($C81:AG81, ISNUMBER($C81:AG81)), COUNTA(FILTE"&amp;"R($C81:AG81, ISNUMBER($C81:AG81)))),
lastVal + 'K dynamique'!AG81 * ((SQRT('Résultats des tournois'!AG$2 + 1)/'Résultats des tournois'!AG81) - (1 / (1 + 10^((AG$103 - lastVal)/400)))))
)
))"),"")</f>
        <v/>
      </c>
      <c r="AI81" s="32" t="str">
        <f>IFERROR(__xludf.DUMMYFUNCTION("IF('Résultats des tournois'!AH$2=0,"""",LET(
lastVal, INDEX(FILTER($B81:AH81, ISNUMBER($B81:AH81)), COUNTA(FILTER($B81:AH81, ISNUMBER($B81:AH81)))),
IFERROR(
IF('Résultats des tournois'!AH81="""", INDEX(FILTER($C81:AH81, ISNUMBER($C81:AH81)), COUNTA(FILTE"&amp;"R($C81:AH81, ISNUMBER($C81:AH81)))),
lastVal + 'K dynamique'!AH81 * ((SQRT('Résultats des tournois'!AH$2 + 1)/'Résultats des tournois'!AH81) - (1 / (1 + 10^((AH$103 - lastVal)/400)))))
)
))"),"")</f>
        <v/>
      </c>
      <c r="AJ81" s="32" t="str">
        <f>IFERROR(__xludf.DUMMYFUNCTION("IF('Résultats des tournois'!AI$2=0,"""",LET(
lastVal, INDEX(FILTER($B81:AI81, ISNUMBER($B81:AI81)), COUNTA(FILTER($B81:AI81, ISNUMBER($B81:AI81)))),
IFERROR(
IF('Résultats des tournois'!AI81="""", INDEX(FILTER($C81:AI81, ISNUMBER($C81:AI81)), COUNTA(FILTE"&amp;"R($C81:AI81, ISNUMBER($C81:AI81)))),
lastVal + 'K dynamique'!AI81 * ((SQRT('Résultats des tournois'!AI$2 + 1)/'Résultats des tournois'!AI81) - (1 / (1 + 10^((AI$103 - lastVal)/400)))))
)
))"),"")</f>
        <v/>
      </c>
      <c r="AK81" s="32" t="str">
        <f>IFERROR(__xludf.DUMMYFUNCTION("IF('Résultats des tournois'!AJ$2=0,"""",LET(
lastVal, INDEX(FILTER($B81:AJ81, ISNUMBER($B81:AJ81)), COUNTA(FILTER($B81:AJ81, ISNUMBER($B81:AJ81)))),
IFERROR(
IF('Résultats des tournois'!AJ81="""", INDEX(FILTER($C81:AJ81, ISNUMBER($C81:AJ81)), COUNTA(FILTE"&amp;"R($C81:AJ81, ISNUMBER($C81:AJ81)))),
lastVal + 'K dynamique'!AJ81 * ((SQRT('Résultats des tournois'!AJ$2 + 1)/'Résultats des tournois'!AJ81) - (1 / (1 + 10^((AJ$103 - lastVal)/400)))))
)
))"),"")</f>
        <v/>
      </c>
      <c r="AL81" s="32" t="str">
        <f>IFERROR(__xludf.DUMMYFUNCTION("IF('Résultats des tournois'!AK$2=0,"""",LET(
lastVal, INDEX(FILTER($B81:AK81, ISNUMBER($B81:AK81)), COUNTA(FILTER($B81:AK81, ISNUMBER($B81:AK81)))),
IFERROR(
IF('Résultats des tournois'!AK81="""", INDEX(FILTER($C81:AK81, ISNUMBER($C81:AK81)), COUNTA(FILTE"&amp;"R($C81:AK81, ISNUMBER($C81:AK81)))),
lastVal + 'K dynamique'!AK81 * ((SQRT('Résultats des tournois'!AK$2 + 1)/'Résultats des tournois'!AK81) - (1 / (1 + 10^((AK$103 - lastVal)/400)))))
)
))"),"")</f>
        <v/>
      </c>
      <c r="AM81" s="32" t="str">
        <f>IFERROR(__xludf.DUMMYFUNCTION("IF('Résultats des tournois'!AL$2=0,"""",LET(
lastVal, INDEX(FILTER($B81:AL81, ISNUMBER($B81:AL81)), COUNTA(FILTER($B81:AL81, ISNUMBER($B81:AL81)))),
IFERROR(
IF('Résultats des tournois'!AL81="""", INDEX(FILTER($C81:AL81, ISNUMBER($C81:AL81)), COUNTA(FILTE"&amp;"R($C81:AL81, ISNUMBER($C81:AL81)))),
lastVal + 'K dynamique'!AL81 * ((SQRT('Résultats des tournois'!AL$2 + 1)/'Résultats des tournois'!AL81) - (1 / (1 + 10^((AL$103 - lastVal)/400)))))
)
))"),"")</f>
        <v/>
      </c>
      <c r="AN81" s="32" t="str">
        <f>IFERROR(__xludf.DUMMYFUNCTION("IF('Résultats des tournois'!AM$2=0,"""",LET(
lastVal, INDEX(FILTER($B81:AM81, ISNUMBER($B81:AM81)), COUNTA(FILTER($B81:AM81, ISNUMBER($B81:AM81)))),
IFERROR(
IF('Résultats des tournois'!AM81="""", INDEX(FILTER($C81:AM81, ISNUMBER($C81:AM81)), COUNTA(FILTE"&amp;"R($C81:AM81, ISNUMBER($C81:AM81)))),
lastVal + 'K dynamique'!AM81 * ((SQRT('Résultats des tournois'!AM$2 + 1)/'Résultats des tournois'!AM81) - (1 / (1 + 10^((AM$103 - lastVal)/400)))))
)
))"),"")</f>
        <v/>
      </c>
      <c r="AO81" s="32" t="str">
        <f>IFERROR(__xludf.DUMMYFUNCTION("IF('Résultats des tournois'!AN$2=0,"""",LET(
lastVal, INDEX(FILTER($B81:AN81, ISNUMBER($B81:AN81)), COUNTA(FILTER($B81:AN81, ISNUMBER($B81:AN81)))),
IFERROR(
IF('Résultats des tournois'!AN81="""", INDEX(FILTER($C81:AN81, ISNUMBER($C81:AN81)), COUNTA(FILTE"&amp;"R($C81:AN81, ISNUMBER($C81:AN81)))),
lastVal + 'K dynamique'!AN81 * ((SQRT('Résultats des tournois'!AN$2 + 1)/'Résultats des tournois'!AN81) - (1 / (1 + 10^((AN$103 - lastVal)/400)))))
)
))"),"")</f>
        <v/>
      </c>
      <c r="AP81" s="32" t="str">
        <f>IFERROR(__xludf.DUMMYFUNCTION("IF('Résultats des tournois'!AO$2=0,"""",LET(
lastVal, INDEX(FILTER($B81:AO81, ISNUMBER($B81:AO81)), COUNTA(FILTER($B81:AO81, ISNUMBER($B81:AO81)))),
IFERROR(
IF('Résultats des tournois'!AO81="""", INDEX(FILTER($C81:AO81, ISNUMBER($C81:AO81)), COUNTA(FILTE"&amp;"R($C81:AO81, ISNUMBER($C81:AO81)))),
lastVal + 'K dynamique'!AO81 * ((SQRT('Résultats des tournois'!AO$2 + 1)/'Résultats des tournois'!AO81) - (1 / (1 + 10^((AO$103 - lastVal)/400)))))
)
))"),"")</f>
        <v/>
      </c>
      <c r="AQ81" s="32" t="str">
        <f>IFERROR(__xludf.DUMMYFUNCTION("IF('Résultats des tournois'!AP$2=0,"""",LET(
lastVal, INDEX(FILTER($B81:AP81, ISNUMBER($B81:AP81)), COUNTA(FILTER($B81:AP81, ISNUMBER($B81:AP81)))),
IFERROR(
IF('Résultats des tournois'!AP81="""", INDEX(FILTER($C81:AP81, ISNUMBER($C81:AP81)), COUNTA(FILTE"&amp;"R($C81:AP81, ISNUMBER($C81:AP81)))),
lastVal + 'K dynamique'!AP81 * ((SQRT('Résultats des tournois'!AP$2 + 1)/'Résultats des tournois'!AP81) - (1 / (1 + 10^((AP$103 - lastVal)/400)))))
)
))"),"")</f>
        <v/>
      </c>
      <c r="AR81" s="32" t="str">
        <f>IFERROR(__xludf.DUMMYFUNCTION("IF('Résultats des tournois'!AQ$2=0,"""",LET(
lastVal, INDEX(FILTER($B81:AQ81, ISNUMBER($B81:AQ81)), COUNTA(FILTER($B81:AQ81, ISNUMBER($B81:AQ81)))),
IFERROR(
IF('Résultats des tournois'!AQ81="""", INDEX(FILTER($C81:AQ81, ISNUMBER($C81:AQ81)), COUNTA(FILTE"&amp;"R($C81:AQ81, ISNUMBER($C81:AQ81)))),
lastVal + 'K dynamique'!AQ81 * ((SQRT('Résultats des tournois'!AQ$2 + 1)/'Résultats des tournois'!AQ81) - (1 / (1 + 10^((AQ$103 - lastVal)/400)))))
)
))"),"")</f>
        <v/>
      </c>
      <c r="AS81" s="32" t="str">
        <f>IFERROR(__xludf.DUMMYFUNCTION("IF('Résultats des tournois'!AR$2=0,"""",LET(
lastVal, INDEX(FILTER($B81:AR81, ISNUMBER($B81:AR81)), COUNTA(FILTER($B81:AR81, ISNUMBER($B81:AR81)))),
IFERROR(
IF('Résultats des tournois'!AR81="""", INDEX(FILTER($C81:AR81, ISNUMBER($C81:AR81)), COUNTA(FILTE"&amp;"R($C81:AR81, ISNUMBER($C81:AR81)))),
lastVal + 'K dynamique'!AR81 * ((SQRT('Résultats des tournois'!AR$2 + 1)/'Résultats des tournois'!AR81) - (1 / (1 + 10^((AR$103 - lastVal)/400)))))
)
))"),"")</f>
        <v/>
      </c>
      <c r="AT81" s="32" t="str">
        <f>IFERROR(__xludf.DUMMYFUNCTION("IF('Résultats des tournois'!AS$2=0,"""",LET(
lastVal, INDEX(FILTER($B81:AS81, ISNUMBER($B81:AS81)), COUNTA(FILTER($B81:AS81, ISNUMBER($B81:AS81)))),
IFERROR(
IF('Résultats des tournois'!AS81="""", INDEX(FILTER($C81:AS81, ISNUMBER($C81:AS81)), COUNTA(FILTE"&amp;"R($C81:AS81, ISNUMBER($C81:AS81)))),
lastVal + 'K dynamique'!AS81 * ((SQRT('Résultats des tournois'!AS$2 + 1)/'Résultats des tournois'!AS81) - (1 / (1 + 10^((AS$103 - lastVal)/400)))))
)
))"),"")</f>
        <v/>
      </c>
      <c r="AU81" s="32" t="str">
        <f>IFERROR(__xludf.DUMMYFUNCTION("IF('Résultats des tournois'!AT$2=0,"""",LET(
lastVal, INDEX(FILTER($B81:AT81, ISNUMBER($B81:AT81)), COUNTA(FILTER($B81:AT81, ISNUMBER($B81:AT81)))),
IFERROR(
IF('Résultats des tournois'!AT81="""", INDEX(FILTER($C81:AT81, ISNUMBER($C81:AT81)), COUNTA(FILTE"&amp;"R($C81:AT81, ISNUMBER($C81:AT81)))),
lastVal + 'K dynamique'!AT81 * ((SQRT('Résultats des tournois'!AT$2 + 1)/'Résultats des tournois'!AT81) - (1 / (1 + 10^((AT$103 - lastVal)/400)))))
)
))"),"")</f>
        <v/>
      </c>
      <c r="AV81" s="32" t="str">
        <f>IFERROR(__xludf.DUMMYFUNCTION("IF('Résultats des tournois'!AU$2=0,"""",LET(
lastVal, INDEX(FILTER($B81:AU81, ISNUMBER($B81:AU81)), COUNTA(FILTER($B81:AU81, ISNUMBER($B81:AU81)))),
IFERROR(
IF('Résultats des tournois'!AU81="""", INDEX(FILTER($C81:AU81, ISNUMBER($C81:AU81)), COUNTA(FILTE"&amp;"R($C81:AU81, ISNUMBER($C81:AU81)))),
lastVal + 'K dynamique'!AU81 * ((SQRT('Résultats des tournois'!AU$2 + 1)/'Résultats des tournois'!AU81) - (1 / (1 + 10^((AU$103 - lastVal)/400)))))
)
))"),"")</f>
        <v/>
      </c>
      <c r="AW81" s="32" t="str">
        <f>IFERROR(__xludf.DUMMYFUNCTION("IF('Résultats des tournois'!AV$2=0,"""",LET(
lastVal, INDEX(FILTER($B81:AV81, ISNUMBER($B81:AV81)), COUNTA(FILTER($B81:AV81, ISNUMBER($B81:AV81)))),
IFERROR(
IF('Résultats des tournois'!AV81="""", INDEX(FILTER($C81:AV81, ISNUMBER($C81:AV81)), COUNTA(FILTE"&amp;"R($C81:AV81, ISNUMBER($C81:AV81)))),
lastVal + 'K dynamique'!AV81 * ((SQRT('Résultats des tournois'!AV$2 + 1)/'Résultats des tournois'!AV81) - (1 / (1 + 10^((AV$103 - lastVal)/400)))))
)
))"),"")</f>
        <v/>
      </c>
      <c r="AX81" s="32" t="str">
        <f>IFERROR(__xludf.DUMMYFUNCTION("IF('Résultats des tournois'!AW$2=0,"""",LET(
lastVal, INDEX(FILTER($B81:AW81, ISNUMBER($B81:AW81)), COUNTA(FILTER($B81:AW81, ISNUMBER($B81:AW81)))),
IFERROR(
IF('Résultats des tournois'!AW81="""", INDEX(FILTER($C81:AW81, ISNUMBER($C81:AW81)), COUNTA(FILTE"&amp;"R($C81:AW81, ISNUMBER($C81:AW81)))),
lastVal + 'K dynamique'!AW81 * ((SQRT('Résultats des tournois'!AW$2 + 1)/'Résultats des tournois'!AW81) - (1 / (1 + 10^((AW$103 - lastVal)/400)))))
)
))"),"")</f>
        <v/>
      </c>
      <c r="AY81" s="32" t="str">
        <f>IFERROR(__xludf.DUMMYFUNCTION("IF('Résultats des tournois'!AX$2=0,"""",LET(
lastVal, INDEX(FILTER($B81:AX81, ISNUMBER($B81:AX81)), COUNTA(FILTER($B81:AX81, ISNUMBER($B81:AX81)))),
IFERROR(
IF('Résultats des tournois'!AX81="""", INDEX(FILTER($C81:AX81, ISNUMBER($C81:AX81)), COUNTA(FILTE"&amp;"R($C81:AX81, ISNUMBER($C81:AX81)))),
lastVal + 'K dynamique'!AX81 * ((SQRT('Résultats des tournois'!AX$2 + 1)/'Résultats des tournois'!AX81) - (1 / (1 + 10^((AX$103 - lastVal)/400)))))
)
))"),"")</f>
        <v/>
      </c>
      <c r="AZ81" s="4" t="str">
        <f t="array" ref="AZ81">IF(MAX(($C81:AY81&lt;&gt;"")*COLUMN($C81:AY81))=0,"",INDEX($C81:AY81,1,MAX(($C81:AY81&lt;&gt;"")*COLUMN($C81:AY81))-COLUMN($C81)+1))</f>
        <v/>
      </c>
      <c r="BA81" s="33" t="str">
        <f t="shared" si="1"/>
        <v/>
      </c>
    </row>
    <row r="82" ht="14.25" customHeight="1">
      <c r="A82" s="32" t="str">
        <f>IF('Résultats des tournois'!A82="","",'Résultats des tournois'!A82)</f>
        <v/>
      </c>
      <c r="B82" s="32">
        <v>1500.0</v>
      </c>
      <c r="C82" s="32" t="str">
        <f>IF('Résultats des tournois'!B82="","",B82+'K dynamique'!B82*((SQRT('Résultats des tournois'!B$2+1)/'Résultats des tournois'!B82)-(1/(1+10^((B82-B82)/400)))))</f>
        <v/>
      </c>
      <c r="D82" s="32" t="str">
        <f>IFERROR(__xludf.DUMMYFUNCTION("IF('Résultats des tournois'!C$2=0,"""",LET(
lastVal, INDEX(FILTER($B82:C82, ISNUMBER($B82:C82)), COUNTA(FILTER($B82:C82, ISNUMBER($B82:C82)))),
IFERROR(
IF('Résultats des tournois'!C82="""", INDEX(FILTER($C82:C82, ISNUMBER($C82:C82)), COUNTA(FILTER($C82:C"&amp;"82, ISNUMBER($C82:C82)))),
lastVal + 'K dynamique'!C82 * ((SQRT('Résultats des tournois'!C$2 + 1)/'Résultats des tournois'!C82) - (1 / (1 + 10^((C$103 - lastVal)/400)))))
)
))"),"")</f>
        <v/>
      </c>
      <c r="E82" s="32" t="str">
        <f>IFERROR(__xludf.DUMMYFUNCTION("IF('Résultats des tournois'!D$2=0,"""",LET(
lastVal, INDEX(FILTER($B82:D82, ISNUMBER($B82:D82)), COUNTA(FILTER($B82:D82, ISNUMBER($B82:D82)))),
IFERROR(
IF('Résultats des tournois'!D82="""", INDEX(FILTER($C82:D82, ISNUMBER($C82:D82)), COUNTA(FILTER($C82:D"&amp;"82, ISNUMBER($C82:D82)))),
lastVal + 'K dynamique'!D82 * ((SQRT('Résultats des tournois'!D$2 + 1)/'Résultats des tournois'!D82) - (1 / (1 + 10^((D$103 - lastVal)/400)))))
)
))"),"")</f>
        <v/>
      </c>
      <c r="F82" s="32" t="str">
        <f>IFERROR(__xludf.DUMMYFUNCTION("IF('Résultats des tournois'!E$2=0,"""",LET(
lastVal, INDEX(FILTER($B82:E82, ISNUMBER($B82:E82)), COUNTA(FILTER($B82:E82, ISNUMBER($B82:E82)))),
IFERROR(
IF('Résultats des tournois'!E82="""", INDEX(FILTER($C82:E82, ISNUMBER($C82:E82)), COUNTA(FILTER($C82:E"&amp;"82, ISNUMBER($C82:E82)))),
lastVal + 'K dynamique'!E82 * ((SQRT('Résultats des tournois'!E$2 + 1)/'Résultats des tournois'!E82) - (1 / (1 + 10^((E$103 - lastVal)/400)))))
)
))"),"")</f>
        <v/>
      </c>
      <c r="G82" s="32" t="str">
        <f>IFERROR(__xludf.DUMMYFUNCTION("IF('Résultats des tournois'!F$2=0,"""",LET(
lastVal, INDEX(FILTER($B82:F82, ISNUMBER($B82:F82)), COUNTA(FILTER($B82:F82, ISNUMBER($B82:F82)))),
IFERROR(
IF('Résultats des tournois'!F82="""", INDEX(FILTER($C82:F82, ISNUMBER($C82:F82)), COUNTA(FILTER($C82:F"&amp;"82, ISNUMBER($C82:F82)))),
lastVal + 'K dynamique'!F82 * ((SQRT('Résultats des tournois'!F$2 + 1)/'Résultats des tournois'!F82) - (1 / (1 + 10^((F$103 - lastVal)/400)))))
)
))"),"")</f>
        <v/>
      </c>
      <c r="H82" s="32" t="str">
        <f>IFERROR(__xludf.DUMMYFUNCTION("IF('Résultats des tournois'!G$2=0,"""",LET(
lastVal, INDEX(FILTER($B82:G82, ISNUMBER($B82:G82)), COUNTA(FILTER($B82:G82, ISNUMBER($B82:G82)))),
IFERROR(
IF('Résultats des tournois'!G82="""", INDEX(FILTER($C82:G82, ISNUMBER($C82:G82)), COUNTA(FILTER($C82:G"&amp;"82, ISNUMBER($C82:G82)))),
lastVal + 'K dynamique'!G82 * ((SQRT('Résultats des tournois'!G$2 + 1)/'Résultats des tournois'!G82) - (1 / (1 + 10^((G$103 - lastVal)/400)))))
)
))"),"")</f>
        <v/>
      </c>
      <c r="I82" s="32" t="str">
        <f>IFERROR(__xludf.DUMMYFUNCTION("IF('Résultats des tournois'!H$2=0,"""",LET(
lastVal, INDEX(FILTER($B82:H82, ISNUMBER($B82:H82)), COUNTA(FILTER($B82:H82, ISNUMBER($B82:H82)))),
IFERROR(
IF('Résultats des tournois'!H82="""", INDEX(FILTER($C82:H82, ISNUMBER($C82:H82)), COUNTA(FILTER($C82:H"&amp;"82, ISNUMBER($C82:H82)))),
lastVal + 'K dynamique'!H82 * ((SQRT('Résultats des tournois'!H$2 + 1)/'Résultats des tournois'!H82) - (1 / (1 + 10^((H$103 - lastVal)/400)))))
)
))"),"")</f>
        <v/>
      </c>
      <c r="J82" s="32" t="str">
        <f>IFERROR(__xludf.DUMMYFUNCTION("IF('Résultats des tournois'!I$2=0,"""",LET(
lastVal, INDEX(FILTER($B82:I82, ISNUMBER($B82:I82)), COUNTA(FILTER($B82:I82, ISNUMBER($B82:I82)))),
IFERROR(
IF('Résultats des tournois'!I82="""", INDEX(FILTER($C82:I82, ISNUMBER($C82:I82)), COUNTA(FILTER($C82:I"&amp;"82, ISNUMBER($C82:I82)))),
lastVal + 'K dynamique'!I82 * ((SQRT('Résultats des tournois'!I$2 + 1)/'Résultats des tournois'!I82) - (1 / (1 + 10^((I$103 - lastVal)/400)))))
)
))"),"")</f>
        <v/>
      </c>
      <c r="K82" s="32" t="str">
        <f>IFERROR(__xludf.DUMMYFUNCTION("IF('Résultats des tournois'!J$2=0,"""",LET(
lastVal, INDEX(FILTER($B82:J82, ISNUMBER($B82:J82)), COUNTA(FILTER($B82:J82, ISNUMBER($B82:J82)))),
IFERROR(
IF('Résultats des tournois'!J82="""", INDEX(FILTER($C82:J82, ISNUMBER($C82:J82)), COUNTA(FILTER($C82:J"&amp;"82, ISNUMBER($C82:J82)))),
lastVal + 'K dynamique'!J82 * ((SQRT('Résultats des tournois'!J$2 + 1)/'Résultats des tournois'!J82) - (1 / (1 + 10^((J$103 - lastVal)/400)))))
)
))"),"")</f>
        <v/>
      </c>
      <c r="L82" s="32" t="str">
        <f>IFERROR(__xludf.DUMMYFUNCTION("IF('Résultats des tournois'!K$2=0,"""",LET(
lastVal, INDEX(FILTER($B82:K82, ISNUMBER($B82:K82)), COUNTA(FILTER($B82:K82, ISNUMBER($B82:K82)))),
IFERROR(
IF('Résultats des tournois'!K82="""", INDEX(FILTER($C82:K82, ISNUMBER($C82:K82)), COUNTA(FILTER($C82:K"&amp;"82, ISNUMBER($C82:K82)))),
lastVal + 'K dynamique'!K82 * ((SQRT('Résultats des tournois'!K$2 + 1)/'Résultats des tournois'!K82) - (1 / (1 + 10^((K$103 - lastVal)/400)))))
)
))"),"")</f>
        <v/>
      </c>
      <c r="M82" s="32" t="str">
        <f>IFERROR(__xludf.DUMMYFUNCTION("IF('Résultats des tournois'!L$2=0,"""",LET(
lastVal, INDEX(FILTER($B82:L82, ISNUMBER($B82:L82)), COUNTA(FILTER($B82:L82, ISNUMBER($B82:L82)))),
IFERROR(
IF('Résultats des tournois'!L82="""", INDEX(FILTER($C82:L82, ISNUMBER($C82:L82)), COUNTA(FILTER($C82:L"&amp;"82, ISNUMBER($C82:L82)))),
lastVal + 'K dynamique'!L82 * ((SQRT('Résultats des tournois'!L$2 + 1)/'Résultats des tournois'!L82) - (1 / (1 + 10^((L$103 - lastVal)/400)))))
)
))"),"")</f>
        <v/>
      </c>
      <c r="N82" s="32" t="str">
        <f>IFERROR(__xludf.DUMMYFUNCTION("IF('Résultats des tournois'!M$2=0,"""",LET(
lastVal, INDEX(FILTER($B82:M82, ISNUMBER($B82:M82)), COUNTA(FILTER($B82:M82, ISNUMBER($B82:M82)))),
IFERROR(
IF('Résultats des tournois'!M82="""", INDEX(FILTER($C82:M82, ISNUMBER($C82:M82)), COUNTA(FILTER($C82:M"&amp;"82, ISNUMBER($C82:M82)))),
lastVal + 'K dynamique'!M82 * ((SQRT('Résultats des tournois'!M$2 + 1)/'Résultats des tournois'!M82) - (1 / (1 + 10^((M$103 - lastVal)/400)))))
)
))"),"")</f>
        <v/>
      </c>
      <c r="O82" s="32" t="str">
        <f>IFERROR(__xludf.DUMMYFUNCTION("IF('Résultats des tournois'!N$2=0,"""",LET(
lastVal, INDEX(FILTER($B82:N82, ISNUMBER($B82:N82)), COUNTA(FILTER($B82:N82, ISNUMBER($B82:N82)))),
IFERROR(
IF('Résultats des tournois'!N82="""", INDEX(FILTER($C82:N82, ISNUMBER($C82:N82)), COUNTA(FILTER($C82:N"&amp;"82, ISNUMBER($C82:N82)))),
lastVal + 'K dynamique'!N82 * ((SQRT('Résultats des tournois'!N$2 + 1)/'Résultats des tournois'!N82) - (1 / (1 + 10^((N$103 - lastVal)/400)))))
)
))"),"")</f>
        <v/>
      </c>
      <c r="P82" s="32" t="str">
        <f>IFERROR(__xludf.DUMMYFUNCTION("IF('Résultats des tournois'!O$2=0,"""",LET(
lastVal, INDEX(FILTER($B82:O82, ISNUMBER($B82:O82)), COUNTA(FILTER($B82:O82, ISNUMBER($B82:O82)))),
IFERROR(
IF('Résultats des tournois'!O82="""", INDEX(FILTER($C82:O82, ISNUMBER($C82:O82)), COUNTA(FILTER($C82:O"&amp;"82, ISNUMBER($C82:O82)))),
lastVal + 'K dynamique'!O82 * ((SQRT('Résultats des tournois'!O$2 + 1)/'Résultats des tournois'!O82) - (1 / (1 + 10^((O$103 - lastVal)/400)))))
)
))"),"")</f>
        <v/>
      </c>
      <c r="Q82" s="32" t="str">
        <f>IFERROR(__xludf.DUMMYFUNCTION("IF('Résultats des tournois'!P$2=0,"""",LET(
lastVal, INDEX(FILTER($B82:P82, ISNUMBER($B82:P82)), COUNTA(FILTER($B82:P82, ISNUMBER($B82:P82)))),
IFERROR(
IF('Résultats des tournois'!P82="""", INDEX(FILTER($C82:P82, ISNUMBER($C82:P82)), COUNTA(FILTER($C82:P"&amp;"82, ISNUMBER($C82:P82)))),
lastVal + 'K dynamique'!P82 * ((SQRT('Résultats des tournois'!P$2 + 1)/'Résultats des tournois'!P82) - (1 / (1 + 10^((P$103 - lastVal)/400)))))
)
))"),"")</f>
        <v/>
      </c>
      <c r="R82" s="32" t="str">
        <f>IFERROR(__xludf.DUMMYFUNCTION("IF('Résultats des tournois'!Q$2=0,"""",LET(
lastVal, INDEX(FILTER($B82:Q82, ISNUMBER($B82:Q82)), COUNTA(FILTER($B82:Q82, ISNUMBER($B82:Q82)))),
IFERROR(
IF('Résultats des tournois'!Q82="""", INDEX(FILTER($C82:Q82, ISNUMBER($C82:Q82)), COUNTA(FILTER($C82:Q"&amp;"82, ISNUMBER($C82:Q82)))),
lastVal + 'K dynamique'!Q82 * ((SQRT('Résultats des tournois'!Q$2 + 1)/'Résultats des tournois'!Q82) - (1 / (1 + 10^((Q$103 - lastVal)/400)))))
)
))"),"")</f>
        <v/>
      </c>
      <c r="S82" s="32" t="str">
        <f>IFERROR(__xludf.DUMMYFUNCTION("IF('Résultats des tournois'!R$2=0,"""",LET(
lastVal, INDEX(FILTER($B82:R82, ISNUMBER($B82:R82)), COUNTA(FILTER($B82:R82, ISNUMBER($B82:R82)))),
IFERROR(
IF('Résultats des tournois'!R82="""", INDEX(FILTER($C82:R82, ISNUMBER($C82:R82)), COUNTA(FILTER($C82:R"&amp;"82, ISNUMBER($C82:R82)))),
lastVal + 'K dynamique'!R82 * ((SQRT('Résultats des tournois'!R$2 + 1)/'Résultats des tournois'!R82) - (1 / (1 + 10^((R$103 - lastVal)/400)))))
)
))"),"")</f>
        <v/>
      </c>
      <c r="T82" s="32" t="str">
        <f>IFERROR(__xludf.DUMMYFUNCTION("IF('Résultats des tournois'!S$2=0,"""",LET(
lastVal, INDEX(FILTER($B82:S82, ISNUMBER($B82:S82)), COUNTA(FILTER($B82:S82, ISNUMBER($B82:S82)))),
IFERROR(
IF('Résultats des tournois'!S82="""", INDEX(FILTER($C82:S82, ISNUMBER($C82:S82)), COUNTA(FILTER($C82:S"&amp;"82, ISNUMBER($C82:S82)))),
lastVal + 'K dynamique'!S82 * ((SQRT('Résultats des tournois'!S$2 + 1)/'Résultats des tournois'!S82) - (1 / (1 + 10^((S$103 - lastVal)/400)))))
)
))"),"")</f>
        <v/>
      </c>
      <c r="U82" s="32" t="str">
        <f>IFERROR(__xludf.DUMMYFUNCTION("IF('Résultats des tournois'!T$2=0,"""",LET(
lastVal, INDEX(FILTER($B82:T82, ISNUMBER($B82:T82)), COUNTA(FILTER($B82:T82, ISNUMBER($B82:T82)))),
IFERROR(
IF('Résultats des tournois'!T82="""", INDEX(FILTER($C82:T82, ISNUMBER($C82:T82)), COUNTA(FILTER($C82:T"&amp;"82, ISNUMBER($C82:T82)))),
lastVal + 'K dynamique'!T82 * ((SQRT('Résultats des tournois'!T$2 + 1)/'Résultats des tournois'!T82) - (1 / (1 + 10^((T$103 - lastVal)/400)))))
)
))"),"")</f>
        <v/>
      </c>
      <c r="V82" s="32" t="str">
        <f>IFERROR(__xludf.DUMMYFUNCTION("IF('Résultats des tournois'!U$2=0,"""",LET(
lastVal, INDEX(FILTER($B82:U82, ISNUMBER($B82:U82)), COUNTA(FILTER($B82:U82, ISNUMBER($B82:U82)))),
IFERROR(
IF('Résultats des tournois'!U82="""", INDEX(FILTER($C82:U82, ISNUMBER($C82:U82)), COUNTA(FILTER($C82:U"&amp;"82, ISNUMBER($C82:U82)))),
lastVal + 'K dynamique'!U82 * ((SQRT('Résultats des tournois'!U$2 + 1)/'Résultats des tournois'!U82) - (1 / (1 + 10^((U$103 - lastVal)/400)))))
)
))"),"")</f>
        <v/>
      </c>
      <c r="W82" s="32" t="str">
        <f>IFERROR(__xludf.DUMMYFUNCTION("IF('Résultats des tournois'!V$2=0,"""",LET(
lastVal, INDEX(FILTER($B82:V82, ISNUMBER($B82:V82)), COUNTA(FILTER($B82:V82, ISNUMBER($B82:V82)))),
IFERROR(
IF('Résultats des tournois'!V82="""", INDEX(FILTER($C82:V82, ISNUMBER($C82:V82)), COUNTA(FILTER($C82:V"&amp;"82, ISNUMBER($C82:V82)))),
lastVal + 'K dynamique'!V82 * ((SQRT('Résultats des tournois'!V$2 + 1)/'Résultats des tournois'!V82) - (1 / (1 + 10^((V$103 - lastVal)/400)))))
)
))"),"")</f>
        <v/>
      </c>
      <c r="X82" s="32" t="str">
        <f>IFERROR(__xludf.DUMMYFUNCTION("IF('Résultats des tournois'!W$2=0,"""",LET(
lastVal, INDEX(FILTER($B82:W82, ISNUMBER($B82:W82)), COUNTA(FILTER($B82:W82, ISNUMBER($B82:W82)))),
IFERROR(
IF('Résultats des tournois'!W82="""", INDEX(FILTER($C82:W82, ISNUMBER($C82:W82)), COUNTA(FILTER($C82:W"&amp;"82, ISNUMBER($C82:W82)))),
lastVal + 'K dynamique'!W82 * ((SQRT('Résultats des tournois'!W$2 + 1)/'Résultats des tournois'!W82) - (1 / (1 + 10^((W$103 - lastVal)/400)))))
)
))"),"")</f>
        <v/>
      </c>
      <c r="Y82" s="32" t="str">
        <f>IFERROR(__xludf.DUMMYFUNCTION("IF('Résultats des tournois'!X$2=0,"""",LET(
lastVal, INDEX(FILTER($B82:X82, ISNUMBER($B82:X82)), COUNTA(FILTER($B82:X82, ISNUMBER($B82:X82)))),
IFERROR(
IF('Résultats des tournois'!X82="""", INDEX(FILTER($C82:X82, ISNUMBER($C82:X82)), COUNTA(FILTER($C82:X"&amp;"82, ISNUMBER($C82:X82)))),
lastVal + 'K dynamique'!X82 * ((SQRT('Résultats des tournois'!X$2 + 1)/'Résultats des tournois'!X82) - (1 / (1 + 10^((X$103 - lastVal)/400)))))
)
))"),"")</f>
        <v/>
      </c>
      <c r="Z82" s="32" t="str">
        <f>IFERROR(__xludf.DUMMYFUNCTION("IF('Résultats des tournois'!Y$2=0,"""",LET(
lastVal, INDEX(FILTER($B82:Y82, ISNUMBER($B82:Y82)), COUNTA(FILTER($B82:Y82, ISNUMBER($B82:Y82)))),
IFERROR(
IF('Résultats des tournois'!Y82="""", INDEX(FILTER($C82:Y82, ISNUMBER($C82:Y82)), COUNTA(FILTER($C82:Y"&amp;"82, ISNUMBER($C82:Y82)))),
lastVal + 'K dynamique'!Y82 * ((SQRT('Résultats des tournois'!Y$2 + 1)/'Résultats des tournois'!Y82) - (1 / (1 + 10^((Y$103 - lastVal)/400)))))
)
))"),"")</f>
        <v/>
      </c>
      <c r="AA82" s="32" t="str">
        <f>IFERROR(__xludf.DUMMYFUNCTION("IF('Résultats des tournois'!Z$2=0,"""",LET(
lastVal, INDEX(FILTER($B82:Z82, ISNUMBER($B82:Z82)), COUNTA(FILTER($B82:Z82, ISNUMBER($B82:Z82)))),
IFERROR(
IF('Résultats des tournois'!Z82="""", INDEX(FILTER($C82:Z82, ISNUMBER($C82:Z82)), COUNTA(FILTER($C82:Z"&amp;"82, ISNUMBER($C82:Z82)))),
lastVal + 'K dynamique'!Z82 * ((SQRT('Résultats des tournois'!Z$2 + 1)/'Résultats des tournois'!Z82) - (1 / (1 + 10^((Z$103 - lastVal)/400)))))
)
))"),"")</f>
        <v/>
      </c>
      <c r="AB82" s="32" t="str">
        <f>IFERROR(__xludf.DUMMYFUNCTION("IF('Résultats des tournois'!AA$2=0,"""",LET(
lastVal, INDEX(FILTER($B82:AA82, ISNUMBER($B82:AA82)), COUNTA(FILTER($B82:AA82, ISNUMBER($B82:AA82)))),
IFERROR(
IF('Résultats des tournois'!AA82="""", INDEX(FILTER($C82:AA82, ISNUMBER($C82:AA82)), COUNTA(FILTE"&amp;"R($C82:AA82, ISNUMBER($C82:AA82)))),
lastVal + 'K dynamique'!AA82 * ((SQRT('Résultats des tournois'!AA$2 + 1)/'Résultats des tournois'!AA82) - (1 / (1 + 10^((AA$103 - lastVal)/400)))))
)
))"),"")</f>
        <v/>
      </c>
      <c r="AC82" s="32" t="str">
        <f>IFERROR(__xludf.DUMMYFUNCTION("IF('Résultats des tournois'!AB$2=0,"""",LET(
lastVal, INDEX(FILTER($B82:AB82, ISNUMBER($B82:AB82)), COUNTA(FILTER($B82:AB82, ISNUMBER($B82:AB82)))),
IFERROR(
IF('Résultats des tournois'!AB82="""", INDEX(FILTER($C82:AB82, ISNUMBER($C82:AB82)), COUNTA(FILTE"&amp;"R($C82:AB82, ISNUMBER($C82:AB82)))),
lastVal + 'K dynamique'!AB82 * ((SQRT('Résultats des tournois'!AB$2 + 1)/'Résultats des tournois'!AB82) - (1 / (1 + 10^((AB$103 - lastVal)/400)))))
)
))"),"")</f>
        <v/>
      </c>
      <c r="AD82" s="32" t="str">
        <f>IFERROR(__xludf.DUMMYFUNCTION("IF('Résultats des tournois'!AC$2=0,"""",LET(
lastVal, INDEX(FILTER($B82:AC82, ISNUMBER($B82:AC82)), COUNTA(FILTER($B82:AC82, ISNUMBER($B82:AC82)))),
IFERROR(
IF('Résultats des tournois'!AC82="""", INDEX(FILTER($C82:AC82, ISNUMBER($C82:AC82)), COUNTA(FILTE"&amp;"R($C82:AC82, ISNUMBER($C82:AC82)))),
lastVal + 'K dynamique'!AC82 * ((SQRT('Résultats des tournois'!AC$2 + 1)/'Résultats des tournois'!AC82) - (1 / (1 + 10^((AC$103 - lastVal)/400)))))
)
))"),"")</f>
        <v/>
      </c>
      <c r="AE82" s="32" t="str">
        <f>IFERROR(__xludf.DUMMYFUNCTION("IF('Résultats des tournois'!AD$2=0,"""",LET(
lastVal, INDEX(FILTER($B82:AD82, ISNUMBER($B82:AD82)), COUNTA(FILTER($B82:AD82, ISNUMBER($B82:AD82)))),
IFERROR(
IF('Résultats des tournois'!AD82="""", INDEX(FILTER($C82:AD82, ISNUMBER($C82:AD82)), COUNTA(FILTE"&amp;"R($C82:AD82, ISNUMBER($C82:AD82)))),
lastVal + 'K dynamique'!AD82 * ((SQRT('Résultats des tournois'!AD$2 + 1)/'Résultats des tournois'!AD82) - (1 / (1 + 10^((AD$103 - lastVal)/400)))))
)
))"),"")</f>
        <v/>
      </c>
      <c r="AF82" s="32" t="str">
        <f>IFERROR(__xludf.DUMMYFUNCTION("IF('Résultats des tournois'!AE$2=0,"""",LET(
lastVal, INDEX(FILTER($B82:AE82, ISNUMBER($B82:AE82)), COUNTA(FILTER($B82:AE82, ISNUMBER($B82:AE82)))),
IFERROR(
IF('Résultats des tournois'!AE82="""", INDEX(FILTER($C82:AE82, ISNUMBER($C82:AE82)), COUNTA(FILTE"&amp;"R($C82:AE82, ISNUMBER($C82:AE82)))),
lastVal + 'K dynamique'!AE82 * ((SQRT('Résultats des tournois'!AE$2 + 1)/'Résultats des tournois'!AE82) - (1 / (1 + 10^((AE$103 - lastVal)/400)))))
)
))"),"")</f>
        <v/>
      </c>
      <c r="AG82" s="32" t="str">
        <f>IFERROR(__xludf.DUMMYFUNCTION("IF('Résultats des tournois'!AF$2=0,"""",LET(
lastVal, INDEX(FILTER($B82:AF82, ISNUMBER($B82:AF82)), COUNTA(FILTER($B82:AF82, ISNUMBER($B82:AF82)))),
IFERROR(
IF('Résultats des tournois'!AF82="""", INDEX(FILTER($C82:AF82, ISNUMBER($C82:AF82)), COUNTA(FILTE"&amp;"R($C82:AF82, ISNUMBER($C82:AF82)))),
lastVal + 'K dynamique'!AF82 * ((SQRT('Résultats des tournois'!AF$2 + 1)/'Résultats des tournois'!AF82) - (1 / (1 + 10^((AF$103 - lastVal)/400)))))
)
))"),"")</f>
        <v/>
      </c>
      <c r="AH82" s="32" t="str">
        <f>IFERROR(__xludf.DUMMYFUNCTION("IF('Résultats des tournois'!AG$2=0,"""",LET(
lastVal, INDEX(FILTER($B82:AG82, ISNUMBER($B82:AG82)), COUNTA(FILTER($B82:AG82, ISNUMBER($B82:AG82)))),
IFERROR(
IF('Résultats des tournois'!AG82="""", INDEX(FILTER($C82:AG82, ISNUMBER($C82:AG82)), COUNTA(FILTE"&amp;"R($C82:AG82, ISNUMBER($C82:AG82)))),
lastVal + 'K dynamique'!AG82 * ((SQRT('Résultats des tournois'!AG$2 + 1)/'Résultats des tournois'!AG82) - (1 / (1 + 10^((AG$103 - lastVal)/400)))))
)
))"),"")</f>
        <v/>
      </c>
      <c r="AI82" s="32" t="str">
        <f>IFERROR(__xludf.DUMMYFUNCTION("IF('Résultats des tournois'!AH$2=0,"""",LET(
lastVal, INDEX(FILTER($B82:AH82, ISNUMBER($B82:AH82)), COUNTA(FILTER($B82:AH82, ISNUMBER($B82:AH82)))),
IFERROR(
IF('Résultats des tournois'!AH82="""", INDEX(FILTER($C82:AH82, ISNUMBER($C82:AH82)), COUNTA(FILTE"&amp;"R($C82:AH82, ISNUMBER($C82:AH82)))),
lastVal + 'K dynamique'!AH82 * ((SQRT('Résultats des tournois'!AH$2 + 1)/'Résultats des tournois'!AH82) - (1 / (1 + 10^((AH$103 - lastVal)/400)))))
)
))"),"")</f>
        <v/>
      </c>
      <c r="AJ82" s="32" t="str">
        <f>IFERROR(__xludf.DUMMYFUNCTION("IF('Résultats des tournois'!AI$2=0,"""",LET(
lastVal, INDEX(FILTER($B82:AI82, ISNUMBER($B82:AI82)), COUNTA(FILTER($B82:AI82, ISNUMBER($B82:AI82)))),
IFERROR(
IF('Résultats des tournois'!AI82="""", INDEX(FILTER($C82:AI82, ISNUMBER($C82:AI82)), COUNTA(FILTE"&amp;"R($C82:AI82, ISNUMBER($C82:AI82)))),
lastVal + 'K dynamique'!AI82 * ((SQRT('Résultats des tournois'!AI$2 + 1)/'Résultats des tournois'!AI82) - (1 / (1 + 10^((AI$103 - lastVal)/400)))))
)
))"),"")</f>
        <v/>
      </c>
      <c r="AK82" s="32" t="str">
        <f>IFERROR(__xludf.DUMMYFUNCTION("IF('Résultats des tournois'!AJ$2=0,"""",LET(
lastVal, INDEX(FILTER($B82:AJ82, ISNUMBER($B82:AJ82)), COUNTA(FILTER($B82:AJ82, ISNUMBER($B82:AJ82)))),
IFERROR(
IF('Résultats des tournois'!AJ82="""", INDEX(FILTER($C82:AJ82, ISNUMBER($C82:AJ82)), COUNTA(FILTE"&amp;"R($C82:AJ82, ISNUMBER($C82:AJ82)))),
lastVal + 'K dynamique'!AJ82 * ((SQRT('Résultats des tournois'!AJ$2 + 1)/'Résultats des tournois'!AJ82) - (1 / (1 + 10^((AJ$103 - lastVal)/400)))))
)
))"),"")</f>
        <v/>
      </c>
      <c r="AL82" s="32" t="str">
        <f>IFERROR(__xludf.DUMMYFUNCTION("IF('Résultats des tournois'!AK$2=0,"""",LET(
lastVal, INDEX(FILTER($B82:AK82, ISNUMBER($B82:AK82)), COUNTA(FILTER($B82:AK82, ISNUMBER($B82:AK82)))),
IFERROR(
IF('Résultats des tournois'!AK82="""", INDEX(FILTER($C82:AK82, ISNUMBER($C82:AK82)), COUNTA(FILTE"&amp;"R($C82:AK82, ISNUMBER($C82:AK82)))),
lastVal + 'K dynamique'!AK82 * ((SQRT('Résultats des tournois'!AK$2 + 1)/'Résultats des tournois'!AK82) - (1 / (1 + 10^((AK$103 - lastVal)/400)))))
)
))"),"")</f>
        <v/>
      </c>
      <c r="AM82" s="32" t="str">
        <f>IFERROR(__xludf.DUMMYFUNCTION("IF('Résultats des tournois'!AL$2=0,"""",LET(
lastVal, INDEX(FILTER($B82:AL82, ISNUMBER($B82:AL82)), COUNTA(FILTER($B82:AL82, ISNUMBER($B82:AL82)))),
IFERROR(
IF('Résultats des tournois'!AL82="""", INDEX(FILTER($C82:AL82, ISNUMBER($C82:AL82)), COUNTA(FILTE"&amp;"R($C82:AL82, ISNUMBER($C82:AL82)))),
lastVal + 'K dynamique'!AL82 * ((SQRT('Résultats des tournois'!AL$2 + 1)/'Résultats des tournois'!AL82) - (1 / (1 + 10^((AL$103 - lastVal)/400)))))
)
))"),"")</f>
        <v/>
      </c>
      <c r="AN82" s="32" t="str">
        <f>IFERROR(__xludf.DUMMYFUNCTION("IF('Résultats des tournois'!AM$2=0,"""",LET(
lastVal, INDEX(FILTER($B82:AM82, ISNUMBER($B82:AM82)), COUNTA(FILTER($B82:AM82, ISNUMBER($B82:AM82)))),
IFERROR(
IF('Résultats des tournois'!AM82="""", INDEX(FILTER($C82:AM82, ISNUMBER($C82:AM82)), COUNTA(FILTE"&amp;"R($C82:AM82, ISNUMBER($C82:AM82)))),
lastVal + 'K dynamique'!AM82 * ((SQRT('Résultats des tournois'!AM$2 + 1)/'Résultats des tournois'!AM82) - (1 / (1 + 10^((AM$103 - lastVal)/400)))))
)
))"),"")</f>
        <v/>
      </c>
      <c r="AO82" s="32" t="str">
        <f>IFERROR(__xludf.DUMMYFUNCTION("IF('Résultats des tournois'!AN$2=0,"""",LET(
lastVal, INDEX(FILTER($B82:AN82, ISNUMBER($B82:AN82)), COUNTA(FILTER($B82:AN82, ISNUMBER($B82:AN82)))),
IFERROR(
IF('Résultats des tournois'!AN82="""", INDEX(FILTER($C82:AN82, ISNUMBER($C82:AN82)), COUNTA(FILTE"&amp;"R($C82:AN82, ISNUMBER($C82:AN82)))),
lastVal + 'K dynamique'!AN82 * ((SQRT('Résultats des tournois'!AN$2 + 1)/'Résultats des tournois'!AN82) - (1 / (1 + 10^((AN$103 - lastVal)/400)))))
)
))"),"")</f>
        <v/>
      </c>
      <c r="AP82" s="32" t="str">
        <f>IFERROR(__xludf.DUMMYFUNCTION("IF('Résultats des tournois'!AO$2=0,"""",LET(
lastVal, INDEX(FILTER($B82:AO82, ISNUMBER($B82:AO82)), COUNTA(FILTER($B82:AO82, ISNUMBER($B82:AO82)))),
IFERROR(
IF('Résultats des tournois'!AO82="""", INDEX(FILTER($C82:AO82, ISNUMBER($C82:AO82)), COUNTA(FILTE"&amp;"R($C82:AO82, ISNUMBER($C82:AO82)))),
lastVal + 'K dynamique'!AO82 * ((SQRT('Résultats des tournois'!AO$2 + 1)/'Résultats des tournois'!AO82) - (1 / (1 + 10^((AO$103 - lastVal)/400)))))
)
))"),"")</f>
        <v/>
      </c>
      <c r="AQ82" s="32" t="str">
        <f>IFERROR(__xludf.DUMMYFUNCTION("IF('Résultats des tournois'!AP$2=0,"""",LET(
lastVal, INDEX(FILTER($B82:AP82, ISNUMBER($B82:AP82)), COUNTA(FILTER($B82:AP82, ISNUMBER($B82:AP82)))),
IFERROR(
IF('Résultats des tournois'!AP82="""", INDEX(FILTER($C82:AP82, ISNUMBER($C82:AP82)), COUNTA(FILTE"&amp;"R($C82:AP82, ISNUMBER($C82:AP82)))),
lastVal + 'K dynamique'!AP82 * ((SQRT('Résultats des tournois'!AP$2 + 1)/'Résultats des tournois'!AP82) - (1 / (1 + 10^((AP$103 - lastVal)/400)))))
)
))"),"")</f>
        <v/>
      </c>
      <c r="AR82" s="32" t="str">
        <f>IFERROR(__xludf.DUMMYFUNCTION("IF('Résultats des tournois'!AQ$2=0,"""",LET(
lastVal, INDEX(FILTER($B82:AQ82, ISNUMBER($B82:AQ82)), COUNTA(FILTER($B82:AQ82, ISNUMBER($B82:AQ82)))),
IFERROR(
IF('Résultats des tournois'!AQ82="""", INDEX(FILTER($C82:AQ82, ISNUMBER($C82:AQ82)), COUNTA(FILTE"&amp;"R($C82:AQ82, ISNUMBER($C82:AQ82)))),
lastVal + 'K dynamique'!AQ82 * ((SQRT('Résultats des tournois'!AQ$2 + 1)/'Résultats des tournois'!AQ82) - (1 / (1 + 10^((AQ$103 - lastVal)/400)))))
)
))"),"")</f>
        <v/>
      </c>
      <c r="AS82" s="32" t="str">
        <f>IFERROR(__xludf.DUMMYFUNCTION("IF('Résultats des tournois'!AR$2=0,"""",LET(
lastVal, INDEX(FILTER($B82:AR82, ISNUMBER($B82:AR82)), COUNTA(FILTER($B82:AR82, ISNUMBER($B82:AR82)))),
IFERROR(
IF('Résultats des tournois'!AR82="""", INDEX(FILTER($C82:AR82, ISNUMBER($C82:AR82)), COUNTA(FILTE"&amp;"R($C82:AR82, ISNUMBER($C82:AR82)))),
lastVal + 'K dynamique'!AR82 * ((SQRT('Résultats des tournois'!AR$2 + 1)/'Résultats des tournois'!AR82) - (1 / (1 + 10^((AR$103 - lastVal)/400)))))
)
))"),"")</f>
        <v/>
      </c>
      <c r="AT82" s="32" t="str">
        <f>IFERROR(__xludf.DUMMYFUNCTION("IF('Résultats des tournois'!AS$2=0,"""",LET(
lastVal, INDEX(FILTER($B82:AS82, ISNUMBER($B82:AS82)), COUNTA(FILTER($B82:AS82, ISNUMBER($B82:AS82)))),
IFERROR(
IF('Résultats des tournois'!AS82="""", INDEX(FILTER($C82:AS82, ISNUMBER($C82:AS82)), COUNTA(FILTE"&amp;"R($C82:AS82, ISNUMBER($C82:AS82)))),
lastVal + 'K dynamique'!AS82 * ((SQRT('Résultats des tournois'!AS$2 + 1)/'Résultats des tournois'!AS82) - (1 / (1 + 10^((AS$103 - lastVal)/400)))))
)
))"),"")</f>
        <v/>
      </c>
      <c r="AU82" s="32" t="str">
        <f>IFERROR(__xludf.DUMMYFUNCTION("IF('Résultats des tournois'!AT$2=0,"""",LET(
lastVal, INDEX(FILTER($B82:AT82, ISNUMBER($B82:AT82)), COUNTA(FILTER($B82:AT82, ISNUMBER($B82:AT82)))),
IFERROR(
IF('Résultats des tournois'!AT82="""", INDEX(FILTER($C82:AT82, ISNUMBER($C82:AT82)), COUNTA(FILTE"&amp;"R($C82:AT82, ISNUMBER($C82:AT82)))),
lastVal + 'K dynamique'!AT82 * ((SQRT('Résultats des tournois'!AT$2 + 1)/'Résultats des tournois'!AT82) - (1 / (1 + 10^((AT$103 - lastVal)/400)))))
)
))"),"")</f>
        <v/>
      </c>
      <c r="AV82" s="32" t="str">
        <f>IFERROR(__xludf.DUMMYFUNCTION("IF('Résultats des tournois'!AU$2=0,"""",LET(
lastVal, INDEX(FILTER($B82:AU82, ISNUMBER($B82:AU82)), COUNTA(FILTER($B82:AU82, ISNUMBER($B82:AU82)))),
IFERROR(
IF('Résultats des tournois'!AU82="""", INDEX(FILTER($C82:AU82, ISNUMBER($C82:AU82)), COUNTA(FILTE"&amp;"R($C82:AU82, ISNUMBER($C82:AU82)))),
lastVal + 'K dynamique'!AU82 * ((SQRT('Résultats des tournois'!AU$2 + 1)/'Résultats des tournois'!AU82) - (1 / (1 + 10^((AU$103 - lastVal)/400)))))
)
))"),"")</f>
        <v/>
      </c>
      <c r="AW82" s="32" t="str">
        <f>IFERROR(__xludf.DUMMYFUNCTION("IF('Résultats des tournois'!AV$2=0,"""",LET(
lastVal, INDEX(FILTER($B82:AV82, ISNUMBER($B82:AV82)), COUNTA(FILTER($B82:AV82, ISNUMBER($B82:AV82)))),
IFERROR(
IF('Résultats des tournois'!AV82="""", INDEX(FILTER($C82:AV82, ISNUMBER($C82:AV82)), COUNTA(FILTE"&amp;"R($C82:AV82, ISNUMBER($C82:AV82)))),
lastVal + 'K dynamique'!AV82 * ((SQRT('Résultats des tournois'!AV$2 + 1)/'Résultats des tournois'!AV82) - (1 / (1 + 10^((AV$103 - lastVal)/400)))))
)
))"),"")</f>
        <v/>
      </c>
      <c r="AX82" s="32" t="str">
        <f>IFERROR(__xludf.DUMMYFUNCTION("IF('Résultats des tournois'!AW$2=0,"""",LET(
lastVal, INDEX(FILTER($B82:AW82, ISNUMBER($B82:AW82)), COUNTA(FILTER($B82:AW82, ISNUMBER($B82:AW82)))),
IFERROR(
IF('Résultats des tournois'!AW82="""", INDEX(FILTER($C82:AW82, ISNUMBER($C82:AW82)), COUNTA(FILTE"&amp;"R($C82:AW82, ISNUMBER($C82:AW82)))),
lastVal + 'K dynamique'!AW82 * ((SQRT('Résultats des tournois'!AW$2 + 1)/'Résultats des tournois'!AW82) - (1 / (1 + 10^((AW$103 - lastVal)/400)))))
)
))"),"")</f>
        <v/>
      </c>
      <c r="AY82" s="32" t="str">
        <f>IFERROR(__xludf.DUMMYFUNCTION("IF('Résultats des tournois'!AX$2=0,"""",LET(
lastVal, INDEX(FILTER($B82:AX82, ISNUMBER($B82:AX82)), COUNTA(FILTER($B82:AX82, ISNUMBER($B82:AX82)))),
IFERROR(
IF('Résultats des tournois'!AX82="""", INDEX(FILTER($C82:AX82, ISNUMBER($C82:AX82)), COUNTA(FILTE"&amp;"R($C82:AX82, ISNUMBER($C82:AX82)))),
lastVal + 'K dynamique'!AX82 * ((SQRT('Résultats des tournois'!AX$2 + 1)/'Résultats des tournois'!AX82) - (1 / (1 + 10^((AX$103 - lastVal)/400)))))
)
))"),"")</f>
        <v/>
      </c>
      <c r="AZ82" s="4" t="str">
        <f t="array" ref="AZ82">IF(MAX(($C82:AY82&lt;&gt;"")*COLUMN($C82:AY82))=0,"",INDEX($C82:AY82,1,MAX(($C82:AY82&lt;&gt;"")*COLUMN($C82:AY82))-COLUMN($C82)+1))</f>
        <v/>
      </c>
      <c r="BA82" s="33" t="str">
        <f t="shared" si="1"/>
        <v/>
      </c>
    </row>
    <row r="83" ht="14.25" customHeight="1">
      <c r="A83" s="32" t="str">
        <f>IF('Résultats des tournois'!A83="","",'Résultats des tournois'!A83)</f>
        <v/>
      </c>
      <c r="B83" s="32">
        <v>1500.0</v>
      </c>
      <c r="C83" s="32" t="str">
        <f>IF('Résultats des tournois'!B83="","",B83+'K dynamique'!B83*((SQRT('Résultats des tournois'!B$2+1)/'Résultats des tournois'!B83)-(1/(1+10^((B83-B83)/400)))))</f>
        <v/>
      </c>
      <c r="D83" s="32" t="str">
        <f>IFERROR(__xludf.DUMMYFUNCTION("IF('Résultats des tournois'!C$2=0,"""",LET(
lastVal, INDEX(FILTER($B83:C83, ISNUMBER($B83:C83)), COUNTA(FILTER($B83:C83, ISNUMBER($B83:C83)))),
IFERROR(
IF('Résultats des tournois'!C83="""", INDEX(FILTER($C83:C83, ISNUMBER($C83:C83)), COUNTA(FILTER($C83:C"&amp;"83, ISNUMBER($C83:C83)))),
lastVal + 'K dynamique'!C83 * ((SQRT('Résultats des tournois'!C$2 + 1)/'Résultats des tournois'!C83) - (1 / (1 + 10^((C$103 - lastVal)/400)))))
)
))"),"")</f>
        <v/>
      </c>
      <c r="E83" s="32" t="str">
        <f>IFERROR(__xludf.DUMMYFUNCTION("IF('Résultats des tournois'!D$2=0,"""",LET(
lastVal, INDEX(FILTER($B83:D83, ISNUMBER($B83:D83)), COUNTA(FILTER($B83:D83, ISNUMBER($B83:D83)))),
IFERROR(
IF('Résultats des tournois'!D83="""", INDEX(FILTER($C83:D83, ISNUMBER($C83:D83)), COUNTA(FILTER($C83:D"&amp;"83, ISNUMBER($C83:D83)))),
lastVal + 'K dynamique'!D83 * ((SQRT('Résultats des tournois'!D$2 + 1)/'Résultats des tournois'!D83) - (1 / (1 + 10^((D$103 - lastVal)/400)))))
)
))"),"")</f>
        <v/>
      </c>
      <c r="F83" s="32" t="str">
        <f>IFERROR(__xludf.DUMMYFUNCTION("IF('Résultats des tournois'!E$2=0,"""",LET(
lastVal, INDEX(FILTER($B83:E83, ISNUMBER($B83:E83)), COUNTA(FILTER($B83:E83, ISNUMBER($B83:E83)))),
IFERROR(
IF('Résultats des tournois'!E83="""", INDEX(FILTER($C83:E83, ISNUMBER($C83:E83)), COUNTA(FILTER($C83:E"&amp;"83, ISNUMBER($C83:E83)))),
lastVal + 'K dynamique'!E83 * ((SQRT('Résultats des tournois'!E$2 + 1)/'Résultats des tournois'!E83) - (1 / (1 + 10^((E$103 - lastVal)/400)))))
)
))"),"")</f>
        <v/>
      </c>
      <c r="G83" s="32" t="str">
        <f>IFERROR(__xludf.DUMMYFUNCTION("IF('Résultats des tournois'!F$2=0,"""",LET(
lastVal, INDEX(FILTER($B83:F83, ISNUMBER($B83:F83)), COUNTA(FILTER($B83:F83, ISNUMBER($B83:F83)))),
IFERROR(
IF('Résultats des tournois'!F83="""", INDEX(FILTER($C83:F83, ISNUMBER($C83:F83)), COUNTA(FILTER($C83:F"&amp;"83, ISNUMBER($C83:F83)))),
lastVal + 'K dynamique'!F83 * ((SQRT('Résultats des tournois'!F$2 + 1)/'Résultats des tournois'!F83) - (1 / (1 + 10^((F$103 - lastVal)/400)))))
)
))"),"")</f>
        <v/>
      </c>
      <c r="H83" s="32" t="str">
        <f>IFERROR(__xludf.DUMMYFUNCTION("IF('Résultats des tournois'!G$2=0,"""",LET(
lastVal, INDEX(FILTER($B83:G83, ISNUMBER($B83:G83)), COUNTA(FILTER($B83:G83, ISNUMBER($B83:G83)))),
IFERROR(
IF('Résultats des tournois'!G83="""", INDEX(FILTER($C83:G83, ISNUMBER($C83:G83)), COUNTA(FILTER($C83:G"&amp;"83, ISNUMBER($C83:G83)))),
lastVal + 'K dynamique'!G83 * ((SQRT('Résultats des tournois'!G$2 + 1)/'Résultats des tournois'!G83) - (1 / (1 + 10^((G$103 - lastVal)/400)))))
)
))"),"")</f>
        <v/>
      </c>
      <c r="I83" s="32" t="str">
        <f>IFERROR(__xludf.DUMMYFUNCTION("IF('Résultats des tournois'!H$2=0,"""",LET(
lastVal, INDEX(FILTER($B83:H83, ISNUMBER($B83:H83)), COUNTA(FILTER($B83:H83, ISNUMBER($B83:H83)))),
IFERROR(
IF('Résultats des tournois'!H83="""", INDEX(FILTER($C83:H83, ISNUMBER($C83:H83)), COUNTA(FILTER($C83:H"&amp;"83, ISNUMBER($C83:H83)))),
lastVal + 'K dynamique'!H83 * ((SQRT('Résultats des tournois'!H$2 + 1)/'Résultats des tournois'!H83) - (1 / (1 + 10^((H$103 - lastVal)/400)))))
)
))"),"")</f>
        <v/>
      </c>
      <c r="J83" s="32" t="str">
        <f>IFERROR(__xludf.DUMMYFUNCTION("IF('Résultats des tournois'!I$2=0,"""",LET(
lastVal, INDEX(FILTER($B83:I83, ISNUMBER($B83:I83)), COUNTA(FILTER($B83:I83, ISNUMBER($B83:I83)))),
IFERROR(
IF('Résultats des tournois'!I83="""", INDEX(FILTER($C83:I83, ISNUMBER($C83:I83)), COUNTA(FILTER($C83:I"&amp;"83, ISNUMBER($C83:I83)))),
lastVal + 'K dynamique'!I83 * ((SQRT('Résultats des tournois'!I$2 + 1)/'Résultats des tournois'!I83) - (1 / (1 + 10^((I$103 - lastVal)/400)))))
)
))"),"")</f>
        <v/>
      </c>
      <c r="K83" s="32" t="str">
        <f>IFERROR(__xludf.DUMMYFUNCTION("IF('Résultats des tournois'!J$2=0,"""",LET(
lastVal, INDEX(FILTER($B83:J83, ISNUMBER($B83:J83)), COUNTA(FILTER($B83:J83, ISNUMBER($B83:J83)))),
IFERROR(
IF('Résultats des tournois'!J83="""", INDEX(FILTER($C83:J83, ISNUMBER($C83:J83)), COUNTA(FILTER($C83:J"&amp;"83, ISNUMBER($C83:J83)))),
lastVal + 'K dynamique'!J83 * ((SQRT('Résultats des tournois'!J$2 + 1)/'Résultats des tournois'!J83) - (1 / (1 + 10^((J$103 - lastVal)/400)))))
)
))"),"")</f>
        <v/>
      </c>
      <c r="L83" s="32" t="str">
        <f>IFERROR(__xludf.DUMMYFUNCTION("IF('Résultats des tournois'!K$2=0,"""",LET(
lastVal, INDEX(FILTER($B83:K83, ISNUMBER($B83:K83)), COUNTA(FILTER($B83:K83, ISNUMBER($B83:K83)))),
IFERROR(
IF('Résultats des tournois'!K83="""", INDEX(FILTER($C83:K83, ISNUMBER($C83:K83)), COUNTA(FILTER($C83:K"&amp;"83, ISNUMBER($C83:K83)))),
lastVal + 'K dynamique'!K83 * ((SQRT('Résultats des tournois'!K$2 + 1)/'Résultats des tournois'!K83) - (1 / (1 + 10^((K$103 - lastVal)/400)))))
)
))"),"")</f>
        <v/>
      </c>
      <c r="M83" s="32" t="str">
        <f>IFERROR(__xludf.DUMMYFUNCTION("IF('Résultats des tournois'!L$2=0,"""",LET(
lastVal, INDEX(FILTER($B83:L83, ISNUMBER($B83:L83)), COUNTA(FILTER($B83:L83, ISNUMBER($B83:L83)))),
IFERROR(
IF('Résultats des tournois'!L83="""", INDEX(FILTER($C83:L83, ISNUMBER($C83:L83)), COUNTA(FILTER($C83:L"&amp;"83, ISNUMBER($C83:L83)))),
lastVal + 'K dynamique'!L83 * ((SQRT('Résultats des tournois'!L$2 + 1)/'Résultats des tournois'!L83) - (1 / (1 + 10^((L$103 - lastVal)/400)))))
)
))"),"")</f>
        <v/>
      </c>
      <c r="N83" s="32" t="str">
        <f>IFERROR(__xludf.DUMMYFUNCTION("IF('Résultats des tournois'!M$2=0,"""",LET(
lastVal, INDEX(FILTER($B83:M83, ISNUMBER($B83:M83)), COUNTA(FILTER($B83:M83, ISNUMBER($B83:M83)))),
IFERROR(
IF('Résultats des tournois'!M83="""", INDEX(FILTER($C83:M83, ISNUMBER($C83:M83)), COUNTA(FILTER($C83:M"&amp;"83, ISNUMBER($C83:M83)))),
lastVal + 'K dynamique'!M83 * ((SQRT('Résultats des tournois'!M$2 + 1)/'Résultats des tournois'!M83) - (1 / (1 + 10^((M$103 - lastVal)/400)))))
)
))"),"")</f>
        <v/>
      </c>
      <c r="O83" s="32" t="str">
        <f>IFERROR(__xludf.DUMMYFUNCTION("IF('Résultats des tournois'!N$2=0,"""",LET(
lastVal, INDEX(FILTER($B83:N83, ISNUMBER($B83:N83)), COUNTA(FILTER($B83:N83, ISNUMBER($B83:N83)))),
IFERROR(
IF('Résultats des tournois'!N83="""", INDEX(FILTER($C83:N83, ISNUMBER($C83:N83)), COUNTA(FILTER($C83:N"&amp;"83, ISNUMBER($C83:N83)))),
lastVal + 'K dynamique'!N83 * ((SQRT('Résultats des tournois'!N$2 + 1)/'Résultats des tournois'!N83) - (1 / (1 + 10^((N$103 - lastVal)/400)))))
)
))"),"")</f>
        <v/>
      </c>
      <c r="P83" s="32" t="str">
        <f>IFERROR(__xludf.DUMMYFUNCTION("IF('Résultats des tournois'!O$2=0,"""",LET(
lastVal, INDEX(FILTER($B83:O83, ISNUMBER($B83:O83)), COUNTA(FILTER($B83:O83, ISNUMBER($B83:O83)))),
IFERROR(
IF('Résultats des tournois'!O83="""", INDEX(FILTER($C83:O83, ISNUMBER($C83:O83)), COUNTA(FILTER($C83:O"&amp;"83, ISNUMBER($C83:O83)))),
lastVal + 'K dynamique'!O83 * ((SQRT('Résultats des tournois'!O$2 + 1)/'Résultats des tournois'!O83) - (1 / (1 + 10^((O$103 - lastVal)/400)))))
)
))"),"")</f>
        <v/>
      </c>
      <c r="Q83" s="32" t="str">
        <f>IFERROR(__xludf.DUMMYFUNCTION("IF('Résultats des tournois'!P$2=0,"""",LET(
lastVal, INDEX(FILTER($B83:P83, ISNUMBER($B83:P83)), COUNTA(FILTER($B83:P83, ISNUMBER($B83:P83)))),
IFERROR(
IF('Résultats des tournois'!P83="""", INDEX(FILTER($C83:P83, ISNUMBER($C83:P83)), COUNTA(FILTER($C83:P"&amp;"83, ISNUMBER($C83:P83)))),
lastVal + 'K dynamique'!P83 * ((SQRT('Résultats des tournois'!P$2 + 1)/'Résultats des tournois'!P83) - (1 / (1 + 10^((P$103 - lastVal)/400)))))
)
))"),"")</f>
        <v/>
      </c>
      <c r="R83" s="32" t="str">
        <f>IFERROR(__xludf.DUMMYFUNCTION("IF('Résultats des tournois'!Q$2=0,"""",LET(
lastVal, INDEX(FILTER($B83:Q83, ISNUMBER($B83:Q83)), COUNTA(FILTER($B83:Q83, ISNUMBER($B83:Q83)))),
IFERROR(
IF('Résultats des tournois'!Q83="""", INDEX(FILTER($C83:Q83, ISNUMBER($C83:Q83)), COUNTA(FILTER($C83:Q"&amp;"83, ISNUMBER($C83:Q83)))),
lastVal + 'K dynamique'!Q83 * ((SQRT('Résultats des tournois'!Q$2 + 1)/'Résultats des tournois'!Q83) - (1 / (1 + 10^((Q$103 - lastVal)/400)))))
)
))"),"")</f>
        <v/>
      </c>
      <c r="S83" s="32" t="str">
        <f>IFERROR(__xludf.DUMMYFUNCTION("IF('Résultats des tournois'!R$2=0,"""",LET(
lastVal, INDEX(FILTER($B83:R83, ISNUMBER($B83:R83)), COUNTA(FILTER($B83:R83, ISNUMBER($B83:R83)))),
IFERROR(
IF('Résultats des tournois'!R83="""", INDEX(FILTER($C83:R83, ISNUMBER($C83:R83)), COUNTA(FILTER($C83:R"&amp;"83, ISNUMBER($C83:R83)))),
lastVal + 'K dynamique'!R83 * ((SQRT('Résultats des tournois'!R$2 + 1)/'Résultats des tournois'!R83) - (1 / (1 + 10^((R$103 - lastVal)/400)))))
)
))"),"")</f>
        <v/>
      </c>
      <c r="T83" s="32" t="str">
        <f>IFERROR(__xludf.DUMMYFUNCTION("IF('Résultats des tournois'!S$2=0,"""",LET(
lastVal, INDEX(FILTER($B83:S83, ISNUMBER($B83:S83)), COUNTA(FILTER($B83:S83, ISNUMBER($B83:S83)))),
IFERROR(
IF('Résultats des tournois'!S83="""", INDEX(FILTER($C83:S83, ISNUMBER($C83:S83)), COUNTA(FILTER($C83:S"&amp;"83, ISNUMBER($C83:S83)))),
lastVal + 'K dynamique'!S83 * ((SQRT('Résultats des tournois'!S$2 + 1)/'Résultats des tournois'!S83) - (1 / (1 + 10^((S$103 - lastVal)/400)))))
)
))"),"")</f>
        <v/>
      </c>
      <c r="U83" s="32" t="str">
        <f>IFERROR(__xludf.DUMMYFUNCTION("IF('Résultats des tournois'!T$2=0,"""",LET(
lastVal, INDEX(FILTER($B83:T83, ISNUMBER($B83:T83)), COUNTA(FILTER($B83:T83, ISNUMBER($B83:T83)))),
IFERROR(
IF('Résultats des tournois'!T83="""", INDEX(FILTER($C83:T83, ISNUMBER($C83:T83)), COUNTA(FILTER($C83:T"&amp;"83, ISNUMBER($C83:T83)))),
lastVal + 'K dynamique'!T83 * ((SQRT('Résultats des tournois'!T$2 + 1)/'Résultats des tournois'!T83) - (1 / (1 + 10^((T$103 - lastVal)/400)))))
)
))"),"")</f>
        <v/>
      </c>
      <c r="V83" s="32" t="str">
        <f>IFERROR(__xludf.DUMMYFUNCTION("IF('Résultats des tournois'!U$2=0,"""",LET(
lastVal, INDEX(FILTER($B83:U83, ISNUMBER($B83:U83)), COUNTA(FILTER($B83:U83, ISNUMBER($B83:U83)))),
IFERROR(
IF('Résultats des tournois'!U83="""", INDEX(FILTER($C83:U83, ISNUMBER($C83:U83)), COUNTA(FILTER($C83:U"&amp;"83, ISNUMBER($C83:U83)))),
lastVal + 'K dynamique'!U83 * ((SQRT('Résultats des tournois'!U$2 + 1)/'Résultats des tournois'!U83) - (1 / (1 + 10^((U$103 - lastVal)/400)))))
)
))"),"")</f>
        <v/>
      </c>
      <c r="W83" s="32" t="str">
        <f>IFERROR(__xludf.DUMMYFUNCTION("IF('Résultats des tournois'!V$2=0,"""",LET(
lastVal, INDEX(FILTER($B83:V83, ISNUMBER($B83:V83)), COUNTA(FILTER($B83:V83, ISNUMBER($B83:V83)))),
IFERROR(
IF('Résultats des tournois'!V83="""", INDEX(FILTER($C83:V83, ISNUMBER($C83:V83)), COUNTA(FILTER($C83:V"&amp;"83, ISNUMBER($C83:V83)))),
lastVal + 'K dynamique'!V83 * ((SQRT('Résultats des tournois'!V$2 + 1)/'Résultats des tournois'!V83) - (1 / (1 + 10^((V$103 - lastVal)/400)))))
)
))"),"")</f>
        <v/>
      </c>
      <c r="X83" s="32" t="str">
        <f>IFERROR(__xludf.DUMMYFUNCTION("IF('Résultats des tournois'!W$2=0,"""",LET(
lastVal, INDEX(FILTER($B83:W83, ISNUMBER($B83:W83)), COUNTA(FILTER($B83:W83, ISNUMBER($B83:W83)))),
IFERROR(
IF('Résultats des tournois'!W83="""", INDEX(FILTER($C83:W83, ISNUMBER($C83:W83)), COUNTA(FILTER($C83:W"&amp;"83, ISNUMBER($C83:W83)))),
lastVal + 'K dynamique'!W83 * ((SQRT('Résultats des tournois'!W$2 + 1)/'Résultats des tournois'!W83) - (1 / (1 + 10^((W$103 - lastVal)/400)))))
)
))"),"")</f>
        <v/>
      </c>
      <c r="Y83" s="32" t="str">
        <f>IFERROR(__xludf.DUMMYFUNCTION("IF('Résultats des tournois'!X$2=0,"""",LET(
lastVal, INDEX(FILTER($B83:X83, ISNUMBER($B83:X83)), COUNTA(FILTER($B83:X83, ISNUMBER($B83:X83)))),
IFERROR(
IF('Résultats des tournois'!X83="""", INDEX(FILTER($C83:X83, ISNUMBER($C83:X83)), COUNTA(FILTER($C83:X"&amp;"83, ISNUMBER($C83:X83)))),
lastVal + 'K dynamique'!X83 * ((SQRT('Résultats des tournois'!X$2 + 1)/'Résultats des tournois'!X83) - (1 / (1 + 10^((X$103 - lastVal)/400)))))
)
))"),"")</f>
        <v/>
      </c>
      <c r="Z83" s="32" t="str">
        <f>IFERROR(__xludf.DUMMYFUNCTION("IF('Résultats des tournois'!Y$2=0,"""",LET(
lastVal, INDEX(FILTER($B83:Y83, ISNUMBER($B83:Y83)), COUNTA(FILTER($B83:Y83, ISNUMBER($B83:Y83)))),
IFERROR(
IF('Résultats des tournois'!Y83="""", INDEX(FILTER($C83:Y83, ISNUMBER($C83:Y83)), COUNTA(FILTER($C83:Y"&amp;"83, ISNUMBER($C83:Y83)))),
lastVal + 'K dynamique'!Y83 * ((SQRT('Résultats des tournois'!Y$2 + 1)/'Résultats des tournois'!Y83) - (1 / (1 + 10^((Y$103 - lastVal)/400)))))
)
))"),"")</f>
        <v/>
      </c>
      <c r="AA83" s="32" t="str">
        <f>IFERROR(__xludf.DUMMYFUNCTION("IF('Résultats des tournois'!Z$2=0,"""",LET(
lastVal, INDEX(FILTER($B83:Z83, ISNUMBER($B83:Z83)), COUNTA(FILTER($B83:Z83, ISNUMBER($B83:Z83)))),
IFERROR(
IF('Résultats des tournois'!Z83="""", INDEX(FILTER($C83:Z83, ISNUMBER($C83:Z83)), COUNTA(FILTER($C83:Z"&amp;"83, ISNUMBER($C83:Z83)))),
lastVal + 'K dynamique'!Z83 * ((SQRT('Résultats des tournois'!Z$2 + 1)/'Résultats des tournois'!Z83) - (1 / (1 + 10^((Z$103 - lastVal)/400)))))
)
))"),"")</f>
        <v/>
      </c>
      <c r="AB83" s="32" t="str">
        <f>IFERROR(__xludf.DUMMYFUNCTION("IF('Résultats des tournois'!AA$2=0,"""",LET(
lastVal, INDEX(FILTER($B83:AA83, ISNUMBER($B83:AA83)), COUNTA(FILTER($B83:AA83, ISNUMBER($B83:AA83)))),
IFERROR(
IF('Résultats des tournois'!AA83="""", INDEX(FILTER($C83:AA83, ISNUMBER($C83:AA83)), COUNTA(FILTE"&amp;"R($C83:AA83, ISNUMBER($C83:AA83)))),
lastVal + 'K dynamique'!AA83 * ((SQRT('Résultats des tournois'!AA$2 + 1)/'Résultats des tournois'!AA83) - (1 / (1 + 10^((AA$103 - lastVal)/400)))))
)
))"),"")</f>
        <v/>
      </c>
      <c r="AC83" s="32" t="str">
        <f>IFERROR(__xludf.DUMMYFUNCTION("IF('Résultats des tournois'!AB$2=0,"""",LET(
lastVal, INDEX(FILTER($B83:AB83, ISNUMBER($B83:AB83)), COUNTA(FILTER($B83:AB83, ISNUMBER($B83:AB83)))),
IFERROR(
IF('Résultats des tournois'!AB83="""", INDEX(FILTER($C83:AB83, ISNUMBER($C83:AB83)), COUNTA(FILTE"&amp;"R($C83:AB83, ISNUMBER($C83:AB83)))),
lastVal + 'K dynamique'!AB83 * ((SQRT('Résultats des tournois'!AB$2 + 1)/'Résultats des tournois'!AB83) - (1 / (1 + 10^((AB$103 - lastVal)/400)))))
)
))"),"")</f>
        <v/>
      </c>
      <c r="AD83" s="32" t="str">
        <f>IFERROR(__xludf.DUMMYFUNCTION("IF('Résultats des tournois'!AC$2=0,"""",LET(
lastVal, INDEX(FILTER($B83:AC83, ISNUMBER($B83:AC83)), COUNTA(FILTER($B83:AC83, ISNUMBER($B83:AC83)))),
IFERROR(
IF('Résultats des tournois'!AC83="""", INDEX(FILTER($C83:AC83, ISNUMBER($C83:AC83)), COUNTA(FILTE"&amp;"R($C83:AC83, ISNUMBER($C83:AC83)))),
lastVal + 'K dynamique'!AC83 * ((SQRT('Résultats des tournois'!AC$2 + 1)/'Résultats des tournois'!AC83) - (1 / (1 + 10^((AC$103 - lastVal)/400)))))
)
))"),"")</f>
        <v/>
      </c>
      <c r="AE83" s="32" t="str">
        <f>IFERROR(__xludf.DUMMYFUNCTION("IF('Résultats des tournois'!AD$2=0,"""",LET(
lastVal, INDEX(FILTER($B83:AD83, ISNUMBER($B83:AD83)), COUNTA(FILTER($B83:AD83, ISNUMBER($B83:AD83)))),
IFERROR(
IF('Résultats des tournois'!AD83="""", INDEX(FILTER($C83:AD83, ISNUMBER($C83:AD83)), COUNTA(FILTE"&amp;"R($C83:AD83, ISNUMBER($C83:AD83)))),
lastVal + 'K dynamique'!AD83 * ((SQRT('Résultats des tournois'!AD$2 + 1)/'Résultats des tournois'!AD83) - (1 / (1 + 10^((AD$103 - lastVal)/400)))))
)
))"),"")</f>
        <v/>
      </c>
      <c r="AF83" s="32" t="str">
        <f>IFERROR(__xludf.DUMMYFUNCTION("IF('Résultats des tournois'!AE$2=0,"""",LET(
lastVal, INDEX(FILTER($B83:AE83, ISNUMBER($B83:AE83)), COUNTA(FILTER($B83:AE83, ISNUMBER($B83:AE83)))),
IFERROR(
IF('Résultats des tournois'!AE83="""", INDEX(FILTER($C83:AE83, ISNUMBER($C83:AE83)), COUNTA(FILTE"&amp;"R($C83:AE83, ISNUMBER($C83:AE83)))),
lastVal + 'K dynamique'!AE83 * ((SQRT('Résultats des tournois'!AE$2 + 1)/'Résultats des tournois'!AE83) - (1 / (1 + 10^((AE$103 - lastVal)/400)))))
)
))"),"")</f>
        <v/>
      </c>
      <c r="AG83" s="32" t="str">
        <f>IFERROR(__xludf.DUMMYFUNCTION("IF('Résultats des tournois'!AF$2=0,"""",LET(
lastVal, INDEX(FILTER($B83:AF83, ISNUMBER($B83:AF83)), COUNTA(FILTER($B83:AF83, ISNUMBER($B83:AF83)))),
IFERROR(
IF('Résultats des tournois'!AF83="""", INDEX(FILTER($C83:AF83, ISNUMBER($C83:AF83)), COUNTA(FILTE"&amp;"R($C83:AF83, ISNUMBER($C83:AF83)))),
lastVal + 'K dynamique'!AF83 * ((SQRT('Résultats des tournois'!AF$2 + 1)/'Résultats des tournois'!AF83) - (1 / (1 + 10^((AF$103 - lastVal)/400)))))
)
))"),"")</f>
        <v/>
      </c>
      <c r="AH83" s="32" t="str">
        <f>IFERROR(__xludf.DUMMYFUNCTION("IF('Résultats des tournois'!AG$2=0,"""",LET(
lastVal, INDEX(FILTER($B83:AG83, ISNUMBER($B83:AG83)), COUNTA(FILTER($B83:AG83, ISNUMBER($B83:AG83)))),
IFERROR(
IF('Résultats des tournois'!AG83="""", INDEX(FILTER($C83:AG83, ISNUMBER($C83:AG83)), COUNTA(FILTE"&amp;"R($C83:AG83, ISNUMBER($C83:AG83)))),
lastVal + 'K dynamique'!AG83 * ((SQRT('Résultats des tournois'!AG$2 + 1)/'Résultats des tournois'!AG83) - (1 / (1 + 10^((AG$103 - lastVal)/400)))))
)
))"),"")</f>
        <v/>
      </c>
      <c r="AI83" s="32" t="str">
        <f>IFERROR(__xludf.DUMMYFUNCTION("IF('Résultats des tournois'!AH$2=0,"""",LET(
lastVal, INDEX(FILTER($B83:AH83, ISNUMBER($B83:AH83)), COUNTA(FILTER($B83:AH83, ISNUMBER($B83:AH83)))),
IFERROR(
IF('Résultats des tournois'!AH83="""", INDEX(FILTER($C83:AH83, ISNUMBER($C83:AH83)), COUNTA(FILTE"&amp;"R($C83:AH83, ISNUMBER($C83:AH83)))),
lastVal + 'K dynamique'!AH83 * ((SQRT('Résultats des tournois'!AH$2 + 1)/'Résultats des tournois'!AH83) - (1 / (1 + 10^((AH$103 - lastVal)/400)))))
)
))"),"")</f>
        <v/>
      </c>
      <c r="AJ83" s="32" t="str">
        <f>IFERROR(__xludf.DUMMYFUNCTION("IF('Résultats des tournois'!AI$2=0,"""",LET(
lastVal, INDEX(FILTER($B83:AI83, ISNUMBER($B83:AI83)), COUNTA(FILTER($B83:AI83, ISNUMBER($B83:AI83)))),
IFERROR(
IF('Résultats des tournois'!AI83="""", INDEX(FILTER($C83:AI83, ISNUMBER($C83:AI83)), COUNTA(FILTE"&amp;"R($C83:AI83, ISNUMBER($C83:AI83)))),
lastVal + 'K dynamique'!AI83 * ((SQRT('Résultats des tournois'!AI$2 + 1)/'Résultats des tournois'!AI83) - (1 / (1 + 10^((AI$103 - lastVal)/400)))))
)
))"),"")</f>
        <v/>
      </c>
      <c r="AK83" s="32" t="str">
        <f>IFERROR(__xludf.DUMMYFUNCTION("IF('Résultats des tournois'!AJ$2=0,"""",LET(
lastVal, INDEX(FILTER($B83:AJ83, ISNUMBER($B83:AJ83)), COUNTA(FILTER($B83:AJ83, ISNUMBER($B83:AJ83)))),
IFERROR(
IF('Résultats des tournois'!AJ83="""", INDEX(FILTER($C83:AJ83, ISNUMBER($C83:AJ83)), COUNTA(FILTE"&amp;"R($C83:AJ83, ISNUMBER($C83:AJ83)))),
lastVal + 'K dynamique'!AJ83 * ((SQRT('Résultats des tournois'!AJ$2 + 1)/'Résultats des tournois'!AJ83) - (1 / (1 + 10^((AJ$103 - lastVal)/400)))))
)
))"),"")</f>
        <v/>
      </c>
      <c r="AL83" s="32" t="str">
        <f>IFERROR(__xludf.DUMMYFUNCTION("IF('Résultats des tournois'!AK$2=0,"""",LET(
lastVal, INDEX(FILTER($B83:AK83, ISNUMBER($B83:AK83)), COUNTA(FILTER($B83:AK83, ISNUMBER($B83:AK83)))),
IFERROR(
IF('Résultats des tournois'!AK83="""", INDEX(FILTER($C83:AK83, ISNUMBER($C83:AK83)), COUNTA(FILTE"&amp;"R($C83:AK83, ISNUMBER($C83:AK83)))),
lastVal + 'K dynamique'!AK83 * ((SQRT('Résultats des tournois'!AK$2 + 1)/'Résultats des tournois'!AK83) - (1 / (1 + 10^((AK$103 - lastVal)/400)))))
)
))"),"")</f>
        <v/>
      </c>
      <c r="AM83" s="32" t="str">
        <f>IFERROR(__xludf.DUMMYFUNCTION("IF('Résultats des tournois'!AL$2=0,"""",LET(
lastVal, INDEX(FILTER($B83:AL83, ISNUMBER($B83:AL83)), COUNTA(FILTER($B83:AL83, ISNUMBER($B83:AL83)))),
IFERROR(
IF('Résultats des tournois'!AL83="""", INDEX(FILTER($C83:AL83, ISNUMBER($C83:AL83)), COUNTA(FILTE"&amp;"R($C83:AL83, ISNUMBER($C83:AL83)))),
lastVal + 'K dynamique'!AL83 * ((SQRT('Résultats des tournois'!AL$2 + 1)/'Résultats des tournois'!AL83) - (1 / (1 + 10^((AL$103 - lastVal)/400)))))
)
))"),"")</f>
        <v/>
      </c>
      <c r="AN83" s="32" t="str">
        <f>IFERROR(__xludf.DUMMYFUNCTION("IF('Résultats des tournois'!AM$2=0,"""",LET(
lastVal, INDEX(FILTER($B83:AM83, ISNUMBER($B83:AM83)), COUNTA(FILTER($B83:AM83, ISNUMBER($B83:AM83)))),
IFERROR(
IF('Résultats des tournois'!AM83="""", INDEX(FILTER($C83:AM83, ISNUMBER($C83:AM83)), COUNTA(FILTE"&amp;"R($C83:AM83, ISNUMBER($C83:AM83)))),
lastVal + 'K dynamique'!AM83 * ((SQRT('Résultats des tournois'!AM$2 + 1)/'Résultats des tournois'!AM83) - (1 / (1 + 10^((AM$103 - lastVal)/400)))))
)
))"),"")</f>
        <v/>
      </c>
      <c r="AO83" s="32" t="str">
        <f>IFERROR(__xludf.DUMMYFUNCTION("IF('Résultats des tournois'!AN$2=0,"""",LET(
lastVal, INDEX(FILTER($B83:AN83, ISNUMBER($B83:AN83)), COUNTA(FILTER($B83:AN83, ISNUMBER($B83:AN83)))),
IFERROR(
IF('Résultats des tournois'!AN83="""", INDEX(FILTER($C83:AN83, ISNUMBER($C83:AN83)), COUNTA(FILTE"&amp;"R($C83:AN83, ISNUMBER($C83:AN83)))),
lastVal + 'K dynamique'!AN83 * ((SQRT('Résultats des tournois'!AN$2 + 1)/'Résultats des tournois'!AN83) - (1 / (1 + 10^((AN$103 - lastVal)/400)))))
)
))"),"")</f>
        <v/>
      </c>
      <c r="AP83" s="32" t="str">
        <f>IFERROR(__xludf.DUMMYFUNCTION("IF('Résultats des tournois'!AO$2=0,"""",LET(
lastVal, INDEX(FILTER($B83:AO83, ISNUMBER($B83:AO83)), COUNTA(FILTER($B83:AO83, ISNUMBER($B83:AO83)))),
IFERROR(
IF('Résultats des tournois'!AO83="""", INDEX(FILTER($C83:AO83, ISNUMBER($C83:AO83)), COUNTA(FILTE"&amp;"R($C83:AO83, ISNUMBER($C83:AO83)))),
lastVal + 'K dynamique'!AO83 * ((SQRT('Résultats des tournois'!AO$2 + 1)/'Résultats des tournois'!AO83) - (1 / (1 + 10^((AO$103 - lastVal)/400)))))
)
))"),"")</f>
        <v/>
      </c>
      <c r="AQ83" s="32" t="str">
        <f>IFERROR(__xludf.DUMMYFUNCTION("IF('Résultats des tournois'!AP$2=0,"""",LET(
lastVal, INDEX(FILTER($B83:AP83, ISNUMBER($B83:AP83)), COUNTA(FILTER($B83:AP83, ISNUMBER($B83:AP83)))),
IFERROR(
IF('Résultats des tournois'!AP83="""", INDEX(FILTER($C83:AP83, ISNUMBER($C83:AP83)), COUNTA(FILTE"&amp;"R($C83:AP83, ISNUMBER($C83:AP83)))),
lastVal + 'K dynamique'!AP83 * ((SQRT('Résultats des tournois'!AP$2 + 1)/'Résultats des tournois'!AP83) - (1 / (1 + 10^((AP$103 - lastVal)/400)))))
)
))"),"")</f>
        <v/>
      </c>
      <c r="AR83" s="32" t="str">
        <f>IFERROR(__xludf.DUMMYFUNCTION("IF('Résultats des tournois'!AQ$2=0,"""",LET(
lastVal, INDEX(FILTER($B83:AQ83, ISNUMBER($B83:AQ83)), COUNTA(FILTER($B83:AQ83, ISNUMBER($B83:AQ83)))),
IFERROR(
IF('Résultats des tournois'!AQ83="""", INDEX(FILTER($C83:AQ83, ISNUMBER($C83:AQ83)), COUNTA(FILTE"&amp;"R($C83:AQ83, ISNUMBER($C83:AQ83)))),
lastVal + 'K dynamique'!AQ83 * ((SQRT('Résultats des tournois'!AQ$2 + 1)/'Résultats des tournois'!AQ83) - (1 / (1 + 10^((AQ$103 - lastVal)/400)))))
)
))"),"")</f>
        <v/>
      </c>
      <c r="AS83" s="32" t="str">
        <f>IFERROR(__xludf.DUMMYFUNCTION("IF('Résultats des tournois'!AR$2=0,"""",LET(
lastVal, INDEX(FILTER($B83:AR83, ISNUMBER($B83:AR83)), COUNTA(FILTER($B83:AR83, ISNUMBER($B83:AR83)))),
IFERROR(
IF('Résultats des tournois'!AR83="""", INDEX(FILTER($C83:AR83, ISNUMBER($C83:AR83)), COUNTA(FILTE"&amp;"R($C83:AR83, ISNUMBER($C83:AR83)))),
lastVal + 'K dynamique'!AR83 * ((SQRT('Résultats des tournois'!AR$2 + 1)/'Résultats des tournois'!AR83) - (1 / (1 + 10^((AR$103 - lastVal)/400)))))
)
))"),"")</f>
        <v/>
      </c>
      <c r="AT83" s="32" t="str">
        <f>IFERROR(__xludf.DUMMYFUNCTION("IF('Résultats des tournois'!AS$2=0,"""",LET(
lastVal, INDEX(FILTER($B83:AS83, ISNUMBER($B83:AS83)), COUNTA(FILTER($B83:AS83, ISNUMBER($B83:AS83)))),
IFERROR(
IF('Résultats des tournois'!AS83="""", INDEX(FILTER($C83:AS83, ISNUMBER($C83:AS83)), COUNTA(FILTE"&amp;"R($C83:AS83, ISNUMBER($C83:AS83)))),
lastVal + 'K dynamique'!AS83 * ((SQRT('Résultats des tournois'!AS$2 + 1)/'Résultats des tournois'!AS83) - (1 / (1 + 10^((AS$103 - lastVal)/400)))))
)
))"),"")</f>
        <v/>
      </c>
      <c r="AU83" s="32" t="str">
        <f>IFERROR(__xludf.DUMMYFUNCTION("IF('Résultats des tournois'!AT$2=0,"""",LET(
lastVal, INDEX(FILTER($B83:AT83, ISNUMBER($B83:AT83)), COUNTA(FILTER($B83:AT83, ISNUMBER($B83:AT83)))),
IFERROR(
IF('Résultats des tournois'!AT83="""", INDEX(FILTER($C83:AT83, ISNUMBER($C83:AT83)), COUNTA(FILTE"&amp;"R($C83:AT83, ISNUMBER($C83:AT83)))),
lastVal + 'K dynamique'!AT83 * ((SQRT('Résultats des tournois'!AT$2 + 1)/'Résultats des tournois'!AT83) - (1 / (1 + 10^((AT$103 - lastVal)/400)))))
)
))"),"")</f>
        <v/>
      </c>
      <c r="AV83" s="32" t="str">
        <f>IFERROR(__xludf.DUMMYFUNCTION("IF('Résultats des tournois'!AU$2=0,"""",LET(
lastVal, INDEX(FILTER($B83:AU83, ISNUMBER($B83:AU83)), COUNTA(FILTER($B83:AU83, ISNUMBER($B83:AU83)))),
IFERROR(
IF('Résultats des tournois'!AU83="""", INDEX(FILTER($C83:AU83, ISNUMBER($C83:AU83)), COUNTA(FILTE"&amp;"R($C83:AU83, ISNUMBER($C83:AU83)))),
lastVal + 'K dynamique'!AU83 * ((SQRT('Résultats des tournois'!AU$2 + 1)/'Résultats des tournois'!AU83) - (1 / (1 + 10^((AU$103 - lastVal)/400)))))
)
))"),"")</f>
        <v/>
      </c>
      <c r="AW83" s="32" t="str">
        <f>IFERROR(__xludf.DUMMYFUNCTION("IF('Résultats des tournois'!AV$2=0,"""",LET(
lastVal, INDEX(FILTER($B83:AV83, ISNUMBER($B83:AV83)), COUNTA(FILTER($B83:AV83, ISNUMBER($B83:AV83)))),
IFERROR(
IF('Résultats des tournois'!AV83="""", INDEX(FILTER($C83:AV83, ISNUMBER($C83:AV83)), COUNTA(FILTE"&amp;"R($C83:AV83, ISNUMBER($C83:AV83)))),
lastVal + 'K dynamique'!AV83 * ((SQRT('Résultats des tournois'!AV$2 + 1)/'Résultats des tournois'!AV83) - (1 / (1 + 10^((AV$103 - lastVal)/400)))))
)
))"),"")</f>
        <v/>
      </c>
      <c r="AX83" s="32" t="str">
        <f>IFERROR(__xludf.DUMMYFUNCTION("IF('Résultats des tournois'!AW$2=0,"""",LET(
lastVal, INDEX(FILTER($B83:AW83, ISNUMBER($B83:AW83)), COUNTA(FILTER($B83:AW83, ISNUMBER($B83:AW83)))),
IFERROR(
IF('Résultats des tournois'!AW83="""", INDEX(FILTER($C83:AW83, ISNUMBER($C83:AW83)), COUNTA(FILTE"&amp;"R($C83:AW83, ISNUMBER($C83:AW83)))),
lastVal + 'K dynamique'!AW83 * ((SQRT('Résultats des tournois'!AW$2 + 1)/'Résultats des tournois'!AW83) - (1 / (1 + 10^((AW$103 - lastVal)/400)))))
)
))"),"")</f>
        <v/>
      </c>
      <c r="AY83" s="32" t="str">
        <f>IFERROR(__xludf.DUMMYFUNCTION("IF('Résultats des tournois'!AX$2=0,"""",LET(
lastVal, INDEX(FILTER($B83:AX83, ISNUMBER($B83:AX83)), COUNTA(FILTER($B83:AX83, ISNUMBER($B83:AX83)))),
IFERROR(
IF('Résultats des tournois'!AX83="""", INDEX(FILTER($C83:AX83, ISNUMBER($C83:AX83)), COUNTA(FILTE"&amp;"R($C83:AX83, ISNUMBER($C83:AX83)))),
lastVal + 'K dynamique'!AX83 * ((SQRT('Résultats des tournois'!AX$2 + 1)/'Résultats des tournois'!AX83) - (1 / (1 + 10^((AX$103 - lastVal)/400)))))
)
))"),"")</f>
        <v/>
      </c>
      <c r="AZ83" s="4" t="str">
        <f t="array" ref="AZ83">IF(MAX(($C83:AY83&lt;&gt;"")*COLUMN($C83:AY83))=0,"",INDEX($C83:AY83,1,MAX(($C83:AY83&lt;&gt;"")*COLUMN($C83:AY83))-COLUMN($C83)+1))</f>
        <v/>
      </c>
      <c r="BA83" s="33" t="str">
        <f t="shared" si="1"/>
        <v/>
      </c>
    </row>
    <row r="84" ht="14.25" customHeight="1">
      <c r="A84" s="32" t="str">
        <f>IF('Résultats des tournois'!A84="","",'Résultats des tournois'!A84)</f>
        <v/>
      </c>
      <c r="B84" s="32">
        <v>1500.0</v>
      </c>
      <c r="C84" s="32" t="str">
        <f>IF('Résultats des tournois'!B84="","",B84+'K dynamique'!B84*((SQRT('Résultats des tournois'!B$2+1)/'Résultats des tournois'!B84)-(1/(1+10^((B84-B84)/400)))))</f>
        <v/>
      </c>
      <c r="D84" s="32" t="str">
        <f>IFERROR(__xludf.DUMMYFUNCTION("IF('Résultats des tournois'!C$2=0,"""",LET(
lastVal, INDEX(FILTER($B84:C84, ISNUMBER($B84:C84)), COUNTA(FILTER($B84:C84, ISNUMBER($B84:C84)))),
IFERROR(
IF('Résultats des tournois'!C84="""", INDEX(FILTER($C84:C84, ISNUMBER($C84:C84)), COUNTA(FILTER($C84:C"&amp;"84, ISNUMBER($C84:C84)))),
lastVal + 'K dynamique'!C84 * ((SQRT('Résultats des tournois'!C$2 + 1)/'Résultats des tournois'!C84) - (1 / (1 + 10^((C$103 - lastVal)/400)))))
)
))"),"")</f>
        <v/>
      </c>
      <c r="E84" s="32" t="str">
        <f>IFERROR(__xludf.DUMMYFUNCTION("IF('Résultats des tournois'!D$2=0,"""",LET(
lastVal, INDEX(FILTER($B84:D84, ISNUMBER($B84:D84)), COUNTA(FILTER($B84:D84, ISNUMBER($B84:D84)))),
IFERROR(
IF('Résultats des tournois'!D84="""", INDEX(FILTER($C84:D84, ISNUMBER($C84:D84)), COUNTA(FILTER($C84:D"&amp;"84, ISNUMBER($C84:D84)))),
lastVal + 'K dynamique'!D84 * ((SQRT('Résultats des tournois'!D$2 + 1)/'Résultats des tournois'!D84) - (1 / (1 + 10^((D$103 - lastVal)/400)))))
)
))"),"")</f>
        <v/>
      </c>
      <c r="F84" s="32" t="str">
        <f>IFERROR(__xludf.DUMMYFUNCTION("IF('Résultats des tournois'!E$2=0,"""",LET(
lastVal, INDEX(FILTER($B84:E84, ISNUMBER($B84:E84)), COUNTA(FILTER($B84:E84, ISNUMBER($B84:E84)))),
IFERROR(
IF('Résultats des tournois'!E84="""", INDEX(FILTER($C84:E84, ISNUMBER($C84:E84)), COUNTA(FILTER($C84:E"&amp;"84, ISNUMBER($C84:E84)))),
lastVal + 'K dynamique'!E84 * ((SQRT('Résultats des tournois'!E$2 + 1)/'Résultats des tournois'!E84) - (1 / (1 + 10^((E$103 - lastVal)/400)))))
)
))"),"")</f>
        <v/>
      </c>
      <c r="G84" s="32" t="str">
        <f>IFERROR(__xludf.DUMMYFUNCTION("IF('Résultats des tournois'!F$2=0,"""",LET(
lastVal, INDEX(FILTER($B84:F84, ISNUMBER($B84:F84)), COUNTA(FILTER($B84:F84, ISNUMBER($B84:F84)))),
IFERROR(
IF('Résultats des tournois'!F84="""", INDEX(FILTER($C84:F84, ISNUMBER($C84:F84)), COUNTA(FILTER($C84:F"&amp;"84, ISNUMBER($C84:F84)))),
lastVal + 'K dynamique'!F84 * ((SQRT('Résultats des tournois'!F$2 + 1)/'Résultats des tournois'!F84) - (1 / (1 + 10^((F$103 - lastVal)/400)))))
)
))"),"")</f>
        <v/>
      </c>
      <c r="H84" s="32" t="str">
        <f>IFERROR(__xludf.DUMMYFUNCTION("IF('Résultats des tournois'!G$2=0,"""",LET(
lastVal, INDEX(FILTER($B84:G84, ISNUMBER($B84:G84)), COUNTA(FILTER($B84:G84, ISNUMBER($B84:G84)))),
IFERROR(
IF('Résultats des tournois'!G84="""", INDEX(FILTER($C84:G84, ISNUMBER($C84:G84)), COUNTA(FILTER($C84:G"&amp;"84, ISNUMBER($C84:G84)))),
lastVal + 'K dynamique'!G84 * ((SQRT('Résultats des tournois'!G$2 + 1)/'Résultats des tournois'!G84) - (1 / (1 + 10^((G$103 - lastVal)/400)))))
)
))"),"")</f>
        <v/>
      </c>
      <c r="I84" s="32" t="str">
        <f>IFERROR(__xludf.DUMMYFUNCTION("IF('Résultats des tournois'!H$2=0,"""",LET(
lastVal, INDEX(FILTER($B84:H84, ISNUMBER($B84:H84)), COUNTA(FILTER($B84:H84, ISNUMBER($B84:H84)))),
IFERROR(
IF('Résultats des tournois'!H84="""", INDEX(FILTER($C84:H84, ISNUMBER($C84:H84)), COUNTA(FILTER($C84:H"&amp;"84, ISNUMBER($C84:H84)))),
lastVal + 'K dynamique'!H84 * ((SQRT('Résultats des tournois'!H$2 + 1)/'Résultats des tournois'!H84) - (1 / (1 + 10^((H$103 - lastVal)/400)))))
)
))"),"")</f>
        <v/>
      </c>
      <c r="J84" s="32" t="str">
        <f>IFERROR(__xludf.DUMMYFUNCTION("IF('Résultats des tournois'!I$2=0,"""",LET(
lastVal, INDEX(FILTER($B84:I84, ISNUMBER($B84:I84)), COUNTA(FILTER($B84:I84, ISNUMBER($B84:I84)))),
IFERROR(
IF('Résultats des tournois'!I84="""", INDEX(FILTER($C84:I84, ISNUMBER($C84:I84)), COUNTA(FILTER($C84:I"&amp;"84, ISNUMBER($C84:I84)))),
lastVal + 'K dynamique'!I84 * ((SQRT('Résultats des tournois'!I$2 + 1)/'Résultats des tournois'!I84) - (1 / (1 + 10^((I$103 - lastVal)/400)))))
)
))"),"")</f>
        <v/>
      </c>
      <c r="K84" s="32" t="str">
        <f>IFERROR(__xludf.DUMMYFUNCTION("IF('Résultats des tournois'!J$2=0,"""",LET(
lastVal, INDEX(FILTER($B84:J84, ISNUMBER($B84:J84)), COUNTA(FILTER($B84:J84, ISNUMBER($B84:J84)))),
IFERROR(
IF('Résultats des tournois'!J84="""", INDEX(FILTER($C84:J84, ISNUMBER($C84:J84)), COUNTA(FILTER($C84:J"&amp;"84, ISNUMBER($C84:J84)))),
lastVal + 'K dynamique'!J84 * ((SQRT('Résultats des tournois'!J$2 + 1)/'Résultats des tournois'!J84) - (1 / (1 + 10^((J$103 - lastVal)/400)))))
)
))"),"")</f>
        <v/>
      </c>
      <c r="L84" s="32" t="str">
        <f>IFERROR(__xludf.DUMMYFUNCTION("IF('Résultats des tournois'!K$2=0,"""",LET(
lastVal, INDEX(FILTER($B84:K84, ISNUMBER($B84:K84)), COUNTA(FILTER($B84:K84, ISNUMBER($B84:K84)))),
IFERROR(
IF('Résultats des tournois'!K84="""", INDEX(FILTER($C84:K84, ISNUMBER($C84:K84)), COUNTA(FILTER($C84:K"&amp;"84, ISNUMBER($C84:K84)))),
lastVal + 'K dynamique'!K84 * ((SQRT('Résultats des tournois'!K$2 + 1)/'Résultats des tournois'!K84) - (1 / (1 + 10^((K$103 - lastVal)/400)))))
)
))"),"")</f>
        <v/>
      </c>
      <c r="M84" s="32" t="str">
        <f>IFERROR(__xludf.DUMMYFUNCTION("IF('Résultats des tournois'!L$2=0,"""",LET(
lastVal, INDEX(FILTER($B84:L84, ISNUMBER($B84:L84)), COUNTA(FILTER($B84:L84, ISNUMBER($B84:L84)))),
IFERROR(
IF('Résultats des tournois'!L84="""", INDEX(FILTER($C84:L84, ISNUMBER($C84:L84)), COUNTA(FILTER($C84:L"&amp;"84, ISNUMBER($C84:L84)))),
lastVal + 'K dynamique'!L84 * ((SQRT('Résultats des tournois'!L$2 + 1)/'Résultats des tournois'!L84) - (1 / (1 + 10^((L$103 - lastVal)/400)))))
)
))"),"")</f>
        <v/>
      </c>
      <c r="N84" s="32" t="str">
        <f>IFERROR(__xludf.DUMMYFUNCTION("IF('Résultats des tournois'!M$2=0,"""",LET(
lastVal, INDEX(FILTER($B84:M84, ISNUMBER($B84:M84)), COUNTA(FILTER($B84:M84, ISNUMBER($B84:M84)))),
IFERROR(
IF('Résultats des tournois'!M84="""", INDEX(FILTER($C84:M84, ISNUMBER($C84:M84)), COUNTA(FILTER($C84:M"&amp;"84, ISNUMBER($C84:M84)))),
lastVal + 'K dynamique'!M84 * ((SQRT('Résultats des tournois'!M$2 + 1)/'Résultats des tournois'!M84) - (1 / (1 + 10^((M$103 - lastVal)/400)))))
)
))"),"")</f>
        <v/>
      </c>
      <c r="O84" s="32" t="str">
        <f>IFERROR(__xludf.DUMMYFUNCTION("IF('Résultats des tournois'!N$2=0,"""",LET(
lastVal, INDEX(FILTER($B84:N84, ISNUMBER($B84:N84)), COUNTA(FILTER($B84:N84, ISNUMBER($B84:N84)))),
IFERROR(
IF('Résultats des tournois'!N84="""", INDEX(FILTER($C84:N84, ISNUMBER($C84:N84)), COUNTA(FILTER($C84:N"&amp;"84, ISNUMBER($C84:N84)))),
lastVal + 'K dynamique'!N84 * ((SQRT('Résultats des tournois'!N$2 + 1)/'Résultats des tournois'!N84) - (1 / (1 + 10^((N$103 - lastVal)/400)))))
)
))"),"")</f>
        <v/>
      </c>
      <c r="P84" s="32" t="str">
        <f>IFERROR(__xludf.DUMMYFUNCTION("IF('Résultats des tournois'!O$2=0,"""",LET(
lastVal, INDEX(FILTER($B84:O84, ISNUMBER($B84:O84)), COUNTA(FILTER($B84:O84, ISNUMBER($B84:O84)))),
IFERROR(
IF('Résultats des tournois'!O84="""", INDEX(FILTER($C84:O84, ISNUMBER($C84:O84)), COUNTA(FILTER($C84:O"&amp;"84, ISNUMBER($C84:O84)))),
lastVal + 'K dynamique'!O84 * ((SQRT('Résultats des tournois'!O$2 + 1)/'Résultats des tournois'!O84) - (1 / (1 + 10^((O$103 - lastVal)/400)))))
)
))"),"")</f>
        <v/>
      </c>
      <c r="Q84" s="32" t="str">
        <f>IFERROR(__xludf.DUMMYFUNCTION("IF('Résultats des tournois'!P$2=0,"""",LET(
lastVal, INDEX(FILTER($B84:P84, ISNUMBER($B84:P84)), COUNTA(FILTER($B84:P84, ISNUMBER($B84:P84)))),
IFERROR(
IF('Résultats des tournois'!P84="""", INDEX(FILTER($C84:P84, ISNUMBER($C84:P84)), COUNTA(FILTER($C84:P"&amp;"84, ISNUMBER($C84:P84)))),
lastVal + 'K dynamique'!P84 * ((SQRT('Résultats des tournois'!P$2 + 1)/'Résultats des tournois'!P84) - (1 / (1 + 10^((P$103 - lastVal)/400)))))
)
))"),"")</f>
        <v/>
      </c>
      <c r="R84" s="32" t="str">
        <f>IFERROR(__xludf.DUMMYFUNCTION("IF('Résultats des tournois'!Q$2=0,"""",LET(
lastVal, INDEX(FILTER($B84:Q84, ISNUMBER($B84:Q84)), COUNTA(FILTER($B84:Q84, ISNUMBER($B84:Q84)))),
IFERROR(
IF('Résultats des tournois'!Q84="""", INDEX(FILTER($C84:Q84, ISNUMBER($C84:Q84)), COUNTA(FILTER($C84:Q"&amp;"84, ISNUMBER($C84:Q84)))),
lastVal + 'K dynamique'!Q84 * ((SQRT('Résultats des tournois'!Q$2 + 1)/'Résultats des tournois'!Q84) - (1 / (1 + 10^((Q$103 - lastVal)/400)))))
)
))"),"")</f>
        <v/>
      </c>
      <c r="S84" s="32" t="str">
        <f>IFERROR(__xludf.DUMMYFUNCTION("IF('Résultats des tournois'!R$2=0,"""",LET(
lastVal, INDEX(FILTER($B84:R84, ISNUMBER($B84:R84)), COUNTA(FILTER($B84:R84, ISNUMBER($B84:R84)))),
IFERROR(
IF('Résultats des tournois'!R84="""", INDEX(FILTER($C84:R84, ISNUMBER($C84:R84)), COUNTA(FILTER($C84:R"&amp;"84, ISNUMBER($C84:R84)))),
lastVal + 'K dynamique'!R84 * ((SQRT('Résultats des tournois'!R$2 + 1)/'Résultats des tournois'!R84) - (1 / (1 + 10^((R$103 - lastVal)/400)))))
)
))"),"")</f>
        <v/>
      </c>
      <c r="T84" s="32" t="str">
        <f>IFERROR(__xludf.DUMMYFUNCTION("IF('Résultats des tournois'!S$2=0,"""",LET(
lastVal, INDEX(FILTER($B84:S84, ISNUMBER($B84:S84)), COUNTA(FILTER($B84:S84, ISNUMBER($B84:S84)))),
IFERROR(
IF('Résultats des tournois'!S84="""", INDEX(FILTER($C84:S84, ISNUMBER($C84:S84)), COUNTA(FILTER($C84:S"&amp;"84, ISNUMBER($C84:S84)))),
lastVal + 'K dynamique'!S84 * ((SQRT('Résultats des tournois'!S$2 + 1)/'Résultats des tournois'!S84) - (1 / (1 + 10^((S$103 - lastVal)/400)))))
)
))"),"")</f>
        <v/>
      </c>
      <c r="U84" s="32" t="str">
        <f>IFERROR(__xludf.DUMMYFUNCTION("IF('Résultats des tournois'!T$2=0,"""",LET(
lastVal, INDEX(FILTER($B84:T84, ISNUMBER($B84:T84)), COUNTA(FILTER($B84:T84, ISNUMBER($B84:T84)))),
IFERROR(
IF('Résultats des tournois'!T84="""", INDEX(FILTER($C84:T84, ISNUMBER($C84:T84)), COUNTA(FILTER($C84:T"&amp;"84, ISNUMBER($C84:T84)))),
lastVal + 'K dynamique'!T84 * ((SQRT('Résultats des tournois'!T$2 + 1)/'Résultats des tournois'!T84) - (1 / (1 + 10^((T$103 - lastVal)/400)))))
)
))"),"")</f>
        <v/>
      </c>
      <c r="V84" s="32" t="str">
        <f>IFERROR(__xludf.DUMMYFUNCTION("IF('Résultats des tournois'!U$2=0,"""",LET(
lastVal, INDEX(FILTER($B84:U84, ISNUMBER($B84:U84)), COUNTA(FILTER($B84:U84, ISNUMBER($B84:U84)))),
IFERROR(
IF('Résultats des tournois'!U84="""", INDEX(FILTER($C84:U84, ISNUMBER($C84:U84)), COUNTA(FILTER($C84:U"&amp;"84, ISNUMBER($C84:U84)))),
lastVal + 'K dynamique'!U84 * ((SQRT('Résultats des tournois'!U$2 + 1)/'Résultats des tournois'!U84) - (1 / (1 + 10^((U$103 - lastVal)/400)))))
)
))"),"")</f>
        <v/>
      </c>
      <c r="W84" s="32" t="str">
        <f>IFERROR(__xludf.DUMMYFUNCTION("IF('Résultats des tournois'!V$2=0,"""",LET(
lastVal, INDEX(FILTER($B84:V84, ISNUMBER($B84:V84)), COUNTA(FILTER($B84:V84, ISNUMBER($B84:V84)))),
IFERROR(
IF('Résultats des tournois'!V84="""", INDEX(FILTER($C84:V84, ISNUMBER($C84:V84)), COUNTA(FILTER($C84:V"&amp;"84, ISNUMBER($C84:V84)))),
lastVal + 'K dynamique'!V84 * ((SQRT('Résultats des tournois'!V$2 + 1)/'Résultats des tournois'!V84) - (1 / (1 + 10^((V$103 - lastVal)/400)))))
)
))"),"")</f>
        <v/>
      </c>
      <c r="X84" s="32" t="str">
        <f>IFERROR(__xludf.DUMMYFUNCTION("IF('Résultats des tournois'!W$2=0,"""",LET(
lastVal, INDEX(FILTER($B84:W84, ISNUMBER($B84:W84)), COUNTA(FILTER($B84:W84, ISNUMBER($B84:W84)))),
IFERROR(
IF('Résultats des tournois'!W84="""", INDEX(FILTER($C84:W84, ISNUMBER($C84:W84)), COUNTA(FILTER($C84:W"&amp;"84, ISNUMBER($C84:W84)))),
lastVal + 'K dynamique'!W84 * ((SQRT('Résultats des tournois'!W$2 + 1)/'Résultats des tournois'!W84) - (1 / (1 + 10^((W$103 - lastVal)/400)))))
)
))"),"")</f>
        <v/>
      </c>
      <c r="Y84" s="32" t="str">
        <f>IFERROR(__xludf.DUMMYFUNCTION("IF('Résultats des tournois'!X$2=0,"""",LET(
lastVal, INDEX(FILTER($B84:X84, ISNUMBER($B84:X84)), COUNTA(FILTER($B84:X84, ISNUMBER($B84:X84)))),
IFERROR(
IF('Résultats des tournois'!X84="""", INDEX(FILTER($C84:X84, ISNUMBER($C84:X84)), COUNTA(FILTER($C84:X"&amp;"84, ISNUMBER($C84:X84)))),
lastVal + 'K dynamique'!X84 * ((SQRT('Résultats des tournois'!X$2 + 1)/'Résultats des tournois'!X84) - (1 / (1 + 10^((X$103 - lastVal)/400)))))
)
))"),"")</f>
        <v/>
      </c>
      <c r="Z84" s="32" t="str">
        <f>IFERROR(__xludf.DUMMYFUNCTION("IF('Résultats des tournois'!Y$2=0,"""",LET(
lastVal, INDEX(FILTER($B84:Y84, ISNUMBER($B84:Y84)), COUNTA(FILTER($B84:Y84, ISNUMBER($B84:Y84)))),
IFERROR(
IF('Résultats des tournois'!Y84="""", INDEX(FILTER($C84:Y84, ISNUMBER($C84:Y84)), COUNTA(FILTER($C84:Y"&amp;"84, ISNUMBER($C84:Y84)))),
lastVal + 'K dynamique'!Y84 * ((SQRT('Résultats des tournois'!Y$2 + 1)/'Résultats des tournois'!Y84) - (1 / (1 + 10^((Y$103 - lastVal)/400)))))
)
))"),"")</f>
        <v/>
      </c>
      <c r="AA84" s="32" t="str">
        <f>IFERROR(__xludf.DUMMYFUNCTION("IF('Résultats des tournois'!Z$2=0,"""",LET(
lastVal, INDEX(FILTER($B84:Z84, ISNUMBER($B84:Z84)), COUNTA(FILTER($B84:Z84, ISNUMBER($B84:Z84)))),
IFERROR(
IF('Résultats des tournois'!Z84="""", INDEX(FILTER($C84:Z84, ISNUMBER($C84:Z84)), COUNTA(FILTER($C84:Z"&amp;"84, ISNUMBER($C84:Z84)))),
lastVal + 'K dynamique'!Z84 * ((SQRT('Résultats des tournois'!Z$2 + 1)/'Résultats des tournois'!Z84) - (1 / (1 + 10^((Z$103 - lastVal)/400)))))
)
))"),"")</f>
        <v/>
      </c>
      <c r="AB84" s="32" t="str">
        <f>IFERROR(__xludf.DUMMYFUNCTION("IF('Résultats des tournois'!AA$2=0,"""",LET(
lastVal, INDEX(FILTER($B84:AA84, ISNUMBER($B84:AA84)), COUNTA(FILTER($B84:AA84, ISNUMBER($B84:AA84)))),
IFERROR(
IF('Résultats des tournois'!AA84="""", INDEX(FILTER($C84:AA84, ISNUMBER($C84:AA84)), COUNTA(FILTE"&amp;"R($C84:AA84, ISNUMBER($C84:AA84)))),
lastVal + 'K dynamique'!AA84 * ((SQRT('Résultats des tournois'!AA$2 + 1)/'Résultats des tournois'!AA84) - (1 / (1 + 10^((AA$103 - lastVal)/400)))))
)
))"),"")</f>
        <v/>
      </c>
      <c r="AC84" s="32" t="str">
        <f>IFERROR(__xludf.DUMMYFUNCTION("IF('Résultats des tournois'!AB$2=0,"""",LET(
lastVal, INDEX(FILTER($B84:AB84, ISNUMBER($B84:AB84)), COUNTA(FILTER($B84:AB84, ISNUMBER($B84:AB84)))),
IFERROR(
IF('Résultats des tournois'!AB84="""", INDEX(FILTER($C84:AB84, ISNUMBER($C84:AB84)), COUNTA(FILTE"&amp;"R($C84:AB84, ISNUMBER($C84:AB84)))),
lastVal + 'K dynamique'!AB84 * ((SQRT('Résultats des tournois'!AB$2 + 1)/'Résultats des tournois'!AB84) - (1 / (1 + 10^((AB$103 - lastVal)/400)))))
)
))"),"")</f>
        <v/>
      </c>
      <c r="AD84" s="32" t="str">
        <f>IFERROR(__xludf.DUMMYFUNCTION("IF('Résultats des tournois'!AC$2=0,"""",LET(
lastVal, INDEX(FILTER($B84:AC84, ISNUMBER($B84:AC84)), COUNTA(FILTER($B84:AC84, ISNUMBER($B84:AC84)))),
IFERROR(
IF('Résultats des tournois'!AC84="""", INDEX(FILTER($C84:AC84, ISNUMBER($C84:AC84)), COUNTA(FILTE"&amp;"R($C84:AC84, ISNUMBER($C84:AC84)))),
lastVal + 'K dynamique'!AC84 * ((SQRT('Résultats des tournois'!AC$2 + 1)/'Résultats des tournois'!AC84) - (1 / (1 + 10^((AC$103 - lastVal)/400)))))
)
))"),"")</f>
        <v/>
      </c>
      <c r="AE84" s="32" t="str">
        <f>IFERROR(__xludf.DUMMYFUNCTION("IF('Résultats des tournois'!AD$2=0,"""",LET(
lastVal, INDEX(FILTER($B84:AD84, ISNUMBER($B84:AD84)), COUNTA(FILTER($B84:AD84, ISNUMBER($B84:AD84)))),
IFERROR(
IF('Résultats des tournois'!AD84="""", INDEX(FILTER($C84:AD84, ISNUMBER($C84:AD84)), COUNTA(FILTE"&amp;"R($C84:AD84, ISNUMBER($C84:AD84)))),
lastVal + 'K dynamique'!AD84 * ((SQRT('Résultats des tournois'!AD$2 + 1)/'Résultats des tournois'!AD84) - (1 / (1 + 10^((AD$103 - lastVal)/400)))))
)
))"),"")</f>
        <v/>
      </c>
      <c r="AF84" s="32" t="str">
        <f>IFERROR(__xludf.DUMMYFUNCTION("IF('Résultats des tournois'!AE$2=0,"""",LET(
lastVal, INDEX(FILTER($B84:AE84, ISNUMBER($B84:AE84)), COUNTA(FILTER($B84:AE84, ISNUMBER($B84:AE84)))),
IFERROR(
IF('Résultats des tournois'!AE84="""", INDEX(FILTER($C84:AE84, ISNUMBER($C84:AE84)), COUNTA(FILTE"&amp;"R($C84:AE84, ISNUMBER($C84:AE84)))),
lastVal + 'K dynamique'!AE84 * ((SQRT('Résultats des tournois'!AE$2 + 1)/'Résultats des tournois'!AE84) - (1 / (1 + 10^((AE$103 - lastVal)/400)))))
)
))"),"")</f>
        <v/>
      </c>
      <c r="AG84" s="32" t="str">
        <f>IFERROR(__xludf.DUMMYFUNCTION("IF('Résultats des tournois'!AF$2=0,"""",LET(
lastVal, INDEX(FILTER($B84:AF84, ISNUMBER($B84:AF84)), COUNTA(FILTER($B84:AF84, ISNUMBER($B84:AF84)))),
IFERROR(
IF('Résultats des tournois'!AF84="""", INDEX(FILTER($C84:AF84, ISNUMBER($C84:AF84)), COUNTA(FILTE"&amp;"R($C84:AF84, ISNUMBER($C84:AF84)))),
lastVal + 'K dynamique'!AF84 * ((SQRT('Résultats des tournois'!AF$2 + 1)/'Résultats des tournois'!AF84) - (1 / (1 + 10^((AF$103 - lastVal)/400)))))
)
))"),"")</f>
        <v/>
      </c>
      <c r="AH84" s="32" t="str">
        <f>IFERROR(__xludf.DUMMYFUNCTION("IF('Résultats des tournois'!AG$2=0,"""",LET(
lastVal, INDEX(FILTER($B84:AG84, ISNUMBER($B84:AG84)), COUNTA(FILTER($B84:AG84, ISNUMBER($B84:AG84)))),
IFERROR(
IF('Résultats des tournois'!AG84="""", INDEX(FILTER($C84:AG84, ISNUMBER($C84:AG84)), COUNTA(FILTE"&amp;"R($C84:AG84, ISNUMBER($C84:AG84)))),
lastVal + 'K dynamique'!AG84 * ((SQRT('Résultats des tournois'!AG$2 + 1)/'Résultats des tournois'!AG84) - (1 / (1 + 10^((AG$103 - lastVal)/400)))))
)
))"),"")</f>
        <v/>
      </c>
      <c r="AI84" s="32" t="str">
        <f>IFERROR(__xludf.DUMMYFUNCTION("IF('Résultats des tournois'!AH$2=0,"""",LET(
lastVal, INDEX(FILTER($B84:AH84, ISNUMBER($B84:AH84)), COUNTA(FILTER($B84:AH84, ISNUMBER($B84:AH84)))),
IFERROR(
IF('Résultats des tournois'!AH84="""", INDEX(FILTER($C84:AH84, ISNUMBER($C84:AH84)), COUNTA(FILTE"&amp;"R($C84:AH84, ISNUMBER($C84:AH84)))),
lastVal + 'K dynamique'!AH84 * ((SQRT('Résultats des tournois'!AH$2 + 1)/'Résultats des tournois'!AH84) - (1 / (1 + 10^((AH$103 - lastVal)/400)))))
)
))"),"")</f>
        <v/>
      </c>
      <c r="AJ84" s="32" t="str">
        <f>IFERROR(__xludf.DUMMYFUNCTION("IF('Résultats des tournois'!AI$2=0,"""",LET(
lastVal, INDEX(FILTER($B84:AI84, ISNUMBER($B84:AI84)), COUNTA(FILTER($B84:AI84, ISNUMBER($B84:AI84)))),
IFERROR(
IF('Résultats des tournois'!AI84="""", INDEX(FILTER($C84:AI84, ISNUMBER($C84:AI84)), COUNTA(FILTE"&amp;"R($C84:AI84, ISNUMBER($C84:AI84)))),
lastVal + 'K dynamique'!AI84 * ((SQRT('Résultats des tournois'!AI$2 + 1)/'Résultats des tournois'!AI84) - (1 / (1 + 10^((AI$103 - lastVal)/400)))))
)
))"),"")</f>
        <v/>
      </c>
      <c r="AK84" s="32" t="str">
        <f>IFERROR(__xludf.DUMMYFUNCTION("IF('Résultats des tournois'!AJ$2=0,"""",LET(
lastVal, INDEX(FILTER($B84:AJ84, ISNUMBER($B84:AJ84)), COUNTA(FILTER($B84:AJ84, ISNUMBER($B84:AJ84)))),
IFERROR(
IF('Résultats des tournois'!AJ84="""", INDEX(FILTER($C84:AJ84, ISNUMBER($C84:AJ84)), COUNTA(FILTE"&amp;"R($C84:AJ84, ISNUMBER($C84:AJ84)))),
lastVal + 'K dynamique'!AJ84 * ((SQRT('Résultats des tournois'!AJ$2 + 1)/'Résultats des tournois'!AJ84) - (1 / (1 + 10^((AJ$103 - lastVal)/400)))))
)
))"),"")</f>
        <v/>
      </c>
      <c r="AL84" s="32" t="str">
        <f>IFERROR(__xludf.DUMMYFUNCTION("IF('Résultats des tournois'!AK$2=0,"""",LET(
lastVal, INDEX(FILTER($B84:AK84, ISNUMBER($B84:AK84)), COUNTA(FILTER($B84:AK84, ISNUMBER($B84:AK84)))),
IFERROR(
IF('Résultats des tournois'!AK84="""", INDEX(FILTER($C84:AK84, ISNUMBER($C84:AK84)), COUNTA(FILTE"&amp;"R($C84:AK84, ISNUMBER($C84:AK84)))),
lastVal + 'K dynamique'!AK84 * ((SQRT('Résultats des tournois'!AK$2 + 1)/'Résultats des tournois'!AK84) - (1 / (1 + 10^((AK$103 - lastVal)/400)))))
)
))"),"")</f>
        <v/>
      </c>
      <c r="AM84" s="32" t="str">
        <f>IFERROR(__xludf.DUMMYFUNCTION("IF('Résultats des tournois'!AL$2=0,"""",LET(
lastVal, INDEX(FILTER($B84:AL84, ISNUMBER($B84:AL84)), COUNTA(FILTER($B84:AL84, ISNUMBER($B84:AL84)))),
IFERROR(
IF('Résultats des tournois'!AL84="""", INDEX(FILTER($C84:AL84, ISNUMBER($C84:AL84)), COUNTA(FILTE"&amp;"R($C84:AL84, ISNUMBER($C84:AL84)))),
lastVal + 'K dynamique'!AL84 * ((SQRT('Résultats des tournois'!AL$2 + 1)/'Résultats des tournois'!AL84) - (1 / (1 + 10^((AL$103 - lastVal)/400)))))
)
))"),"")</f>
        <v/>
      </c>
      <c r="AN84" s="32" t="str">
        <f>IFERROR(__xludf.DUMMYFUNCTION("IF('Résultats des tournois'!AM$2=0,"""",LET(
lastVal, INDEX(FILTER($B84:AM84, ISNUMBER($B84:AM84)), COUNTA(FILTER($B84:AM84, ISNUMBER($B84:AM84)))),
IFERROR(
IF('Résultats des tournois'!AM84="""", INDEX(FILTER($C84:AM84, ISNUMBER($C84:AM84)), COUNTA(FILTE"&amp;"R($C84:AM84, ISNUMBER($C84:AM84)))),
lastVal + 'K dynamique'!AM84 * ((SQRT('Résultats des tournois'!AM$2 + 1)/'Résultats des tournois'!AM84) - (1 / (1 + 10^((AM$103 - lastVal)/400)))))
)
))"),"")</f>
        <v/>
      </c>
      <c r="AO84" s="32" t="str">
        <f>IFERROR(__xludf.DUMMYFUNCTION("IF('Résultats des tournois'!AN$2=0,"""",LET(
lastVal, INDEX(FILTER($B84:AN84, ISNUMBER($B84:AN84)), COUNTA(FILTER($B84:AN84, ISNUMBER($B84:AN84)))),
IFERROR(
IF('Résultats des tournois'!AN84="""", INDEX(FILTER($C84:AN84, ISNUMBER($C84:AN84)), COUNTA(FILTE"&amp;"R($C84:AN84, ISNUMBER($C84:AN84)))),
lastVal + 'K dynamique'!AN84 * ((SQRT('Résultats des tournois'!AN$2 + 1)/'Résultats des tournois'!AN84) - (1 / (1 + 10^((AN$103 - lastVal)/400)))))
)
))"),"")</f>
        <v/>
      </c>
      <c r="AP84" s="32" t="str">
        <f>IFERROR(__xludf.DUMMYFUNCTION("IF('Résultats des tournois'!AO$2=0,"""",LET(
lastVal, INDEX(FILTER($B84:AO84, ISNUMBER($B84:AO84)), COUNTA(FILTER($B84:AO84, ISNUMBER($B84:AO84)))),
IFERROR(
IF('Résultats des tournois'!AO84="""", INDEX(FILTER($C84:AO84, ISNUMBER($C84:AO84)), COUNTA(FILTE"&amp;"R($C84:AO84, ISNUMBER($C84:AO84)))),
lastVal + 'K dynamique'!AO84 * ((SQRT('Résultats des tournois'!AO$2 + 1)/'Résultats des tournois'!AO84) - (1 / (1 + 10^((AO$103 - lastVal)/400)))))
)
))"),"")</f>
        <v/>
      </c>
      <c r="AQ84" s="32" t="str">
        <f>IFERROR(__xludf.DUMMYFUNCTION("IF('Résultats des tournois'!AP$2=0,"""",LET(
lastVal, INDEX(FILTER($B84:AP84, ISNUMBER($B84:AP84)), COUNTA(FILTER($B84:AP84, ISNUMBER($B84:AP84)))),
IFERROR(
IF('Résultats des tournois'!AP84="""", INDEX(FILTER($C84:AP84, ISNUMBER($C84:AP84)), COUNTA(FILTE"&amp;"R($C84:AP84, ISNUMBER($C84:AP84)))),
lastVal + 'K dynamique'!AP84 * ((SQRT('Résultats des tournois'!AP$2 + 1)/'Résultats des tournois'!AP84) - (1 / (1 + 10^((AP$103 - lastVal)/400)))))
)
))"),"")</f>
        <v/>
      </c>
      <c r="AR84" s="32" t="str">
        <f>IFERROR(__xludf.DUMMYFUNCTION("IF('Résultats des tournois'!AQ$2=0,"""",LET(
lastVal, INDEX(FILTER($B84:AQ84, ISNUMBER($B84:AQ84)), COUNTA(FILTER($B84:AQ84, ISNUMBER($B84:AQ84)))),
IFERROR(
IF('Résultats des tournois'!AQ84="""", INDEX(FILTER($C84:AQ84, ISNUMBER($C84:AQ84)), COUNTA(FILTE"&amp;"R($C84:AQ84, ISNUMBER($C84:AQ84)))),
lastVal + 'K dynamique'!AQ84 * ((SQRT('Résultats des tournois'!AQ$2 + 1)/'Résultats des tournois'!AQ84) - (1 / (1 + 10^((AQ$103 - lastVal)/400)))))
)
))"),"")</f>
        <v/>
      </c>
      <c r="AS84" s="32" t="str">
        <f>IFERROR(__xludf.DUMMYFUNCTION("IF('Résultats des tournois'!AR$2=0,"""",LET(
lastVal, INDEX(FILTER($B84:AR84, ISNUMBER($B84:AR84)), COUNTA(FILTER($B84:AR84, ISNUMBER($B84:AR84)))),
IFERROR(
IF('Résultats des tournois'!AR84="""", INDEX(FILTER($C84:AR84, ISNUMBER($C84:AR84)), COUNTA(FILTE"&amp;"R($C84:AR84, ISNUMBER($C84:AR84)))),
lastVal + 'K dynamique'!AR84 * ((SQRT('Résultats des tournois'!AR$2 + 1)/'Résultats des tournois'!AR84) - (1 / (1 + 10^((AR$103 - lastVal)/400)))))
)
))"),"")</f>
        <v/>
      </c>
      <c r="AT84" s="32" t="str">
        <f>IFERROR(__xludf.DUMMYFUNCTION("IF('Résultats des tournois'!AS$2=0,"""",LET(
lastVal, INDEX(FILTER($B84:AS84, ISNUMBER($B84:AS84)), COUNTA(FILTER($B84:AS84, ISNUMBER($B84:AS84)))),
IFERROR(
IF('Résultats des tournois'!AS84="""", INDEX(FILTER($C84:AS84, ISNUMBER($C84:AS84)), COUNTA(FILTE"&amp;"R($C84:AS84, ISNUMBER($C84:AS84)))),
lastVal + 'K dynamique'!AS84 * ((SQRT('Résultats des tournois'!AS$2 + 1)/'Résultats des tournois'!AS84) - (1 / (1 + 10^((AS$103 - lastVal)/400)))))
)
))"),"")</f>
        <v/>
      </c>
      <c r="AU84" s="32" t="str">
        <f>IFERROR(__xludf.DUMMYFUNCTION("IF('Résultats des tournois'!AT$2=0,"""",LET(
lastVal, INDEX(FILTER($B84:AT84, ISNUMBER($B84:AT84)), COUNTA(FILTER($B84:AT84, ISNUMBER($B84:AT84)))),
IFERROR(
IF('Résultats des tournois'!AT84="""", INDEX(FILTER($C84:AT84, ISNUMBER($C84:AT84)), COUNTA(FILTE"&amp;"R($C84:AT84, ISNUMBER($C84:AT84)))),
lastVal + 'K dynamique'!AT84 * ((SQRT('Résultats des tournois'!AT$2 + 1)/'Résultats des tournois'!AT84) - (1 / (1 + 10^((AT$103 - lastVal)/400)))))
)
))"),"")</f>
        <v/>
      </c>
      <c r="AV84" s="32" t="str">
        <f>IFERROR(__xludf.DUMMYFUNCTION("IF('Résultats des tournois'!AU$2=0,"""",LET(
lastVal, INDEX(FILTER($B84:AU84, ISNUMBER($B84:AU84)), COUNTA(FILTER($B84:AU84, ISNUMBER($B84:AU84)))),
IFERROR(
IF('Résultats des tournois'!AU84="""", INDEX(FILTER($C84:AU84, ISNUMBER($C84:AU84)), COUNTA(FILTE"&amp;"R($C84:AU84, ISNUMBER($C84:AU84)))),
lastVal + 'K dynamique'!AU84 * ((SQRT('Résultats des tournois'!AU$2 + 1)/'Résultats des tournois'!AU84) - (1 / (1 + 10^((AU$103 - lastVal)/400)))))
)
))"),"")</f>
        <v/>
      </c>
      <c r="AW84" s="32" t="str">
        <f>IFERROR(__xludf.DUMMYFUNCTION("IF('Résultats des tournois'!AV$2=0,"""",LET(
lastVal, INDEX(FILTER($B84:AV84, ISNUMBER($B84:AV84)), COUNTA(FILTER($B84:AV84, ISNUMBER($B84:AV84)))),
IFERROR(
IF('Résultats des tournois'!AV84="""", INDEX(FILTER($C84:AV84, ISNUMBER($C84:AV84)), COUNTA(FILTE"&amp;"R($C84:AV84, ISNUMBER($C84:AV84)))),
lastVal + 'K dynamique'!AV84 * ((SQRT('Résultats des tournois'!AV$2 + 1)/'Résultats des tournois'!AV84) - (1 / (1 + 10^((AV$103 - lastVal)/400)))))
)
))"),"")</f>
        <v/>
      </c>
      <c r="AX84" s="32" t="str">
        <f>IFERROR(__xludf.DUMMYFUNCTION("IF('Résultats des tournois'!AW$2=0,"""",LET(
lastVal, INDEX(FILTER($B84:AW84, ISNUMBER($B84:AW84)), COUNTA(FILTER($B84:AW84, ISNUMBER($B84:AW84)))),
IFERROR(
IF('Résultats des tournois'!AW84="""", INDEX(FILTER($C84:AW84, ISNUMBER($C84:AW84)), COUNTA(FILTE"&amp;"R($C84:AW84, ISNUMBER($C84:AW84)))),
lastVal + 'K dynamique'!AW84 * ((SQRT('Résultats des tournois'!AW$2 + 1)/'Résultats des tournois'!AW84) - (1 / (1 + 10^((AW$103 - lastVal)/400)))))
)
))"),"")</f>
        <v/>
      </c>
      <c r="AY84" s="32" t="str">
        <f>IFERROR(__xludf.DUMMYFUNCTION("IF('Résultats des tournois'!AX$2=0,"""",LET(
lastVal, INDEX(FILTER($B84:AX84, ISNUMBER($B84:AX84)), COUNTA(FILTER($B84:AX84, ISNUMBER($B84:AX84)))),
IFERROR(
IF('Résultats des tournois'!AX84="""", INDEX(FILTER($C84:AX84, ISNUMBER($C84:AX84)), COUNTA(FILTE"&amp;"R($C84:AX84, ISNUMBER($C84:AX84)))),
lastVal + 'K dynamique'!AX84 * ((SQRT('Résultats des tournois'!AX$2 + 1)/'Résultats des tournois'!AX84) - (1 / (1 + 10^((AX$103 - lastVal)/400)))))
)
))"),"")</f>
        <v/>
      </c>
      <c r="AZ84" s="4" t="str">
        <f t="array" ref="AZ84">IF(MAX(($C84:AY84&lt;&gt;"")*COLUMN($C84:AY84))=0,"",INDEX($C84:AY84,1,MAX(($C84:AY84&lt;&gt;"")*COLUMN($C84:AY84))-COLUMN($C84)+1))</f>
        <v/>
      </c>
      <c r="BA84" s="33" t="str">
        <f t="shared" si="1"/>
        <v/>
      </c>
    </row>
    <row r="85" ht="14.25" customHeight="1">
      <c r="A85" s="32" t="str">
        <f>IF('Résultats des tournois'!A85="","",'Résultats des tournois'!A85)</f>
        <v/>
      </c>
      <c r="B85" s="32">
        <v>1500.0</v>
      </c>
      <c r="C85" s="32" t="str">
        <f>IF('Résultats des tournois'!B85="","",B85+'K dynamique'!B85*((SQRT('Résultats des tournois'!B$2+1)/'Résultats des tournois'!B85)-(1/(1+10^((B85-B85)/400)))))</f>
        <v/>
      </c>
      <c r="D85" s="32" t="str">
        <f>IFERROR(__xludf.DUMMYFUNCTION("IF('Résultats des tournois'!C$2=0,"""",LET(
lastVal, INDEX(FILTER($B85:C85, ISNUMBER($B85:C85)), COUNTA(FILTER($B85:C85, ISNUMBER($B85:C85)))),
IFERROR(
IF('Résultats des tournois'!C85="""", INDEX(FILTER($C85:C85, ISNUMBER($C85:C85)), COUNTA(FILTER($C85:C"&amp;"85, ISNUMBER($C85:C85)))),
lastVal + 'K dynamique'!C85 * ((SQRT('Résultats des tournois'!C$2 + 1)/'Résultats des tournois'!C85) - (1 / (1 + 10^((C$103 - lastVal)/400)))))
)
))"),"")</f>
        <v/>
      </c>
      <c r="E85" s="32" t="str">
        <f>IFERROR(__xludf.DUMMYFUNCTION("IF('Résultats des tournois'!D$2=0,"""",LET(
lastVal, INDEX(FILTER($B85:D85, ISNUMBER($B85:D85)), COUNTA(FILTER($B85:D85, ISNUMBER($B85:D85)))),
IFERROR(
IF('Résultats des tournois'!D85="""", INDEX(FILTER($C85:D85, ISNUMBER($C85:D85)), COUNTA(FILTER($C85:D"&amp;"85, ISNUMBER($C85:D85)))),
lastVal + 'K dynamique'!D85 * ((SQRT('Résultats des tournois'!D$2 + 1)/'Résultats des tournois'!D85) - (1 / (1 + 10^((D$103 - lastVal)/400)))))
)
))"),"")</f>
        <v/>
      </c>
      <c r="F85" s="32" t="str">
        <f>IFERROR(__xludf.DUMMYFUNCTION("IF('Résultats des tournois'!E$2=0,"""",LET(
lastVal, INDEX(FILTER($B85:E85, ISNUMBER($B85:E85)), COUNTA(FILTER($B85:E85, ISNUMBER($B85:E85)))),
IFERROR(
IF('Résultats des tournois'!E85="""", INDEX(FILTER($C85:E85, ISNUMBER($C85:E85)), COUNTA(FILTER($C85:E"&amp;"85, ISNUMBER($C85:E85)))),
lastVal + 'K dynamique'!E85 * ((SQRT('Résultats des tournois'!E$2 + 1)/'Résultats des tournois'!E85) - (1 / (1 + 10^((E$103 - lastVal)/400)))))
)
))"),"")</f>
        <v/>
      </c>
      <c r="G85" s="32" t="str">
        <f>IFERROR(__xludf.DUMMYFUNCTION("IF('Résultats des tournois'!F$2=0,"""",LET(
lastVal, INDEX(FILTER($B85:F85, ISNUMBER($B85:F85)), COUNTA(FILTER($B85:F85, ISNUMBER($B85:F85)))),
IFERROR(
IF('Résultats des tournois'!F85="""", INDEX(FILTER($C85:F85, ISNUMBER($C85:F85)), COUNTA(FILTER($C85:F"&amp;"85, ISNUMBER($C85:F85)))),
lastVal + 'K dynamique'!F85 * ((SQRT('Résultats des tournois'!F$2 + 1)/'Résultats des tournois'!F85) - (1 / (1 + 10^((F$103 - lastVal)/400)))))
)
))"),"")</f>
        <v/>
      </c>
      <c r="H85" s="32" t="str">
        <f>IFERROR(__xludf.DUMMYFUNCTION("IF('Résultats des tournois'!G$2=0,"""",LET(
lastVal, INDEX(FILTER($B85:G85, ISNUMBER($B85:G85)), COUNTA(FILTER($B85:G85, ISNUMBER($B85:G85)))),
IFERROR(
IF('Résultats des tournois'!G85="""", INDEX(FILTER($C85:G85, ISNUMBER($C85:G85)), COUNTA(FILTER($C85:G"&amp;"85, ISNUMBER($C85:G85)))),
lastVal + 'K dynamique'!G85 * ((SQRT('Résultats des tournois'!G$2 + 1)/'Résultats des tournois'!G85) - (1 / (1 + 10^((G$103 - lastVal)/400)))))
)
))"),"")</f>
        <v/>
      </c>
      <c r="I85" s="32" t="str">
        <f>IFERROR(__xludf.DUMMYFUNCTION("IF('Résultats des tournois'!H$2=0,"""",LET(
lastVal, INDEX(FILTER($B85:H85, ISNUMBER($B85:H85)), COUNTA(FILTER($B85:H85, ISNUMBER($B85:H85)))),
IFERROR(
IF('Résultats des tournois'!H85="""", INDEX(FILTER($C85:H85, ISNUMBER($C85:H85)), COUNTA(FILTER($C85:H"&amp;"85, ISNUMBER($C85:H85)))),
lastVal + 'K dynamique'!H85 * ((SQRT('Résultats des tournois'!H$2 + 1)/'Résultats des tournois'!H85) - (1 / (1 + 10^((H$103 - lastVal)/400)))))
)
))"),"")</f>
        <v/>
      </c>
      <c r="J85" s="32" t="str">
        <f>IFERROR(__xludf.DUMMYFUNCTION("IF('Résultats des tournois'!I$2=0,"""",LET(
lastVal, INDEX(FILTER($B85:I85, ISNUMBER($B85:I85)), COUNTA(FILTER($B85:I85, ISNUMBER($B85:I85)))),
IFERROR(
IF('Résultats des tournois'!I85="""", INDEX(FILTER($C85:I85, ISNUMBER($C85:I85)), COUNTA(FILTER($C85:I"&amp;"85, ISNUMBER($C85:I85)))),
lastVal + 'K dynamique'!I85 * ((SQRT('Résultats des tournois'!I$2 + 1)/'Résultats des tournois'!I85) - (1 / (1 + 10^((I$103 - lastVal)/400)))))
)
))"),"")</f>
        <v/>
      </c>
      <c r="K85" s="32" t="str">
        <f>IFERROR(__xludf.DUMMYFUNCTION("IF('Résultats des tournois'!J$2=0,"""",LET(
lastVal, INDEX(FILTER($B85:J85, ISNUMBER($B85:J85)), COUNTA(FILTER($B85:J85, ISNUMBER($B85:J85)))),
IFERROR(
IF('Résultats des tournois'!J85="""", INDEX(FILTER($C85:J85, ISNUMBER($C85:J85)), COUNTA(FILTER($C85:J"&amp;"85, ISNUMBER($C85:J85)))),
lastVal + 'K dynamique'!J85 * ((SQRT('Résultats des tournois'!J$2 + 1)/'Résultats des tournois'!J85) - (1 / (1 + 10^((J$103 - lastVal)/400)))))
)
))"),"")</f>
        <v/>
      </c>
      <c r="L85" s="32" t="str">
        <f>IFERROR(__xludf.DUMMYFUNCTION("IF('Résultats des tournois'!K$2=0,"""",LET(
lastVal, INDEX(FILTER($B85:K85, ISNUMBER($B85:K85)), COUNTA(FILTER($B85:K85, ISNUMBER($B85:K85)))),
IFERROR(
IF('Résultats des tournois'!K85="""", INDEX(FILTER($C85:K85, ISNUMBER($C85:K85)), COUNTA(FILTER($C85:K"&amp;"85, ISNUMBER($C85:K85)))),
lastVal + 'K dynamique'!K85 * ((SQRT('Résultats des tournois'!K$2 + 1)/'Résultats des tournois'!K85) - (1 / (1 + 10^((K$103 - lastVal)/400)))))
)
))"),"")</f>
        <v/>
      </c>
      <c r="M85" s="32" t="str">
        <f>IFERROR(__xludf.DUMMYFUNCTION("IF('Résultats des tournois'!L$2=0,"""",LET(
lastVal, INDEX(FILTER($B85:L85, ISNUMBER($B85:L85)), COUNTA(FILTER($B85:L85, ISNUMBER($B85:L85)))),
IFERROR(
IF('Résultats des tournois'!L85="""", INDEX(FILTER($C85:L85, ISNUMBER($C85:L85)), COUNTA(FILTER($C85:L"&amp;"85, ISNUMBER($C85:L85)))),
lastVal + 'K dynamique'!L85 * ((SQRT('Résultats des tournois'!L$2 + 1)/'Résultats des tournois'!L85) - (1 / (1 + 10^((L$103 - lastVal)/400)))))
)
))"),"")</f>
        <v/>
      </c>
      <c r="N85" s="32" t="str">
        <f>IFERROR(__xludf.DUMMYFUNCTION("IF('Résultats des tournois'!M$2=0,"""",LET(
lastVal, INDEX(FILTER($B85:M85, ISNUMBER($B85:M85)), COUNTA(FILTER($B85:M85, ISNUMBER($B85:M85)))),
IFERROR(
IF('Résultats des tournois'!M85="""", INDEX(FILTER($C85:M85, ISNUMBER($C85:M85)), COUNTA(FILTER($C85:M"&amp;"85, ISNUMBER($C85:M85)))),
lastVal + 'K dynamique'!M85 * ((SQRT('Résultats des tournois'!M$2 + 1)/'Résultats des tournois'!M85) - (1 / (1 + 10^((M$103 - lastVal)/400)))))
)
))"),"")</f>
        <v/>
      </c>
      <c r="O85" s="32" t="str">
        <f>IFERROR(__xludf.DUMMYFUNCTION("IF('Résultats des tournois'!N$2=0,"""",LET(
lastVal, INDEX(FILTER($B85:N85, ISNUMBER($B85:N85)), COUNTA(FILTER($B85:N85, ISNUMBER($B85:N85)))),
IFERROR(
IF('Résultats des tournois'!N85="""", INDEX(FILTER($C85:N85, ISNUMBER($C85:N85)), COUNTA(FILTER($C85:N"&amp;"85, ISNUMBER($C85:N85)))),
lastVal + 'K dynamique'!N85 * ((SQRT('Résultats des tournois'!N$2 + 1)/'Résultats des tournois'!N85) - (1 / (1 + 10^((N$103 - lastVal)/400)))))
)
))"),"")</f>
        <v/>
      </c>
      <c r="P85" s="32" t="str">
        <f>IFERROR(__xludf.DUMMYFUNCTION("IF('Résultats des tournois'!O$2=0,"""",LET(
lastVal, INDEX(FILTER($B85:O85, ISNUMBER($B85:O85)), COUNTA(FILTER($B85:O85, ISNUMBER($B85:O85)))),
IFERROR(
IF('Résultats des tournois'!O85="""", INDEX(FILTER($C85:O85, ISNUMBER($C85:O85)), COUNTA(FILTER($C85:O"&amp;"85, ISNUMBER($C85:O85)))),
lastVal + 'K dynamique'!O85 * ((SQRT('Résultats des tournois'!O$2 + 1)/'Résultats des tournois'!O85) - (1 / (1 + 10^((O$103 - lastVal)/400)))))
)
))"),"")</f>
        <v/>
      </c>
      <c r="Q85" s="32" t="str">
        <f>IFERROR(__xludf.DUMMYFUNCTION("IF('Résultats des tournois'!P$2=0,"""",LET(
lastVal, INDEX(FILTER($B85:P85, ISNUMBER($B85:P85)), COUNTA(FILTER($B85:P85, ISNUMBER($B85:P85)))),
IFERROR(
IF('Résultats des tournois'!P85="""", INDEX(FILTER($C85:P85, ISNUMBER($C85:P85)), COUNTA(FILTER($C85:P"&amp;"85, ISNUMBER($C85:P85)))),
lastVal + 'K dynamique'!P85 * ((SQRT('Résultats des tournois'!P$2 + 1)/'Résultats des tournois'!P85) - (1 / (1 + 10^((P$103 - lastVal)/400)))))
)
))"),"")</f>
        <v/>
      </c>
      <c r="R85" s="32" t="str">
        <f>IFERROR(__xludf.DUMMYFUNCTION("IF('Résultats des tournois'!Q$2=0,"""",LET(
lastVal, INDEX(FILTER($B85:Q85, ISNUMBER($B85:Q85)), COUNTA(FILTER($B85:Q85, ISNUMBER($B85:Q85)))),
IFERROR(
IF('Résultats des tournois'!Q85="""", INDEX(FILTER($C85:Q85, ISNUMBER($C85:Q85)), COUNTA(FILTER($C85:Q"&amp;"85, ISNUMBER($C85:Q85)))),
lastVal + 'K dynamique'!Q85 * ((SQRT('Résultats des tournois'!Q$2 + 1)/'Résultats des tournois'!Q85) - (1 / (1 + 10^((Q$103 - lastVal)/400)))))
)
))"),"")</f>
        <v/>
      </c>
      <c r="S85" s="32" t="str">
        <f>IFERROR(__xludf.DUMMYFUNCTION("IF('Résultats des tournois'!R$2=0,"""",LET(
lastVal, INDEX(FILTER($B85:R85, ISNUMBER($B85:R85)), COUNTA(FILTER($B85:R85, ISNUMBER($B85:R85)))),
IFERROR(
IF('Résultats des tournois'!R85="""", INDEX(FILTER($C85:R85, ISNUMBER($C85:R85)), COUNTA(FILTER($C85:R"&amp;"85, ISNUMBER($C85:R85)))),
lastVal + 'K dynamique'!R85 * ((SQRT('Résultats des tournois'!R$2 + 1)/'Résultats des tournois'!R85) - (1 / (1 + 10^((R$103 - lastVal)/400)))))
)
))"),"")</f>
        <v/>
      </c>
      <c r="T85" s="32" t="str">
        <f>IFERROR(__xludf.DUMMYFUNCTION("IF('Résultats des tournois'!S$2=0,"""",LET(
lastVal, INDEX(FILTER($B85:S85, ISNUMBER($B85:S85)), COUNTA(FILTER($B85:S85, ISNUMBER($B85:S85)))),
IFERROR(
IF('Résultats des tournois'!S85="""", INDEX(FILTER($C85:S85, ISNUMBER($C85:S85)), COUNTA(FILTER($C85:S"&amp;"85, ISNUMBER($C85:S85)))),
lastVal + 'K dynamique'!S85 * ((SQRT('Résultats des tournois'!S$2 + 1)/'Résultats des tournois'!S85) - (1 / (1 + 10^((S$103 - lastVal)/400)))))
)
))"),"")</f>
        <v/>
      </c>
      <c r="U85" s="32" t="str">
        <f>IFERROR(__xludf.DUMMYFUNCTION("IF('Résultats des tournois'!T$2=0,"""",LET(
lastVal, INDEX(FILTER($B85:T85, ISNUMBER($B85:T85)), COUNTA(FILTER($B85:T85, ISNUMBER($B85:T85)))),
IFERROR(
IF('Résultats des tournois'!T85="""", INDEX(FILTER($C85:T85, ISNUMBER($C85:T85)), COUNTA(FILTER($C85:T"&amp;"85, ISNUMBER($C85:T85)))),
lastVal + 'K dynamique'!T85 * ((SQRT('Résultats des tournois'!T$2 + 1)/'Résultats des tournois'!T85) - (1 / (1 + 10^((T$103 - lastVal)/400)))))
)
))"),"")</f>
        <v/>
      </c>
      <c r="V85" s="32" t="str">
        <f>IFERROR(__xludf.DUMMYFUNCTION("IF('Résultats des tournois'!U$2=0,"""",LET(
lastVal, INDEX(FILTER($B85:U85, ISNUMBER($B85:U85)), COUNTA(FILTER($B85:U85, ISNUMBER($B85:U85)))),
IFERROR(
IF('Résultats des tournois'!U85="""", INDEX(FILTER($C85:U85, ISNUMBER($C85:U85)), COUNTA(FILTER($C85:U"&amp;"85, ISNUMBER($C85:U85)))),
lastVal + 'K dynamique'!U85 * ((SQRT('Résultats des tournois'!U$2 + 1)/'Résultats des tournois'!U85) - (1 / (1 + 10^((U$103 - lastVal)/400)))))
)
))"),"")</f>
        <v/>
      </c>
      <c r="W85" s="32" t="str">
        <f>IFERROR(__xludf.DUMMYFUNCTION("IF('Résultats des tournois'!V$2=0,"""",LET(
lastVal, INDEX(FILTER($B85:V85, ISNUMBER($B85:V85)), COUNTA(FILTER($B85:V85, ISNUMBER($B85:V85)))),
IFERROR(
IF('Résultats des tournois'!V85="""", INDEX(FILTER($C85:V85, ISNUMBER($C85:V85)), COUNTA(FILTER($C85:V"&amp;"85, ISNUMBER($C85:V85)))),
lastVal + 'K dynamique'!V85 * ((SQRT('Résultats des tournois'!V$2 + 1)/'Résultats des tournois'!V85) - (1 / (1 + 10^((V$103 - lastVal)/400)))))
)
))"),"")</f>
        <v/>
      </c>
      <c r="X85" s="32" t="str">
        <f>IFERROR(__xludf.DUMMYFUNCTION("IF('Résultats des tournois'!W$2=0,"""",LET(
lastVal, INDEX(FILTER($B85:W85, ISNUMBER($B85:W85)), COUNTA(FILTER($B85:W85, ISNUMBER($B85:W85)))),
IFERROR(
IF('Résultats des tournois'!W85="""", INDEX(FILTER($C85:W85, ISNUMBER($C85:W85)), COUNTA(FILTER($C85:W"&amp;"85, ISNUMBER($C85:W85)))),
lastVal + 'K dynamique'!W85 * ((SQRT('Résultats des tournois'!W$2 + 1)/'Résultats des tournois'!W85) - (1 / (1 + 10^((W$103 - lastVal)/400)))))
)
))"),"")</f>
        <v/>
      </c>
      <c r="Y85" s="32" t="str">
        <f>IFERROR(__xludf.DUMMYFUNCTION("IF('Résultats des tournois'!X$2=0,"""",LET(
lastVal, INDEX(FILTER($B85:X85, ISNUMBER($B85:X85)), COUNTA(FILTER($B85:X85, ISNUMBER($B85:X85)))),
IFERROR(
IF('Résultats des tournois'!X85="""", INDEX(FILTER($C85:X85, ISNUMBER($C85:X85)), COUNTA(FILTER($C85:X"&amp;"85, ISNUMBER($C85:X85)))),
lastVal + 'K dynamique'!X85 * ((SQRT('Résultats des tournois'!X$2 + 1)/'Résultats des tournois'!X85) - (1 / (1 + 10^((X$103 - lastVal)/400)))))
)
))"),"")</f>
        <v/>
      </c>
      <c r="Z85" s="32" t="str">
        <f>IFERROR(__xludf.DUMMYFUNCTION("IF('Résultats des tournois'!Y$2=0,"""",LET(
lastVal, INDEX(FILTER($B85:Y85, ISNUMBER($B85:Y85)), COUNTA(FILTER($B85:Y85, ISNUMBER($B85:Y85)))),
IFERROR(
IF('Résultats des tournois'!Y85="""", INDEX(FILTER($C85:Y85, ISNUMBER($C85:Y85)), COUNTA(FILTER($C85:Y"&amp;"85, ISNUMBER($C85:Y85)))),
lastVal + 'K dynamique'!Y85 * ((SQRT('Résultats des tournois'!Y$2 + 1)/'Résultats des tournois'!Y85) - (1 / (1 + 10^((Y$103 - lastVal)/400)))))
)
))"),"")</f>
        <v/>
      </c>
      <c r="AA85" s="32" t="str">
        <f>IFERROR(__xludf.DUMMYFUNCTION("IF('Résultats des tournois'!Z$2=0,"""",LET(
lastVal, INDEX(FILTER($B85:Z85, ISNUMBER($B85:Z85)), COUNTA(FILTER($B85:Z85, ISNUMBER($B85:Z85)))),
IFERROR(
IF('Résultats des tournois'!Z85="""", INDEX(FILTER($C85:Z85, ISNUMBER($C85:Z85)), COUNTA(FILTER($C85:Z"&amp;"85, ISNUMBER($C85:Z85)))),
lastVal + 'K dynamique'!Z85 * ((SQRT('Résultats des tournois'!Z$2 + 1)/'Résultats des tournois'!Z85) - (1 / (1 + 10^((Z$103 - lastVal)/400)))))
)
))"),"")</f>
        <v/>
      </c>
      <c r="AB85" s="32" t="str">
        <f>IFERROR(__xludf.DUMMYFUNCTION("IF('Résultats des tournois'!AA$2=0,"""",LET(
lastVal, INDEX(FILTER($B85:AA85, ISNUMBER($B85:AA85)), COUNTA(FILTER($B85:AA85, ISNUMBER($B85:AA85)))),
IFERROR(
IF('Résultats des tournois'!AA85="""", INDEX(FILTER($C85:AA85, ISNUMBER($C85:AA85)), COUNTA(FILTE"&amp;"R($C85:AA85, ISNUMBER($C85:AA85)))),
lastVal + 'K dynamique'!AA85 * ((SQRT('Résultats des tournois'!AA$2 + 1)/'Résultats des tournois'!AA85) - (1 / (1 + 10^((AA$103 - lastVal)/400)))))
)
))"),"")</f>
        <v/>
      </c>
      <c r="AC85" s="32" t="str">
        <f>IFERROR(__xludf.DUMMYFUNCTION("IF('Résultats des tournois'!AB$2=0,"""",LET(
lastVal, INDEX(FILTER($B85:AB85, ISNUMBER($B85:AB85)), COUNTA(FILTER($B85:AB85, ISNUMBER($B85:AB85)))),
IFERROR(
IF('Résultats des tournois'!AB85="""", INDEX(FILTER($C85:AB85, ISNUMBER($C85:AB85)), COUNTA(FILTE"&amp;"R($C85:AB85, ISNUMBER($C85:AB85)))),
lastVal + 'K dynamique'!AB85 * ((SQRT('Résultats des tournois'!AB$2 + 1)/'Résultats des tournois'!AB85) - (1 / (1 + 10^((AB$103 - lastVal)/400)))))
)
))"),"")</f>
        <v/>
      </c>
      <c r="AD85" s="32" t="str">
        <f>IFERROR(__xludf.DUMMYFUNCTION("IF('Résultats des tournois'!AC$2=0,"""",LET(
lastVal, INDEX(FILTER($B85:AC85, ISNUMBER($B85:AC85)), COUNTA(FILTER($B85:AC85, ISNUMBER($B85:AC85)))),
IFERROR(
IF('Résultats des tournois'!AC85="""", INDEX(FILTER($C85:AC85, ISNUMBER($C85:AC85)), COUNTA(FILTE"&amp;"R($C85:AC85, ISNUMBER($C85:AC85)))),
lastVal + 'K dynamique'!AC85 * ((SQRT('Résultats des tournois'!AC$2 + 1)/'Résultats des tournois'!AC85) - (1 / (1 + 10^((AC$103 - lastVal)/400)))))
)
))"),"")</f>
        <v/>
      </c>
      <c r="AE85" s="32" t="str">
        <f>IFERROR(__xludf.DUMMYFUNCTION("IF('Résultats des tournois'!AD$2=0,"""",LET(
lastVal, INDEX(FILTER($B85:AD85, ISNUMBER($B85:AD85)), COUNTA(FILTER($B85:AD85, ISNUMBER($B85:AD85)))),
IFERROR(
IF('Résultats des tournois'!AD85="""", INDEX(FILTER($C85:AD85, ISNUMBER($C85:AD85)), COUNTA(FILTE"&amp;"R($C85:AD85, ISNUMBER($C85:AD85)))),
lastVal + 'K dynamique'!AD85 * ((SQRT('Résultats des tournois'!AD$2 + 1)/'Résultats des tournois'!AD85) - (1 / (1 + 10^((AD$103 - lastVal)/400)))))
)
))"),"")</f>
        <v/>
      </c>
      <c r="AF85" s="32" t="str">
        <f>IFERROR(__xludf.DUMMYFUNCTION("IF('Résultats des tournois'!AE$2=0,"""",LET(
lastVal, INDEX(FILTER($B85:AE85, ISNUMBER($B85:AE85)), COUNTA(FILTER($B85:AE85, ISNUMBER($B85:AE85)))),
IFERROR(
IF('Résultats des tournois'!AE85="""", INDEX(FILTER($C85:AE85, ISNUMBER($C85:AE85)), COUNTA(FILTE"&amp;"R($C85:AE85, ISNUMBER($C85:AE85)))),
lastVal + 'K dynamique'!AE85 * ((SQRT('Résultats des tournois'!AE$2 + 1)/'Résultats des tournois'!AE85) - (1 / (1 + 10^((AE$103 - lastVal)/400)))))
)
))"),"")</f>
        <v/>
      </c>
      <c r="AG85" s="32" t="str">
        <f>IFERROR(__xludf.DUMMYFUNCTION("IF('Résultats des tournois'!AF$2=0,"""",LET(
lastVal, INDEX(FILTER($B85:AF85, ISNUMBER($B85:AF85)), COUNTA(FILTER($B85:AF85, ISNUMBER($B85:AF85)))),
IFERROR(
IF('Résultats des tournois'!AF85="""", INDEX(FILTER($C85:AF85, ISNUMBER($C85:AF85)), COUNTA(FILTE"&amp;"R($C85:AF85, ISNUMBER($C85:AF85)))),
lastVal + 'K dynamique'!AF85 * ((SQRT('Résultats des tournois'!AF$2 + 1)/'Résultats des tournois'!AF85) - (1 / (1 + 10^((AF$103 - lastVal)/400)))))
)
))"),"")</f>
        <v/>
      </c>
      <c r="AH85" s="32" t="str">
        <f>IFERROR(__xludf.DUMMYFUNCTION("IF('Résultats des tournois'!AG$2=0,"""",LET(
lastVal, INDEX(FILTER($B85:AG85, ISNUMBER($B85:AG85)), COUNTA(FILTER($B85:AG85, ISNUMBER($B85:AG85)))),
IFERROR(
IF('Résultats des tournois'!AG85="""", INDEX(FILTER($C85:AG85, ISNUMBER($C85:AG85)), COUNTA(FILTE"&amp;"R($C85:AG85, ISNUMBER($C85:AG85)))),
lastVal + 'K dynamique'!AG85 * ((SQRT('Résultats des tournois'!AG$2 + 1)/'Résultats des tournois'!AG85) - (1 / (1 + 10^((AG$103 - lastVal)/400)))))
)
))"),"")</f>
        <v/>
      </c>
      <c r="AI85" s="32" t="str">
        <f>IFERROR(__xludf.DUMMYFUNCTION("IF('Résultats des tournois'!AH$2=0,"""",LET(
lastVal, INDEX(FILTER($B85:AH85, ISNUMBER($B85:AH85)), COUNTA(FILTER($B85:AH85, ISNUMBER($B85:AH85)))),
IFERROR(
IF('Résultats des tournois'!AH85="""", INDEX(FILTER($C85:AH85, ISNUMBER($C85:AH85)), COUNTA(FILTE"&amp;"R($C85:AH85, ISNUMBER($C85:AH85)))),
lastVal + 'K dynamique'!AH85 * ((SQRT('Résultats des tournois'!AH$2 + 1)/'Résultats des tournois'!AH85) - (1 / (1 + 10^((AH$103 - lastVal)/400)))))
)
))"),"")</f>
        <v/>
      </c>
      <c r="AJ85" s="32" t="str">
        <f>IFERROR(__xludf.DUMMYFUNCTION("IF('Résultats des tournois'!AI$2=0,"""",LET(
lastVal, INDEX(FILTER($B85:AI85, ISNUMBER($B85:AI85)), COUNTA(FILTER($B85:AI85, ISNUMBER($B85:AI85)))),
IFERROR(
IF('Résultats des tournois'!AI85="""", INDEX(FILTER($C85:AI85, ISNUMBER($C85:AI85)), COUNTA(FILTE"&amp;"R($C85:AI85, ISNUMBER($C85:AI85)))),
lastVal + 'K dynamique'!AI85 * ((SQRT('Résultats des tournois'!AI$2 + 1)/'Résultats des tournois'!AI85) - (1 / (1 + 10^((AI$103 - lastVal)/400)))))
)
))"),"")</f>
        <v/>
      </c>
      <c r="AK85" s="32" t="str">
        <f>IFERROR(__xludf.DUMMYFUNCTION("IF('Résultats des tournois'!AJ$2=0,"""",LET(
lastVal, INDEX(FILTER($B85:AJ85, ISNUMBER($B85:AJ85)), COUNTA(FILTER($B85:AJ85, ISNUMBER($B85:AJ85)))),
IFERROR(
IF('Résultats des tournois'!AJ85="""", INDEX(FILTER($C85:AJ85, ISNUMBER($C85:AJ85)), COUNTA(FILTE"&amp;"R($C85:AJ85, ISNUMBER($C85:AJ85)))),
lastVal + 'K dynamique'!AJ85 * ((SQRT('Résultats des tournois'!AJ$2 + 1)/'Résultats des tournois'!AJ85) - (1 / (1 + 10^((AJ$103 - lastVal)/400)))))
)
))"),"")</f>
        <v/>
      </c>
      <c r="AL85" s="32" t="str">
        <f>IFERROR(__xludf.DUMMYFUNCTION("IF('Résultats des tournois'!AK$2=0,"""",LET(
lastVal, INDEX(FILTER($B85:AK85, ISNUMBER($B85:AK85)), COUNTA(FILTER($B85:AK85, ISNUMBER($B85:AK85)))),
IFERROR(
IF('Résultats des tournois'!AK85="""", INDEX(FILTER($C85:AK85, ISNUMBER($C85:AK85)), COUNTA(FILTE"&amp;"R($C85:AK85, ISNUMBER($C85:AK85)))),
lastVal + 'K dynamique'!AK85 * ((SQRT('Résultats des tournois'!AK$2 + 1)/'Résultats des tournois'!AK85) - (1 / (1 + 10^((AK$103 - lastVal)/400)))))
)
))"),"")</f>
        <v/>
      </c>
      <c r="AM85" s="32" t="str">
        <f>IFERROR(__xludf.DUMMYFUNCTION("IF('Résultats des tournois'!AL$2=0,"""",LET(
lastVal, INDEX(FILTER($B85:AL85, ISNUMBER($B85:AL85)), COUNTA(FILTER($B85:AL85, ISNUMBER($B85:AL85)))),
IFERROR(
IF('Résultats des tournois'!AL85="""", INDEX(FILTER($C85:AL85, ISNUMBER($C85:AL85)), COUNTA(FILTE"&amp;"R($C85:AL85, ISNUMBER($C85:AL85)))),
lastVal + 'K dynamique'!AL85 * ((SQRT('Résultats des tournois'!AL$2 + 1)/'Résultats des tournois'!AL85) - (1 / (1 + 10^((AL$103 - lastVal)/400)))))
)
))"),"")</f>
        <v/>
      </c>
      <c r="AN85" s="32" t="str">
        <f>IFERROR(__xludf.DUMMYFUNCTION("IF('Résultats des tournois'!AM$2=0,"""",LET(
lastVal, INDEX(FILTER($B85:AM85, ISNUMBER($B85:AM85)), COUNTA(FILTER($B85:AM85, ISNUMBER($B85:AM85)))),
IFERROR(
IF('Résultats des tournois'!AM85="""", INDEX(FILTER($C85:AM85, ISNUMBER($C85:AM85)), COUNTA(FILTE"&amp;"R($C85:AM85, ISNUMBER($C85:AM85)))),
lastVal + 'K dynamique'!AM85 * ((SQRT('Résultats des tournois'!AM$2 + 1)/'Résultats des tournois'!AM85) - (1 / (1 + 10^((AM$103 - lastVal)/400)))))
)
))"),"")</f>
        <v/>
      </c>
      <c r="AO85" s="32" t="str">
        <f>IFERROR(__xludf.DUMMYFUNCTION("IF('Résultats des tournois'!AN$2=0,"""",LET(
lastVal, INDEX(FILTER($B85:AN85, ISNUMBER($B85:AN85)), COUNTA(FILTER($B85:AN85, ISNUMBER($B85:AN85)))),
IFERROR(
IF('Résultats des tournois'!AN85="""", INDEX(FILTER($C85:AN85, ISNUMBER($C85:AN85)), COUNTA(FILTE"&amp;"R($C85:AN85, ISNUMBER($C85:AN85)))),
lastVal + 'K dynamique'!AN85 * ((SQRT('Résultats des tournois'!AN$2 + 1)/'Résultats des tournois'!AN85) - (1 / (1 + 10^((AN$103 - lastVal)/400)))))
)
))"),"")</f>
        <v/>
      </c>
      <c r="AP85" s="32" t="str">
        <f>IFERROR(__xludf.DUMMYFUNCTION("IF('Résultats des tournois'!AO$2=0,"""",LET(
lastVal, INDEX(FILTER($B85:AO85, ISNUMBER($B85:AO85)), COUNTA(FILTER($B85:AO85, ISNUMBER($B85:AO85)))),
IFERROR(
IF('Résultats des tournois'!AO85="""", INDEX(FILTER($C85:AO85, ISNUMBER($C85:AO85)), COUNTA(FILTE"&amp;"R($C85:AO85, ISNUMBER($C85:AO85)))),
lastVal + 'K dynamique'!AO85 * ((SQRT('Résultats des tournois'!AO$2 + 1)/'Résultats des tournois'!AO85) - (1 / (1 + 10^((AO$103 - lastVal)/400)))))
)
))"),"")</f>
        <v/>
      </c>
      <c r="AQ85" s="32" t="str">
        <f>IFERROR(__xludf.DUMMYFUNCTION("IF('Résultats des tournois'!AP$2=0,"""",LET(
lastVal, INDEX(FILTER($B85:AP85, ISNUMBER($B85:AP85)), COUNTA(FILTER($B85:AP85, ISNUMBER($B85:AP85)))),
IFERROR(
IF('Résultats des tournois'!AP85="""", INDEX(FILTER($C85:AP85, ISNUMBER($C85:AP85)), COUNTA(FILTE"&amp;"R($C85:AP85, ISNUMBER($C85:AP85)))),
lastVal + 'K dynamique'!AP85 * ((SQRT('Résultats des tournois'!AP$2 + 1)/'Résultats des tournois'!AP85) - (1 / (1 + 10^((AP$103 - lastVal)/400)))))
)
))"),"")</f>
        <v/>
      </c>
      <c r="AR85" s="32" t="str">
        <f>IFERROR(__xludf.DUMMYFUNCTION("IF('Résultats des tournois'!AQ$2=0,"""",LET(
lastVal, INDEX(FILTER($B85:AQ85, ISNUMBER($B85:AQ85)), COUNTA(FILTER($B85:AQ85, ISNUMBER($B85:AQ85)))),
IFERROR(
IF('Résultats des tournois'!AQ85="""", INDEX(FILTER($C85:AQ85, ISNUMBER($C85:AQ85)), COUNTA(FILTE"&amp;"R($C85:AQ85, ISNUMBER($C85:AQ85)))),
lastVal + 'K dynamique'!AQ85 * ((SQRT('Résultats des tournois'!AQ$2 + 1)/'Résultats des tournois'!AQ85) - (1 / (1 + 10^((AQ$103 - lastVal)/400)))))
)
))"),"")</f>
        <v/>
      </c>
      <c r="AS85" s="32" t="str">
        <f>IFERROR(__xludf.DUMMYFUNCTION("IF('Résultats des tournois'!AR$2=0,"""",LET(
lastVal, INDEX(FILTER($B85:AR85, ISNUMBER($B85:AR85)), COUNTA(FILTER($B85:AR85, ISNUMBER($B85:AR85)))),
IFERROR(
IF('Résultats des tournois'!AR85="""", INDEX(FILTER($C85:AR85, ISNUMBER($C85:AR85)), COUNTA(FILTE"&amp;"R($C85:AR85, ISNUMBER($C85:AR85)))),
lastVal + 'K dynamique'!AR85 * ((SQRT('Résultats des tournois'!AR$2 + 1)/'Résultats des tournois'!AR85) - (1 / (1 + 10^((AR$103 - lastVal)/400)))))
)
))"),"")</f>
        <v/>
      </c>
      <c r="AT85" s="32" t="str">
        <f>IFERROR(__xludf.DUMMYFUNCTION("IF('Résultats des tournois'!AS$2=0,"""",LET(
lastVal, INDEX(FILTER($B85:AS85, ISNUMBER($B85:AS85)), COUNTA(FILTER($B85:AS85, ISNUMBER($B85:AS85)))),
IFERROR(
IF('Résultats des tournois'!AS85="""", INDEX(FILTER($C85:AS85, ISNUMBER($C85:AS85)), COUNTA(FILTE"&amp;"R($C85:AS85, ISNUMBER($C85:AS85)))),
lastVal + 'K dynamique'!AS85 * ((SQRT('Résultats des tournois'!AS$2 + 1)/'Résultats des tournois'!AS85) - (1 / (1 + 10^((AS$103 - lastVal)/400)))))
)
))"),"")</f>
        <v/>
      </c>
      <c r="AU85" s="32" t="str">
        <f>IFERROR(__xludf.DUMMYFUNCTION("IF('Résultats des tournois'!AT$2=0,"""",LET(
lastVal, INDEX(FILTER($B85:AT85, ISNUMBER($B85:AT85)), COUNTA(FILTER($B85:AT85, ISNUMBER($B85:AT85)))),
IFERROR(
IF('Résultats des tournois'!AT85="""", INDEX(FILTER($C85:AT85, ISNUMBER($C85:AT85)), COUNTA(FILTE"&amp;"R($C85:AT85, ISNUMBER($C85:AT85)))),
lastVal + 'K dynamique'!AT85 * ((SQRT('Résultats des tournois'!AT$2 + 1)/'Résultats des tournois'!AT85) - (1 / (1 + 10^((AT$103 - lastVal)/400)))))
)
))"),"")</f>
        <v/>
      </c>
      <c r="AV85" s="32" t="str">
        <f>IFERROR(__xludf.DUMMYFUNCTION("IF('Résultats des tournois'!AU$2=0,"""",LET(
lastVal, INDEX(FILTER($B85:AU85, ISNUMBER($B85:AU85)), COUNTA(FILTER($B85:AU85, ISNUMBER($B85:AU85)))),
IFERROR(
IF('Résultats des tournois'!AU85="""", INDEX(FILTER($C85:AU85, ISNUMBER($C85:AU85)), COUNTA(FILTE"&amp;"R($C85:AU85, ISNUMBER($C85:AU85)))),
lastVal + 'K dynamique'!AU85 * ((SQRT('Résultats des tournois'!AU$2 + 1)/'Résultats des tournois'!AU85) - (1 / (1 + 10^((AU$103 - lastVal)/400)))))
)
))"),"")</f>
        <v/>
      </c>
      <c r="AW85" s="32" t="str">
        <f>IFERROR(__xludf.DUMMYFUNCTION("IF('Résultats des tournois'!AV$2=0,"""",LET(
lastVal, INDEX(FILTER($B85:AV85, ISNUMBER($B85:AV85)), COUNTA(FILTER($B85:AV85, ISNUMBER($B85:AV85)))),
IFERROR(
IF('Résultats des tournois'!AV85="""", INDEX(FILTER($C85:AV85, ISNUMBER($C85:AV85)), COUNTA(FILTE"&amp;"R($C85:AV85, ISNUMBER($C85:AV85)))),
lastVal + 'K dynamique'!AV85 * ((SQRT('Résultats des tournois'!AV$2 + 1)/'Résultats des tournois'!AV85) - (1 / (1 + 10^((AV$103 - lastVal)/400)))))
)
))"),"")</f>
        <v/>
      </c>
      <c r="AX85" s="32" t="str">
        <f>IFERROR(__xludf.DUMMYFUNCTION("IF('Résultats des tournois'!AW$2=0,"""",LET(
lastVal, INDEX(FILTER($B85:AW85, ISNUMBER($B85:AW85)), COUNTA(FILTER($B85:AW85, ISNUMBER($B85:AW85)))),
IFERROR(
IF('Résultats des tournois'!AW85="""", INDEX(FILTER($C85:AW85, ISNUMBER($C85:AW85)), COUNTA(FILTE"&amp;"R($C85:AW85, ISNUMBER($C85:AW85)))),
lastVal + 'K dynamique'!AW85 * ((SQRT('Résultats des tournois'!AW$2 + 1)/'Résultats des tournois'!AW85) - (1 / (1 + 10^((AW$103 - lastVal)/400)))))
)
))"),"")</f>
        <v/>
      </c>
      <c r="AY85" s="32" t="str">
        <f>IFERROR(__xludf.DUMMYFUNCTION("IF('Résultats des tournois'!AX$2=0,"""",LET(
lastVal, INDEX(FILTER($B85:AX85, ISNUMBER($B85:AX85)), COUNTA(FILTER($B85:AX85, ISNUMBER($B85:AX85)))),
IFERROR(
IF('Résultats des tournois'!AX85="""", INDEX(FILTER($C85:AX85, ISNUMBER($C85:AX85)), COUNTA(FILTE"&amp;"R($C85:AX85, ISNUMBER($C85:AX85)))),
lastVal + 'K dynamique'!AX85 * ((SQRT('Résultats des tournois'!AX$2 + 1)/'Résultats des tournois'!AX85) - (1 / (1 + 10^((AX$103 - lastVal)/400)))))
)
))"),"")</f>
        <v/>
      </c>
      <c r="AZ85" s="4" t="str">
        <f t="array" ref="AZ85">IF(MAX(($C85:AY85&lt;&gt;"")*COLUMN($C85:AY85))=0,"",INDEX($C85:AY85,1,MAX(($C85:AY85&lt;&gt;"")*COLUMN($C85:AY85))-COLUMN($C85)+1))</f>
        <v/>
      </c>
      <c r="BA85" s="33" t="str">
        <f t="shared" si="1"/>
        <v/>
      </c>
    </row>
    <row r="86" ht="14.25" customHeight="1">
      <c r="A86" s="32" t="str">
        <f>IF('Résultats des tournois'!A86="","",'Résultats des tournois'!A86)</f>
        <v/>
      </c>
      <c r="B86" s="32">
        <v>1500.0</v>
      </c>
      <c r="C86" s="32" t="str">
        <f>IF('Résultats des tournois'!B86="","",B86+'K dynamique'!B86*((SQRT('Résultats des tournois'!B$2+1)/'Résultats des tournois'!B86)-(1/(1+10^((B86-B86)/400)))))</f>
        <v/>
      </c>
      <c r="D86" s="32" t="str">
        <f>IFERROR(__xludf.DUMMYFUNCTION("IF('Résultats des tournois'!C$2=0,"""",LET(
lastVal, INDEX(FILTER($B86:C86, ISNUMBER($B86:C86)), COUNTA(FILTER($B86:C86, ISNUMBER($B86:C86)))),
IFERROR(
IF('Résultats des tournois'!C86="""", INDEX(FILTER($C86:C86, ISNUMBER($C86:C86)), COUNTA(FILTER($C86:C"&amp;"86, ISNUMBER($C86:C86)))),
lastVal + 'K dynamique'!C86 * ((SQRT('Résultats des tournois'!C$2 + 1)/'Résultats des tournois'!C86) - (1 / (1 + 10^((C$103 - lastVal)/400)))))
)
))"),"")</f>
        <v/>
      </c>
      <c r="E86" s="32" t="str">
        <f>IFERROR(__xludf.DUMMYFUNCTION("IF('Résultats des tournois'!D$2=0,"""",LET(
lastVal, INDEX(FILTER($B86:D86, ISNUMBER($B86:D86)), COUNTA(FILTER($B86:D86, ISNUMBER($B86:D86)))),
IFERROR(
IF('Résultats des tournois'!D86="""", INDEX(FILTER($C86:D86, ISNUMBER($C86:D86)), COUNTA(FILTER($C86:D"&amp;"86, ISNUMBER($C86:D86)))),
lastVal + 'K dynamique'!D86 * ((SQRT('Résultats des tournois'!D$2 + 1)/'Résultats des tournois'!D86) - (1 / (1 + 10^((D$103 - lastVal)/400)))))
)
))"),"")</f>
        <v/>
      </c>
      <c r="F86" s="32" t="str">
        <f>IFERROR(__xludf.DUMMYFUNCTION("IF('Résultats des tournois'!E$2=0,"""",LET(
lastVal, INDEX(FILTER($B86:E86, ISNUMBER($B86:E86)), COUNTA(FILTER($B86:E86, ISNUMBER($B86:E86)))),
IFERROR(
IF('Résultats des tournois'!E86="""", INDEX(FILTER($C86:E86, ISNUMBER($C86:E86)), COUNTA(FILTER($C86:E"&amp;"86, ISNUMBER($C86:E86)))),
lastVal + 'K dynamique'!E86 * ((SQRT('Résultats des tournois'!E$2 + 1)/'Résultats des tournois'!E86) - (1 / (1 + 10^((E$103 - lastVal)/400)))))
)
))"),"")</f>
        <v/>
      </c>
      <c r="G86" s="32" t="str">
        <f>IFERROR(__xludf.DUMMYFUNCTION("IF('Résultats des tournois'!F$2=0,"""",LET(
lastVal, INDEX(FILTER($B86:F86, ISNUMBER($B86:F86)), COUNTA(FILTER($B86:F86, ISNUMBER($B86:F86)))),
IFERROR(
IF('Résultats des tournois'!F86="""", INDEX(FILTER($C86:F86, ISNUMBER($C86:F86)), COUNTA(FILTER($C86:F"&amp;"86, ISNUMBER($C86:F86)))),
lastVal + 'K dynamique'!F86 * ((SQRT('Résultats des tournois'!F$2 + 1)/'Résultats des tournois'!F86) - (1 / (1 + 10^((F$103 - lastVal)/400)))))
)
))"),"")</f>
        <v/>
      </c>
      <c r="H86" s="32" t="str">
        <f>IFERROR(__xludf.DUMMYFUNCTION("IF('Résultats des tournois'!G$2=0,"""",LET(
lastVal, INDEX(FILTER($B86:G86, ISNUMBER($B86:G86)), COUNTA(FILTER($B86:G86, ISNUMBER($B86:G86)))),
IFERROR(
IF('Résultats des tournois'!G86="""", INDEX(FILTER($C86:G86, ISNUMBER($C86:G86)), COUNTA(FILTER($C86:G"&amp;"86, ISNUMBER($C86:G86)))),
lastVal + 'K dynamique'!G86 * ((SQRT('Résultats des tournois'!G$2 + 1)/'Résultats des tournois'!G86) - (1 / (1 + 10^((G$103 - lastVal)/400)))))
)
))"),"")</f>
        <v/>
      </c>
      <c r="I86" s="32" t="str">
        <f>IFERROR(__xludf.DUMMYFUNCTION("IF('Résultats des tournois'!H$2=0,"""",LET(
lastVal, INDEX(FILTER($B86:H86, ISNUMBER($B86:H86)), COUNTA(FILTER($B86:H86, ISNUMBER($B86:H86)))),
IFERROR(
IF('Résultats des tournois'!H86="""", INDEX(FILTER($C86:H86, ISNUMBER($C86:H86)), COUNTA(FILTER($C86:H"&amp;"86, ISNUMBER($C86:H86)))),
lastVal + 'K dynamique'!H86 * ((SQRT('Résultats des tournois'!H$2 + 1)/'Résultats des tournois'!H86) - (1 / (1 + 10^((H$103 - lastVal)/400)))))
)
))"),"")</f>
        <v/>
      </c>
      <c r="J86" s="32" t="str">
        <f>IFERROR(__xludf.DUMMYFUNCTION("IF('Résultats des tournois'!I$2=0,"""",LET(
lastVal, INDEX(FILTER($B86:I86, ISNUMBER($B86:I86)), COUNTA(FILTER($B86:I86, ISNUMBER($B86:I86)))),
IFERROR(
IF('Résultats des tournois'!I86="""", INDEX(FILTER($C86:I86, ISNUMBER($C86:I86)), COUNTA(FILTER($C86:I"&amp;"86, ISNUMBER($C86:I86)))),
lastVal + 'K dynamique'!I86 * ((SQRT('Résultats des tournois'!I$2 + 1)/'Résultats des tournois'!I86) - (1 / (1 + 10^((I$103 - lastVal)/400)))))
)
))"),"")</f>
        <v/>
      </c>
      <c r="K86" s="32" t="str">
        <f>IFERROR(__xludf.DUMMYFUNCTION("IF('Résultats des tournois'!J$2=0,"""",LET(
lastVal, INDEX(FILTER($B86:J86, ISNUMBER($B86:J86)), COUNTA(FILTER($B86:J86, ISNUMBER($B86:J86)))),
IFERROR(
IF('Résultats des tournois'!J86="""", INDEX(FILTER($C86:J86, ISNUMBER($C86:J86)), COUNTA(FILTER($C86:J"&amp;"86, ISNUMBER($C86:J86)))),
lastVal + 'K dynamique'!J86 * ((SQRT('Résultats des tournois'!J$2 + 1)/'Résultats des tournois'!J86) - (1 / (1 + 10^((J$103 - lastVal)/400)))))
)
))"),"")</f>
        <v/>
      </c>
      <c r="L86" s="32" t="str">
        <f>IFERROR(__xludf.DUMMYFUNCTION("IF('Résultats des tournois'!K$2=0,"""",LET(
lastVal, INDEX(FILTER($B86:K86, ISNUMBER($B86:K86)), COUNTA(FILTER($B86:K86, ISNUMBER($B86:K86)))),
IFERROR(
IF('Résultats des tournois'!K86="""", INDEX(FILTER($C86:K86, ISNUMBER($C86:K86)), COUNTA(FILTER($C86:K"&amp;"86, ISNUMBER($C86:K86)))),
lastVal + 'K dynamique'!K86 * ((SQRT('Résultats des tournois'!K$2 + 1)/'Résultats des tournois'!K86) - (1 / (1 + 10^((K$103 - lastVal)/400)))))
)
))"),"")</f>
        <v/>
      </c>
      <c r="M86" s="32" t="str">
        <f>IFERROR(__xludf.DUMMYFUNCTION("IF('Résultats des tournois'!L$2=0,"""",LET(
lastVal, INDEX(FILTER($B86:L86, ISNUMBER($B86:L86)), COUNTA(FILTER($B86:L86, ISNUMBER($B86:L86)))),
IFERROR(
IF('Résultats des tournois'!L86="""", INDEX(FILTER($C86:L86, ISNUMBER($C86:L86)), COUNTA(FILTER($C86:L"&amp;"86, ISNUMBER($C86:L86)))),
lastVal + 'K dynamique'!L86 * ((SQRT('Résultats des tournois'!L$2 + 1)/'Résultats des tournois'!L86) - (1 / (1 + 10^((L$103 - lastVal)/400)))))
)
))"),"")</f>
        <v/>
      </c>
      <c r="N86" s="32" t="str">
        <f>IFERROR(__xludf.DUMMYFUNCTION("IF('Résultats des tournois'!M$2=0,"""",LET(
lastVal, INDEX(FILTER($B86:M86, ISNUMBER($B86:M86)), COUNTA(FILTER($B86:M86, ISNUMBER($B86:M86)))),
IFERROR(
IF('Résultats des tournois'!M86="""", INDEX(FILTER($C86:M86, ISNUMBER($C86:M86)), COUNTA(FILTER($C86:M"&amp;"86, ISNUMBER($C86:M86)))),
lastVal + 'K dynamique'!M86 * ((SQRT('Résultats des tournois'!M$2 + 1)/'Résultats des tournois'!M86) - (1 / (1 + 10^((M$103 - lastVal)/400)))))
)
))"),"")</f>
        <v/>
      </c>
      <c r="O86" s="32" t="str">
        <f>IFERROR(__xludf.DUMMYFUNCTION("IF('Résultats des tournois'!N$2=0,"""",LET(
lastVal, INDEX(FILTER($B86:N86, ISNUMBER($B86:N86)), COUNTA(FILTER($B86:N86, ISNUMBER($B86:N86)))),
IFERROR(
IF('Résultats des tournois'!N86="""", INDEX(FILTER($C86:N86, ISNUMBER($C86:N86)), COUNTA(FILTER($C86:N"&amp;"86, ISNUMBER($C86:N86)))),
lastVal + 'K dynamique'!N86 * ((SQRT('Résultats des tournois'!N$2 + 1)/'Résultats des tournois'!N86) - (1 / (1 + 10^((N$103 - lastVal)/400)))))
)
))"),"")</f>
        <v/>
      </c>
      <c r="P86" s="32" t="str">
        <f>IFERROR(__xludf.DUMMYFUNCTION("IF('Résultats des tournois'!O$2=0,"""",LET(
lastVal, INDEX(FILTER($B86:O86, ISNUMBER($B86:O86)), COUNTA(FILTER($B86:O86, ISNUMBER($B86:O86)))),
IFERROR(
IF('Résultats des tournois'!O86="""", INDEX(FILTER($C86:O86, ISNUMBER($C86:O86)), COUNTA(FILTER($C86:O"&amp;"86, ISNUMBER($C86:O86)))),
lastVal + 'K dynamique'!O86 * ((SQRT('Résultats des tournois'!O$2 + 1)/'Résultats des tournois'!O86) - (1 / (1 + 10^((O$103 - lastVal)/400)))))
)
))"),"")</f>
        <v/>
      </c>
      <c r="Q86" s="32" t="str">
        <f>IFERROR(__xludf.DUMMYFUNCTION("IF('Résultats des tournois'!P$2=0,"""",LET(
lastVal, INDEX(FILTER($B86:P86, ISNUMBER($B86:P86)), COUNTA(FILTER($B86:P86, ISNUMBER($B86:P86)))),
IFERROR(
IF('Résultats des tournois'!P86="""", INDEX(FILTER($C86:P86, ISNUMBER($C86:P86)), COUNTA(FILTER($C86:P"&amp;"86, ISNUMBER($C86:P86)))),
lastVal + 'K dynamique'!P86 * ((SQRT('Résultats des tournois'!P$2 + 1)/'Résultats des tournois'!P86) - (1 / (1 + 10^((P$103 - lastVal)/400)))))
)
))"),"")</f>
        <v/>
      </c>
      <c r="R86" s="32" t="str">
        <f>IFERROR(__xludf.DUMMYFUNCTION("IF('Résultats des tournois'!Q$2=0,"""",LET(
lastVal, INDEX(FILTER($B86:Q86, ISNUMBER($B86:Q86)), COUNTA(FILTER($B86:Q86, ISNUMBER($B86:Q86)))),
IFERROR(
IF('Résultats des tournois'!Q86="""", INDEX(FILTER($C86:Q86, ISNUMBER($C86:Q86)), COUNTA(FILTER($C86:Q"&amp;"86, ISNUMBER($C86:Q86)))),
lastVal + 'K dynamique'!Q86 * ((SQRT('Résultats des tournois'!Q$2 + 1)/'Résultats des tournois'!Q86) - (1 / (1 + 10^((Q$103 - lastVal)/400)))))
)
))"),"")</f>
        <v/>
      </c>
      <c r="S86" s="32" t="str">
        <f>IFERROR(__xludf.DUMMYFUNCTION("IF('Résultats des tournois'!R$2=0,"""",LET(
lastVal, INDEX(FILTER($B86:R86, ISNUMBER($B86:R86)), COUNTA(FILTER($B86:R86, ISNUMBER($B86:R86)))),
IFERROR(
IF('Résultats des tournois'!R86="""", INDEX(FILTER($C86:R86, ISNUMBER($C86:R86)), COUNTA(FILTER($C86:R"&amp;"86, ISNUMBER($C86:R86)))),
lastVal + 'K dynamique'!R86 * ((SQRT('Résultats des tournois'!R$2 + 1)/'Résultats des tournois'!R86) - (1 / (1 + 10^((R$103 - lastVal)/400)))))
)
))"),"")</f>
        <v/>
      </c>
      <c r="T86" s="32" t="str">
        <f>IFERROR(__xludf.DUMMYFUNCTION("IF('Résultats des tournois'!S$2=0,"""",LET(
lastVal, INDEX(FILTER($B86:S86, ISNUMBER($B86:S86)), COUNTA(FILTER($B86:S86, ISNUMBER($B86:S86)))),
IFERROR(
IF('Résultats des tournois'!S86="""", INDEX(FILTER($C86:S86, ISNUMBER($C86:S86)), COUNTA(FILTER($C86:S"&amp;"86, ISNUMBER($C86:S86)))),
lastVal + 'K dynamique'!S86 * ((SQRT('Résultats des tournois'!S$2 + 1)/'Résultats des tournois'!S86) - (1 / (1 + 10^((S$103 - lastVal)/400)))))
)
))"),"")</f>
        <v/>
      </c>
      <c r="U86" s="32" t="str">
        <f>IFERROR(__xludf.DUMMYFUNCTION("IF('Résultats des tournois'!T$2=0,"""",LET(
lastVal, INDEX(FILTER($B86:T86, ISNUMBER($B86:T86)), COUNTA(FILTER($B86:T86, ISNUMBER($B86:T86)))),
IFERROR(
IF('Résultats des tournois'!T86="""", INDEX(FILTER($C86:T86, ISNUMBER($C86:T86)), COUNTA(FILTER($C86:T"&amp;"86, ISNUMBER($C86:T86)))),
lastVal + 'K dynamique'!T86 * ((SQRT('Résultats des tournois'!T$2 + 1)/'Résultats des tournois'!T86) - (1 / (1 + 10^((T$103 - lastVal)/400)))))
)
))"),"")</f>
        <v/>
      </c>
      <c r="V86" s="32" t="str">
        <f>IFERROR(__xludf.DUMMYFUNCTION("IF('Résultats des tournois'!U$2=0,"""",LET(
lastVal, INDEX(FILTER($B86:U86, ISNUMBER($B86:U86)), COUNTA(FILTER($B86:U86, ISNUMBER($B86:U86)))),
IFERROR(
IF('Résultats des tournois'!U86="""", INDEX(FILTER($C86:U86, ISNUMBER($C86:U86)), COUNTA(FILTER($C86:U"&amp;"86, ISNUMBER($C86:U86)))),
lastVal + 'K dynamique'!U86 * ((SQRT('Résultats des tournois'!U$2 + 1)/'Résultats des tournois'!U86) - (1 / (1 + 10^((U$103 - lastVal)/400)))))
)
))"),"")</f>
        <v/>
      </c>
      <c r="W86" s="32" t="str">
        <f>IFERROR(__xludf.DUMMYFUNCTION("IF('Résultats des tournois'!V$2=0,"""",LET(
lastVal, INDEX(FILTER($B86:V86, ISNUMBER($B86:V86)), COUNTA(FILTER($B86:V86, ISNUMBER($B86:V86)))),
IFERROR(
IF('Résultats des tournois'!V86="""", INDEX(FILTER($C86:V86, ISNUMBER($C86:V86)), COUNTA(FILTER($C86:V"&amp;"86, ISNUMBER($C86:V86)))),
lastVal + 'K dynamique'!V86 * ((SQRT('Résultats des tournois'!V$2 + 1)/'Résultats des tournois'!V86) - (1 / (1 + 10^((V$103 - lastVal)/400)))))
)
))"),"")</f>
        <v/>
      </c>
      <c r="X86" s="32" t="str">
        <f>IFERROR(__xludf.DUMMYFUNCTION("IF('Résultats des tournois'!W$2=0,"""",LET(
lastVal, INDEX(FILTER($B86:W86, ISNUMBER($B86:W86)), COUNTA(FILTER($B86:W86, ISNUMBER($B86:W86)))),
IFERROR(
IF('Résultats des tournois'!W86="""", INDEX(FILTER($C86:W86, ISNUMBER($C86:W86)), COUNTA(FILTER($C86:W"&amp;"86, ISNUMBER($C86:W86)))),
lastVal + 'K dynamique'!W86 * ((SQRT('Résultats des tournois'!W$2 + 1)/'Résultats des tournois'!W86) - (1 / (1 + 10^((W$103 - lastVal)/400)))))
)
))"),"")</f>
        <v/>
      </c>
      <c r="Y86" s="32" t="str">
        <f>IFERROR(__xludf.DUMMYFUNCTION("IF('Résultats des tournois'!X$2=0,"""",LET(
lastVal, INDEX(FILTER($B86:X86, ISNUMBER($B86:X86)), COUNTA(FILTER($B86:X86, ISNUMBER($B86:X86)))),
IFERROR(
IF('Résultats des tournois'!X86="""", INDEX(FILTER($C86:X86, ISNUMBER($C86:X86)), COUNTA(FILTER($C86:X"&amp;"86, ISNUMBER($C86:X86)))),
lastVal + 'K dynamique'!X86 * ((SQRT('Résultats des tournois'!X$2 + 1)/'Résultats des tournois'!X86) - (1 / (1 + 10^((X$103 - lastVal)/400)))))
)
))"),"")</f>
        <v/>
      </c>
      <c r="Z86" s="32" t="str">
        <f>IFERROR(__xludf.DUMMYFUNCTION("IF('Résultats des tournois'!Y$2=0,"""",LET(
lastVal, INDEX(FILTER($B86:Y86, ISNUMBER($B86:Y86)), COUNTA(FILTER($B86:Y86, ISNUMBER($B86:Y86)))),
IFERROR(
IF('Résultats des tournois'!Y86="""", INDEX(FILTER($C86:Y86, ISNUMBER($C86:Y86)), COUNTA(FILTER($C86:Y"&amp;"86, ISNUMBER($C86:Y86)))),
lastVal + 'K dynamique'!Y86 * ((SQRT('Résultats des tournois'!Y$2 + 1)/'Résultats des tournois'!Y86) - (1 / (1 + 10^((Y$103 - lastVal)/400)))))
)
))"),"")</f>
        <v/>
      </c>
      <c r="AA86" s="32" t="str">
        <f>IFERROR(__xludf.DUMMYFUNCTION("IF('Résultats des tournois'!Z$2=0,"""",LET(
lastVal, INDEX(FILTER($B86:Z86, ISNUMBER($B86:Z86)), COUNTA(FILTER($B86:Z86, ISNUMBER($B86:Z86)))),
IFERROR(
IF('Résultats des tournois'!Z86="""", INDEX(FILTER($C86:Z86, ISNUMBER($C86:Z86)), COUNTA(FILTER($C86:Z"&amp;"86, ISNUMBER($C86:Z86)))),
lastVal + 'K dynamique'!Z86 * ((SQRT('Résultats des tournois'!Z$2 + 1)/'Résultats des tournois'!Z86) - (1 / (1 + 10^((Z$103 - lastVal)/400)))))
)
))"),"")</f>
        <v/>
      </c>
      <c r="AB86" s="32" t="str">
        <f>IFERROR(__xludf.DUMMYFUNCTION("IF('Résultats des tournois'!AA$2=0,"""",LET(
lastVal, INDEX(FILTER($B86:AA86, ISNUMBER($B86:AA86)), COUNTA(FILTER($B86:AA86, ISNUMBER($B86:AA86)))),
IFERROR(
IF('Résultats des tournois'!AA86="""", INDEX(FILTER($C86:AA86, ISNUMBER($C86:AA86)), COUNTA(FILTE"&amp;"R($C86:AA86, ISNUMBER($C86:AA86)))),
lastVal + 'K dynamique'!AA86 * ((SQRT('Résultats des tournois'!AA$2 + 1)/'Résultats des tournois'!AA86) - (1 / (1 + 10^((AA$103 - lastVal)/400)))))
)
))"),"")</f>
        <v/>
      </c>
      <c r="AC86" s="32" t="str">
        <f>IFERROR(__xludf.DUMMYFUNCTION("IF('Résultats des tournois'!AB$2=0,"""",LET(
lastVal, INDEX(FILTER($B86:AB86, ISNUMBER($B86:AB86)), COUNTA(FILTER($B86:AB86, ISNUMBER($B86:AB86)))),
IFERROR(
IF('Résultats des tournois'!AB86="""", INDEX(FILTER($C86:AB86, ISNUMBER($C86:AB86)), COUNTA(FILTE"&amp;"R($C86:AB86, ISNUMBER($C86:AB86)))),
lastVal + 'K dynamique'!AB86 * ((SQRT('Résultats des tournois'!AB$2 + 1)/'Résultats des tournois'!AB86) - (1 / (1 + 10^((AB$103 - lastVal)/400)))))
)
))"),"")</f>
        <v/>
      </c>
      <c r="AD86" s="32" t="str">
        <f>IFERROR(__xludf.DUMMYFUNCTION("IF('Résultats des tournois'!AC$2=0,"""",LET(
lastVal, INDEX(FILTER($B86:AC86, ISNUMBER($B86:AC86)), COUNTA(FILTER($B86:AC86, ISNUMBER($B86:AC86)))),
IFERROR(
IF('Résultats des tournois'!AC86="""", INDEX(FILTER($C86:AC86, ISNUMBER($C86:AC86)), COUNTA(FILTE"&amp;"R($C86:AC86, ISNUMBER($C86:AC86)))),
lastVal + 'K dynamique'!AC86 * ((SQRT('Résultats des tournois'!AC$2 + 1)/'Résultats des tournois'!AC86) - (1 / (1 + 10^((AC$103 - lastVal)/400)))))
)
))"),"")</f>
        <v/>
      </c>
      <c r="AE86" s="32" t="str">
        <f>IFERROR(__xludf.DUMMYFUNCTION("IF('Résultats des tournois'!AD$2=0,"""",LET(
lastVal, INDEX(FILTER($B86:AD86, ISNUMBER($B86:AD86)), COUNTA(FILTER($B86:AD86, ISNUMBER($B86:AD86)))),
IFERROR(
IF('Résultats des tournois'!AD86="""", INDEX(FILTER($C86:AD86, ISNUMBER($C86:AD86)), COUNTA(FILTE"&amp;"R($C86:AD86, ISNUMBER($C86:AD86)))),
lastVal + 'K dynamique'!AD86 * ((SQRT('Résultats des tournois'!AD$2 + 1)/'Résultats des tournois'!AD86) - (1 / (1 + 10^((AD$103 - lastVal)/400)))))
)
))"),"")</f>
        <v/>
      </c>
      <c r="AF86" s="32" t="str">
        <f>IFERROR(__xludf.DUMMYFUNCTION("IF('Résultats des tournois'!AE$2=0,"""",LET(
lastVal, INDEX(FILTER($B86:AE86, ISNUMBER($B86:AE86)), COUNTA(FILTER($B86:AE86, ISNUMBER($B86:AE86)))),
IFERROR(
IF('Résultats des tournois'!AE86="""", INDEX(FILTER($C86:AE86, ISNUMBER($C86:AE86)), COUNTA(FILTE"&amp;"R($C86:AE86, ISNUMBER($C86:AE86)))),
lastVal + 'K dynamique'!AE86 * ((SQRT('Résultats des tournois'!AE$2 + 1)/'Résultats des tournois'!AE86) - (1 / (1 + 10^((AE$103 - lastVal)/400)))))
)
))"),"")</f>
        <v/>
      </c>
      <c r="AG86" s="32" t="str">
        <f>IFERROR(__xludf.DUMMYFUNCTION("IF('Résultats des tournois'!AF$2=0,"""",LET(
lastVal, INDEX(FILTER($B86:AF86, ISNUMBER($B86:AF86)), COUNTA(FILTER($B86:AF86, ISNUMBER($B86:AF86)))),
IFERROR(
IF('Résultats des tournois'!AF86="""", INDEX(FILTER($C86:AF86, ISNUMBER($C86:AF86)), COUNTA(FILTE"&amp;"R($C86:AF86, ISNUMBER($C86:AF86)))),
lastVal + 'K dynamique'!AF86 * ((SQRT('Résultats des tournois'!AF$2 + 1)/'Résultats des tournois'!AF86) - (1 / (1 + 10^((AF$103 - lastVal)/400)))))
)
))"),"")</f>
        <v/>
      </c>
      <c r="AH86" s="32" t="str">
        <f>IFERROR(__xludf.DUMMYFUNCTION("IF('Résultats des tournois'!AG$2=0,"""",LET(
lastVal, INDEX(FILTER($B86:AG86, ISNUMBER($B86:AG86)), COUNTA(FILTER($B86:AG86, ISNUMBER($B86:AG86)))),
IFERROR(
IF('Résultats des tournois'!AG86="""", INDEX(FILTER($C86:AG86, ISNUMBER($C86:AG86)), COUNTA(FILTE"&amp;"R($C86:AG86, ISNUMBER($C86:AG86)))),
lastVal + 'K dynamique'!AG86 * ((SQRT('Résultats des tournois'!AG$2 + 1)/'Résultats des tournois'!AG86) - (1 / (1 + 10^((AG$103 - lastVal)/400)))))
)
))"),"")</f>
        <v/>
      </c>
      <c r="AI86" s="32" t="str">
        <f>IFERROR(__xludf.DUMMYFUNCTION("IF('Résultats des tournois'!AH$2=0,"""",LET(
lastVal, INDEX(FILTER($B86:AH86, ISNUMBER($B86:AH86)), COUNTA(FILTER($B86:AH86, ISNUMBER($B86:AH86)))),
IFERROR(
IF('Résultats des tournois'!AH86="""", INDEX(FILTER($C86:AH86, ISNUMBER($C86:AH86)), COUNTA(FILTE"&amp;"R($C86:AH86, ISNUMBER($C86:AH86)))),
lastVal + 'K dynamique'!AH86 * ((SQRT('Résultats des tournois'!AH$2 + 1)/'Résultats des tournois'!AH86) - (1 / (1 + 10^((AH$103 - lastVal)/400)))))
)
))"),"")</f>
        <v/>
      </c>
      <c r="AJ86" s="32" t="str">
        <f>IFERROR(__xludf.DUMMYFUNCTION("IF('Résultats des tournois'!AI$2=0,"""",LET(
lastVal, INDEX(FILTER($B86:AI86, ISNUMBER($B86:AI86)), COUNTA(FILTER($B86:AI86, ISNUMBER($B86:AI86)))),
IFERROR(
IF('Résultats des tournois'!AI86="""", INDEX(FILTER($C86:AI86, ISNUMBER($C86:AI86)), COUNTA(FILTE"&amp;"R($C86:AI86, ISNUMBER($C86:AI86)))),
lastVal + 'K dynamique'!AI86 * ((SQRT('Résultats des tournois'!AI$2 + 1)/'Résultats des tournois'!AI86) - (1 / (1 + 10^((AI$103 - lastVal)/400)))))
)
))"),"")</f>
        <v/>
      </c>
      <c r="AK86" s="32" t="str">
        <f>IFERROR(__xludf.DUMMYFUNCTION("IF('Résultats des tournois'!AJ$2=0,"""",LET(
lastVal, INDEX(FILTER($B86:AJ86, ISNUMBER($B86:AJ86)), COUNTA(FILTER($B86:AJ86, ISNUMBER($B86:AJ86)))),
IFERROR(
IF('Résultats des tournois'!AJ86="""", INDEX(FILTER($C86:AJ86, ISNUMBER($C86:AJ86)), COUNTA(FILTE"&amp;"R($C86:AJ86, ISNUMBER($C86:AJ86)))),
lastVal + 'K dynamique'!AJ86 * ((SQRT('Résultats des tournois'!AJ$2 + 1)/'Résultats des tournois'!AJ86) - (1 / (1 + 10^((AJ$103 - lastVal)/400)))))
)
))"),"")</f>
        <v/>
      </c>
      <c r="AL86" s="32" t="str">
        <f>IFERROR(__xludf.DUMMYFUNCTION("IF('Résultats des tournois'!AK$2=0,"""",LET(
lastVal, INDEX(FILTER($B86:AK86, ISNUMBER($B86:AK86)), COUNTA(FILTER($B86:AK86, ISNUMBER($B86:AK86)))),
IFERROR(
IF('Résultats des tournois'!AK86="""", INDEX(FILTER($C86:AK86, ISNUMBER($C86:AK86)), COUNTA(FILTE"&amp;"R($C86:AK86, ISNUMBER($C86:AK86)))),
lastVal + 'K dynamique'!AK86 * ((SQRT('Résultats des tournois'!AK$2 + 1)/'Résultats des tournois'!AK86) - (1 / (1 + 10^((AK$103 - lastVal)/400)))))
)
))"),"")</f>
        <v/>
      </c>
      <c r="AM86" s="32" t="str">
        <f>IFERROR(__xludf.DUMMYFUNCTION("IF('Résultats des tournois'!AL$2=0,"""",LET(
lastVal, INDEX(FILTER($B86:AL86, ISNUMBER($B86:AL86)), COUNTA(FILTER($B86:AL86, ISNUMBER($B86:AL86)))),
IFERROR(
IF('Résultats des tournois'!AL86="""", INDEX(FILTER($C86:AL86, ISNUMBER($C86:AL86)), COUNTA(FILTE"&amp;"R($C86:AL86, ISNUMBER($C86:AL86)))),
lastVal + 'K dynamique'!AL86 * ((SQRT('Résultats des tournois'!AL$2 + 1)/'Résultats des tournois'!AL86) - (1 / (1 + 10^((AL$103 - lastVal)/400)))))
)
))"),"")</f>
        <v/>
      </c>
      <c r="AN86" s="32" t="str">
        <f>IFERROR(__xludf.DUMMYFUNCTION("IF('Résultats des tournois'!AM$2=0,"""",LET(
lastVal, INDEX(FILTER($B86:AM86, ISNUMBER($B86:AM86)), COUNTA(FILTER($B86:AM86, ISNUMBER($B86:AM86)))),
IFERROR(
IF('Résultats des tournois'!AM86="""", INDEX(FILTER($C86:AM86, ISNUMBER($C86:AM86)), COUNTA(FILTE"&amp;"R($C86:AM86, ISNUMBER($C86:AM86)))),
lastVal + 'K dynamique'!AM86 * ((SQRT('Résultats des tournois'!AM$2 + 1)/'Résultats des tournois'!AM86) - (1 / (1 + 10^((AM$103 - lastVal)/400)))))
)
))"),"")</f>
        <v/>
      </c>
      <c r="AO86" s="32" t="str">
        <f>IFERROR(__xludf.DUMMYFUNCTION("IF('Résultats des tournois'!AN$2=0,"""",LET(
lastVal, INDEX(FILTER($B86:AN86, ISNUMBER($B86:AN86)), COUNTA(FILTER($B86:AN86, ISNUMBER($B86:AN86)))),
IFERROR(
IF('Résultats des tournois'!AN86="""", INDEX(FILTER($C86:AN86, ISNUMBER($C86:AN86)), COUNTA(FILTE"&amp;"R($C86:AN86, ISNUMBER($C86:AN86)))),
lastVal + 'K dynamique'!AN86 * ((SQRT('Résultats des tournois'!AN$2 + 1)/'Résultats des tournois'!AN86) - (1 / (1 + 10^((AN$103 - lastVal)/400)))))
)
))"),"")</f>
        <v/>
      </c>
      <c r="AP86" s="32" t="str">
        <f>IFERROR(__xludf.DUMMYFUNCTION("IF('Résultats des tournois'!AO$2=0,"""",LET(
lastVal, INDEX(FILTER($B86:AO86, ISNUMBER($B86:AO86)), COUNTA(FILTER($B86:AO86, ISNUMBER($B86:AO86)))),
IFERROR(
IF('Résultats des tournois'!AO86="""", INDEX(FILTER($C86:AO86, ISNUMBER($C86:AO86)), COUNTA(FILTE"&amp;"R($C86:AO86, ISNUMBER($C86:AO86)))),
lastVal + 'K dynamique'!AO86 * ((SQRT('Résultats des tournois'!AO$2 + 1)/'Résultats des tournois'!AO86) - (1 / (1 + 10^((AO$103 - lastVal)/400)))))
)
))"),"")</f>
        <v/>
      </c>
      <c r="AQ86" s="32" t="str">
        <f>IFERROR(__xludf.DUMMYFUNCTION("IF('Résultats des tournois'!AP$2=0,"""",LET(
lastVal, INDEX(FILTER($B86:AP86, ISNUMBER($B86:AP86)), COUNTA(FILTER($B86:AP86, ISNUMBER($B86:AP86)))),
IFERROR(
IF('Résultats des tournois'!AP86="""", INDEX(FILTER($C86:AP86, ISNUMBER($C86:AP86)), COUNTA(FILTE"&amp;"R($C86:AP86, ISNUMBER($C86:AP86)))),
lastVal + 'K dynamique'!AP86 * ((SQRT('Résultats des tournois'!AP$2 + 1)/'Résultats des tournois'!AP86) - (1 / (1 + 10^((AP$103 - lastVal)/400)))))
)
))"),"")</f>
        <v/>
      </c>
      <c r="AR86" s="32" t="str">
        <f>IFERROR(__xludf.DUMMYFUNCTION("IF('Résultats des tournois'!AQ$2=0,"""",LET(
lastVal, INDEX(FILTER($B86:AQ86, ISNUMBER($B86:AQ86)), COUNTA(FILTER($B86:AQ86, ISNUMBER($B86:AQ86)))),
IFERROR(
IF('Résultats des tournois'!AQ86="""", INDEX(FILTER($C86:AQ86, ISNUMBER($C86:AQ86)), COUNTA(FILTE"&amp;"R($C86:AQ86, ISNUMBER($C86:AQ86)))),
lastVal + 'K dynamique'!AQ86 * ((SQRT('Résultats des tournois'!AQ$2 + 1)/'Résultats des tournois'!AQ86) - (1 / (1 + 10^((AQ$103 - lastVal)/400)))))
)
))"),"")</f>
        <v/>
      </c>
      <c r="AS86" s="32" t="str">
        <f>IFERROR(__xludf.DUMMYFUNCTION("IF('Résultats des tournois'!AR$2=0,"""",LET(
lastVal, INDEX(FILTER($B86:AR86, ISNUMBER($B86:AR86)), COUNTA(FILTER($B86:AR86, ISNUMBER($B86:AR86)))),
IFERROR(
IF('Résultats des tournois'!AR86="""", INDEX(FILTER($C86:AR86, ISNUMBER($C86:AR86)), COUNTA(FILTE"&amp;"R($C86:AR86, ISNUMBER($C86:AR86)))),
lastVal + 'K dynamique'!AR86 * ((SQRT('Résultats des tournois'!AR$2 + 1)/'Résultats des tournois'!AR86) - (1 / (1 + 10^((AR$103 - lastVal)/400)))))
)
))"),"")</f>
        <v/>
      </c>
      <c r="AT86" s="32" t="str">
        <f>IFERROR(__xludf.DUMMYFUNCTION("IF('Résultats des tournois'!AS$2=0,"""",LET(
lastVal, INDEX(FILTER($B86:AS86, ISNUMBER($B86:AS86)), COUNTA(FILTER($B86:AS86, ISNUMBER($B86:AS86)))),
IFERROR(
IF('Résultats des tournois'!AS86="""", INDEX(FILTER($C86:AS86, ISNUMBER($C86:AS86)), COUNTA(FILTE"&amp;"R($C86:AS86, ISNUMBER($C86:AS86)))),
lastVal + 'K dynamique'!AS86 * ((SQRT('Résultats des tournois'!AS$2 + 1)/'Résultats des tournois'!AS86) - (1 / (1 + 10^((AS$103 - lastVal)/400)))))
)
))"),"")</f>
        <v/>
      </c>
      <c r="AU86" s="32" t="str">
        <f>IFERROR(__xludf.DUMMYFUNCTION("IF('Résultats des tournois'!AT$2=0,"""",LET(
lastVal, INDEX(FILTER($B86:AT86, ISNUMBER($B86:AT86)), COUNTA(FILTER($B86:AT86, ISNUMBER($B86:AT86)))),
IFERROR(
IF('Résultats des tournois'!AT86="""", INDEX(FILTER($C86:AT86, ISNUMBER($C86:AT86)), COUNTA(FILTE"&amp;"R($C86:AT86, ISNUMBER($C86:AT86)))),
lastVal + 'K dynamique'!AT86 * ((SQRT('Résultats des tournois'!AT$2 + 1)/'Résultats des tournois'!AT86) - (1 / (1 + 10^((AT$103 - lastVal)/400)))))
)
))"),"")</f>
        <v/>
      </c>
      <c r="AV86" s="32" t="str">
        <f>IFERROR(__xludf.DUMMYFUNCTION("IF('Résultats des tournois'!AU$2=0,"""",LET(
lastVal, INDEX(FILTER($B86:AU86, ISNUMBER($B86:AU86)), COUNTA(FILTER($B86:AU86, ISNUMBER($B86:AU86)))),
IFERROR(
IF('Résultats des tournois'!AU86="""", INDEX(FILTER($C86:AU86, ISNUMBER($C86:AU86)), COUNTA(FILTE"&amp;"R($C86:AU86, ISNUMBER($C86:AU86)))),
lastVal + 'K dynamique'!AU86 * ((SQRT('Résultats des tournois'!AU$2 + 1)/'Résultats des tournois'!AU86) - (1 / (1 + 10^((AU$103 - lastVal)/400)))))
)
))"),"")</f>
        <v/>
      </c>
      <c r="AW86" s="32" t="str">
        <f>IFERROR(__xludf.DUMMYFUNCTION("IF('Résultats des tournois'!AV$2=0,"""",LET(
lastVal, INDEX(FILTER($B86:AV86, ISNUMBER($B86:AV86)), COUNTA(FILTER($B86:AV86, ISNUMBER($B86:AV86)))),
IFERROR(
IF('Résultats des tournois'!AV86="""", INDEX(FILTER($C86:AV86, ISNUMBER($C86:AV86)), COUNTA(FILTE"&amp;"R($C86:AV86, ISNUMBER($C86:AV86)))),
lastVal + 'K dynamique'!AV86 * ((SQRT('Résultats des tournois'!AV$2 + 1)/'Résultats des tournois'!AV86) - (1 / (1 + 10^((AV$103 - lastVal)/400)))))
)
))"),"")</f>
        <v/>
      </c>
      <c r="AX86" s="32" t="str">
        <f>IFERROR(__xludf.DUMMYFUNCTION("IF('Résultats des tournois'!AW$2=0,"""",LET(
lastVal, INDEX(FILTER($B86:AW86, ISNUMBER($B86:AW86)), COUNTA(FILTER($B86:AW86, ISNUMBER($B86:AW86)))),
IFERROR(
IF('Résultats des tournois'!AW86="""", INDEX(FILTER($C86:AW86, ISNUMBER($C86:AW86)), COUNTA(FILTE"&amp;"R($C86:AW86, ISNUMBER($C86:AW86)))),
lastVal + 'K dynamique'!AW86 * ((SQRT('Résultats des tournois'!AW$2 + 1)/'Résultats des tournois'!AW86) - (1 / (1 + 10^((AW$103 - lastVal)/400)))))
)
))"),"")</f>
        <v/>
      </c>
      <c r="AY86" s="32" t="str">
        <f>IFERROR(__xludf.DUMMYFUNCTION("IF('Résultats des tournois'!AX$2=0,"""",LET(
lastVal, INDEX(FILTER($B86:AX86, ISNUMBER($B86:AX86)), COUNTA(FILTER($B86:AX86, ISNUMBER($B86:AX86)))),
IFERROR(
IF('Résultats des tournois'!AX86="""", INDEX(FILTER($C86:AX86, ISNUMBER($C86:AX86)), COUNTA(FILTE"&amp;"R($C86:AX86, ISNUMBER($C86:AX86)))),
lastVal + 'K dynamique'!AX86 * ((SQRT('Résultats des tournois'!AX$2 + 1)/'Résultats des tournois'!AX86) - (1 / (1 + 10^((AX$103 - lastVal)/400)))))
)
))"),"")</f>
        <v/>
      </c>
      <c r="AZ86" s="4" t="str">
        <f t="array" ref="AZ86">IF(MAX(($C86:AY86&lt;&gt;"")*COLUMN($C86:AY86))=0,"",INDEX($C86:AY86,1,MAX(($C86:AY86&lt;&gt;"")*COLUMN($C86:AY86))-COLUMN($C86)+1))</f>
        <v/>
      </c>
      <c r="BA86" s="33" t="str">
        <f t="shared" si="1"/>
        <v/>
      </c>
    </row>
    <row r="87" ht="14.25" customHeight="1">
      <c r="A87" s="32" t="str">
        <f>IF('Résultats des tournois'!A87="","",'Résultats des tournois'!A87)</f>
        <v/>
      </c>
      <c r="B87" s="32">
        <v>1500.0</v>
      </c>
      <c r="C87" s="32" t="str">
        <f>IF('Résultats des tournois'!B87="","",B87+'K dynamique'!B87*((SQRT('Résultats des tournois'!B$2+1)/'Résultats des tournois'!B87)-(1/(1+10^((B87-B87)/400)))))</f>
        <v/>
      </c>
      <c r="D87" s="32" t="str">
        <f>IFERROR(__xludf.DUMMYFUNCTION("IF('Résultats des tournois'!C$2=0,"""",LET(
lastVal, INDEX(FILTER($B87:C87, ISNUMBER($B87:C87)), COUNTA(FILTER($B87:C87, ISNUMBER($B87:C87)))),
IFERROR(
IF('Résultats des tournois'!C87="""", INDEX(FILTER($C87:C87, ISNUMBER($C87:C87)), COUNTA(FILTER($C87:C"&amp;"87, ISNUMBER($C87:C87)))),
lastVal + 'K dynamique'!C87 * ((SQRT('Résultats des tournois'!C$2 + 1)/'Résultats des tournois'!C87) - (1 / (1 + 10^((C$103 - lastVal)/400)))))
)
))"),"")</f>
        <v/>
      </c>
      <c r="E87" s="32" t="str">
        <f>IFERROR(__xludf.DUMMYFUNCTION("IF('Résultats des tournois'!D$2=0,"""",LET(
lastVal, INDEX(FILTER($B87:D87, ISNUMBER($B87:D87)), COUNTA(FILTER($B87:D87, ISNUMBER($B87:D87)))),
IFERROR(
IF('Résultats des tournois'!D87="""", INDEX(FILTER($C87:D87, ISNUMBER($C87:D87)), COUNTA(FILTER($C87:D"&amp;"87, ISNUMBER($C87:D87)))),
lastVal + 'K dynamique'!D87 * ((SQRT('Résultats des tournois'!D$2 + 1)/'Résultats des tournois'!D87) - (1 / (1 + 10^((D$103 - lastVal)/400)))))
)
))"),"")</f>
        <v/>
      </c>
      <c r="F87" s="32" t="str">
        <f>IFERROR(__xludf.DUMMYFUNCTION("IF('Résultats des tournois'!E$2=0,"""",LET(
lastVal, INDEX(FILTER($B87:E87, ISNUMBER($B87:E87)), COUNTA(FILTER($B87:E87, ISNUMBER($B87:E87)))),
IFERROR(
IF('Résultats des tournois'!E87="""", INDEX(FILTER($C87:E87, ISNUMBER($C87:E87)), COUNTA(FILTER($C87:E"&amp;"87, ISNUMBER($C87:E87)))),
lastVal + 'K dynamique'!E87 * ((SQRT('Résultats des tournois'!E$2 + 1)/'Résultats des tournois'!E87) - (1 / (1 + 10^((E$103 - lastVal)/400)))))
)
))"),"")</f>
        <v/>
      </c>
      <c r="G87" s="32" t="str">
        <f>IFERROR(__xludf.DUMMYFUNCTION("IF('Résultats des tournois'!F$2=0,"""",LET(
lastVal, INDEX(FILTER($B87:F87, ISNUMBER($B87:F87)), COUNTA(FILTER($B87:F87, ISNUMBER($B87:F87)))),
IFERROR(
IF('Résultats des tournois'!F87="""", INDEX(FILTER($C87:F87, ISNUMBER($C87:F87)), COUNTA(FILTER($C87:F"&amp;"87, ISNUMBER($C87:F87)))),
lastVal + 'K dynamique'!F87 * ((SQRT('Résultats des tournois'!F$2 + 1)/'Résultats des tournois'!F87) - (1 / (1 + 10^((F$103 - lastVal)/400)))))
)
))"),"")</f>
        <v/>
      </c>
      <c r="H87" s="32" t="str">
        <f>IFERROR(__xludf.DUMMYFUNCTION("IF('Résultats des tournois'!G$2=0,"""",LET(
lastVal, INDEX(FILTER($B87:G87, ISNUMBER($B87:G87)), COUNTA(FILTER($B87:G87, ISNUMBER($B87:G87)))),
IFERROR(
IF('Résultats des tournois'!G87="""", INDEX(FILTER($C87:G87, ISNUMBER($C87:G87)), COUNTA(FILTER($C87:G"&amp;"87, ISNUMBER($C87:G87)))),
lastVal + 'K dynamique'!G87 * ((SQRT('Résultats des tournois'!G$2 + 1)/'Résultats des tournois'!G87) - (1 / (1 + 10^((G$103 - lastVal)/400)))))
)
))"),"")</f>
        <v/>
      </c>
      <c r="I87" s="32" t="str">
        <f>IFERROR(__xludf.DUMMYFUNCTION("IF('Résultats des tournois'!H$2=0,"""",LET(
lastVal, INDEX(FILTER($B87:H87, ISNUMBER($B87:H87)), COUNTA(FILTER($B87:H87, ISNUMBER($B87:H87)))),
IFERROR(
IF('Résultats des tournois'!H87="""", INDEX(FILTER($C87:H87, ISNUMBER($C87:H87)), COUNTA(FILTER($C87:H"&amp;"87, ISNUMBER($C87:H87)))),
lastVal + 'K dynamique'!H87 * ((SQRT('Résultats des tournois'!H$2 + 1)/'Résultats des tournois'!H87) - (1 / (1 + 10^((H$103 - lastVal)/400)))))
)
))"),"")</f>
        <v/>
      </c>
      <c r="J87" s="32" t="str">
        <f>IFERROR(__xludf.DUMMYFUNCTION("IF('Résultats des tournois'!I$2=0,"""",LET(
lastVal, INDEX(FILTER($B87:I87, ISNUMBER($B87:I87)), COUNTA(FILTER($B87:I87, ISNUMBER($B87:I87)))),
IFERROR(
IF('Résultats des tournois'!I87="""", INDEX(FILTER($C87:I87, ISNUMBER($C87:I87)), COUNTA(FILTER($C87:I"&amp;"87, ISNUMBER($C87:I87)))),
lastVal + 'K dynamique'!I87 * ((SQRT('Résultats des tournois'!I$2 + 1)/'Résultats des tournois'!I87) - (1 / (1 + 10^((I$103 - lastVal)/400)))))
)
))"),"")</f>
        <v/>
      </c>
      <c r="K87" s="32" t="str">
        <f>IFERROR(__xludf.DUMMYFUNCTION("IF('Résultats des tournois'!J$2=0,"""",LET(
lastVal, INDEX(FILTER($B87:J87, ISNUMBER($B87:J87)), COUNTA(FILTER($B87:J87, ISNUMBER($B87:J87)))),
IFERROR(
IF('Résultats des tournois'!J87="""", INDEX(FILTER($C87:J87, ISNUMBER($C87:J87)), COUNTA(FILTER($C87:J"&amp;"87, ISNUMBER($C87:J87)))),
lastVal + 'K dynamique'!J87 * ((SQRT('Résultats des tournois'!J$2 + 1)/'Résultats des tournois'!J87) - (1 / (1 + 10^((J$103 - lastVal)/400)))))
)
))"),"")</f>
        <v/>
      </c>
      <c r="L87" s="32" t="str">
        <f>IFERROR(__xludf.DUMMYFUNCTION("IF('Résultats des tournois'!K$2=0,"""",LET(
lastVal, INDEX(FILTER($B87:K87, ISNUMBER($B87:K87)), COUNTA(FILTER($B87:K87, ISNUMBER($B87:K87)))),
IFERROR(
IF('Résultats des tournois'!K87="""", INDEX(FILTER($C87:K87, ISNUMBER($C87:K87)), COUNTA(FILTER($C87:K"&amp;"87, ISNUMBER($C87:K87)))),
lastVal + 'K dynamique'!K87 * ((SQRT('Résultats des tournois'!K$2 + 1)/'Résultats des tournois'!K87) - (1 / (1 + 10^((K$103 - lastVal)/400)))))
)
))"),"")</f>
        <v/>
      </c>
      <c r="M87" s="32" t="str">
        <f>IFERROR(__xludf.DUMMYFUNCTION("IF('Résultats des tournois'!L$2=0,"""",LET(
lastVal, INDEX(FILTER($B87:L87, ISNUMBER($B87:L87)), COUNTA(FILTER($B87:L87, ISNUMBER($B87:L87)))),
IFERROR(
IF('Résultats des tournois'!L87="""", INDEX(FILTER($C87:L87, ISNUMBER($C87:L87)), COUNTA(FILTER($C87:L"&amp;"87, ISNUMBER($C87:L87)))),
lastVal + 'K dynamique'!L87 * ((SQRT('Résultats des tournois'!L$2 + 1)/'Résultats des tournois'!L87) - (1 / (1 + 10^((L$103 - lastVal)/400)))))
)
))"),"")</f>
        <v/>
      </c>
      <c r="N87" s="32" t="str">
        <f>IFERROR(__xludf.DUMMYFUNCTION("IF('Résultats des tournois'!M$2=0,"""",LET(
lastVal, INDEX(FILTER($B87:M87, ISNUMBER($B87:M87)), COUNTA(FILTER($B87:M87, ISNUMBER($B87:M87)))),
IFERROR(
IF('Résultats des tournois'!M87="""", INDEX(FILTER($C87:M87, ISNUMBER($C87:M87)), COUNTA(FILTER($C87:M"&amp;"87, ISNUMBER($C87:M87)))),
lastVal + 'K dynamique'!M87 * ((SQRT('Résultats des tournois'!M$2 + 1)/'Résultats des tournois'!M87) - (1 / (1 + 10^((M$103 - lastVal)/400)))))
)
))"),"")</f>
        <v/>
      </c>
      <c r="O87" s="32" t="str">
        <f>IFERROR(__xludf.DUMMYFUNCTION("IF('Résultats des tournois'!N$2=0,"""",LET(
lastVal, INDEX(FILTER($B87:N87, ISNUMBER($B87:N87)), COUNTA(FILTER($B87:N87, ISNUMBER($B87:N87)))),
IFERROR(
IF('Résultats des tournois'!N87="""", INDEX(FILTER($C87:N87, ISNUMBER($C87:N87)), COUNTA(FILTER($C87:N"&amp;"87, ISNUMBER($C87:N87)))),
lastVal + 'K dynamique'!N87 * ((SQRT('Résultats des tournois'!N$2 + 1)/'Résultats des tournois'!N87) - (1 / (1 + 10^((N$103 - lastVal)/400)))))
)
))"),"")</f>
        <v/>
      </c>
      <c r="P87" s="32" t="str">
        <f>IFERROR(__xludf.DUMMYFUNCTION("IF('Résultats des tournois'!O$2=0,"""",LET(
lastVal, INDEX(FILTER($B87:O87, ISNUMBER($B87:O87)), COUNTA(FILTER($B87:O87, ISNUMBER($B87:O87)))),
IFERROR(
IF('Résultats des tournois'!O87="""", INDEX(FILTER($C87:O87, ISNUMBER($C87:O87)), COUNTA(FILTER($C87:O"&amp;"87, ISNUMBER($C87:O87)))),
lastVal + 'K dynamique'!O87 * ((SQRT('Résultats des tournois'!O$2 + 1)/'Résultats des tournois'!O87) - (1 / (1 + 10^((O$103 - lastVal)/400)))))
)
))"),"")</f>
        <v/>
      </c>
      <c r="Q87" s="32" t="str">
        <f>IFERROR(__xludf.DUMMYFUNCTION("IF('Résultats des tournois'!P$2=0,"""",LET(
lastVal, INDEX(FILTER($B87:P87, ISNUMBER($B87:P87)), COUNTA(FILTER($B87:P87, ISNUMBER($B87:P87)))),
IFERROR(
IF('Résultats des tournois'!P87="""", INDEX(FILTER($C87:P87, ISNUMBER($C87:P87)), COUNTA(FILTER($C87:P"&amp;"87, ISNUMBER($C87:P87)))),
lastVal + 'K dynamique'!P87 * ((SQRT('Résultats des tournois'!P$2 + 1)/'Résultats des tournois'!P87) - (1 / (1 + 10^((P$103 - lastVal)/400)))))
)
))"),"")</f>
        <v/>
      </c>
      <c r="R87" s="32" t="str">
        <f>IFERROR(__xludf.DUMMYFUNCTION("IF('Résultats des tournois'!Q$2=0,"""",LET(
lastVal, INDEX(FILTER($B87:Q87, ISNUMBER($B87:Q87)), COUNTA(FILTER($B87:Q87, ISNUMBER($B87:Q87)))),
IFERROR(
IF('Résultats des tournois'!Q87="""", INDEX(FILTER($C87:Q87, ISNUMBER($C87:Q87)), COUNTA(FILTER($C87:Q"&amp;"87, ISNUMBER($C87:Q87)))),
lastVal + 'K dynamique'!Q87 * ((SQRT('Résultats des tournois'!Q$2 + 1)/'Résultats des tournois'!Q87) - (1 / (1 + 10^((Q$103 - lastVal)/400)))))
)
))"),"")</f>
        <v/>
      </c>
      <c r="S87" s="32" t="str">
        <f>IFERROR(__xludf.DUMMYFUNCTION("IF('Résultats des tournois'!R$2=0,"""",LET(
lastVal, INDEX(FILTER($B87:R87, ISNUMBER($B87:R87)), COUNTA(FILTER($B87:R87, ISNUMBER($B87:R87)))),
IFERROR(
IF('Résultats des tournois'!R87="""", INDEX(FILTER($C87:R87, ISNUMBER($C87:R87)), COUNTA(FILTER($C87:R"&amp;"87, ISNUMBER($C87:R87)))),
lastVal + 'K dynamique'!R87 * ((SQRT('Résultats des tournois'!R$2 + 1)/'Résultats des tournois'!R87) - (1 / (1 + 10^((R$103 - lastVal)/400)))))
)
))"),"")</f>
        <v/>
      </c>
      <c r="T87" s="32" t="str">
        <f>IFERROR(__xludf.DUMMYFUNCTION("IF('Résultats des tournois'!S$2=0,"""",LET(
lastVal, INDEX(FILTER($B87:S87, ISNUMBER($B87:S87)), COUNTA(FILTER($B87:S87, ISNUMBER($B87:S87)))),
IFERROR(
IF('Résultats des tournois'!S87="""", INDEX(FILTER($C87:S87, ISNUMBER($C87:S87)), COUNTA(FILTER($C87:S"&amp;"87, ISNUMBER($C87:S87)))),
lastVal + 'K dynamique'!S87 * ((SQRT('Résultats des tournois'!S$2 + 1)/'Résultats des tournois'!S87) - (1 / (1 + 10^((S$103 - lastVal)/400)))))
)
))"),"")</f>
        <v/>
      </c>
      <c r="U87" s="32" t="str">
        <f>IFERROR(__xludf.DUMMYFUNCTION("IF('Résultats des tournois'!T$2=0,"""",LET(
lastVal, INDEX(FILTER($B87:T87, ISNUMBER($B87:T87)), COUNTA(FILTER($B87:T87, ISNUMBER($B87:T87)))),
IFERROR(
IF('Résultats des tournois'!T87="""", INDEX(FILTER($C87:T87, ISNUMBER($C87:T87)), COUNTA(FILTER($C87:T"&amp;"87, ISNUMBER($C87:T87)))),
lastVal + 'K dynamique'!T87 * ((SQRT('Résultats des tournois'!T$2 + 1)/'Résultats des tournois'!T87) - (1 / (1 + 10^((T$103 - lastVal)/400)))))
)
))"),"")</f>
        <v/>
      </c>
      <c r="V87" s="32" t="str">
        <f>IFERROR(__xludf.DUMMYFUNCTION("IF('Résultats des tournois'!U$2=0,"""",LET(
lastVal, INDEX(FILTER($B87:U87, ISNUMBER($B87:U87)), COUNTA(FILTER($B87:U87, ISNUMBER($B87:U87)))),
IFERROR(
IF('Résultats des tournois'!U87="""", INDEX(FILTER($C87:U87, ISNUMBER($C87:U87)), COUNTA(FILTER($C87:U"&amp;"87, ISNUMBER($C87:U87)))),
lastVal + 'K dynamique'!U87 * ((SQRT('Résultats des tournois'!U$2 + 1)/'Résultats des tournois'!U87) - (1 / (1 + 10^((U$103 - lastVal)/400)))))
)
))"),"")</f>
        <v/>
      </c>
      <c r="W87" s="32" t="str">
        <f>IFERROR(__xludf.DUMMYFUNCTION("IF('Résultats des tournois'!V$2=0,"""",LET(
lastVal, INDEX(FILTER($B87:V87, ISNUMBER($B87:V87)), COUNTA(FILTER($B87:V87, ISNUMBER($B87:V87)))),
IFERROR(
IF('Résultats des tournois'!V87="""", INDEX(FILTER($C87:V87, ISNUMBER($C87:V87)), COUNTA(FILTER($C87:V"&amp;"87, ISNUMBER($C87:V87)))),
lastVal + 'K dynamique'!V87 * ((SQRT('Résultats des tournois'!V$2 + 1)/'Résultats des tournois'!V87) - (1 / (1 + 10^((V$103 - lastVal)/400)))))
)
))"),"")</f>
        <v/>
      </c>
      <c r="X87" s="32" t="str">
        <f>IFERROR(__xludf.DUMMYFUNCTION("IF('Résultats des tournois'!W$2=0,"""",LET(
lastVal, INDEX(FILTER($B87:W87, ISNUMBER($B87:W87)), COUNTA(FILTER($B87:W87, ISNUMBER($B87:W87)))),
IFERROR(
IF('Résultats des tournois'!W87="""", INDEX(FILTER($C87:W87, ISNUMBER($C87:W87)), COUNTA(FILTER($C87:W"&amp;"87, ISNUMBER($C87:W87)))),
lastVal + 'K dynamique'!W87 * ((SQRT('Résultats des tournois'!W$2 + 1)/'Résultats des tournois'!W87) - (1 / (1 + 10^((W$103 - lastVal)/400)))))
)
))"),"")</f>
        <v/>
      </c>
      <c r="Y87" s="32" t="str">
        <f>IFERROR(__xludf.DUMMYFUNCTION("IF('Résultats des tournois'!X$2=0,"""",LET(
lastVal, INDEX(FILTER($B87:X87, ISNUMBER($B87:X87)), COUNTA(FILTER($B87:X87, ISNUMBER($B87:X87)))),
IFERROR(
IF('Résultats des tournois'!X87="""", INDEX(FILTER($C87:X87, ISNUMBER($C87:X87)), COUNTA(FILTER($C87:X"&amp;"87, ISNUMBER($C87:X87)))),
lastVal + 'K dynamique'!X87 * ((SQRT('Résultats des tournois'!X$2 + 1)/'Résultats des tournois'!X87) - (1 / (1 + 10^((X$103 - lastVal)/400)))))
)
))"),"")</f>
        <v/>
      </c>
      <c r="Z87" s="32" t="str">
        <f>IFERROR(__xludf.DUMMYFUNCTION("IF('Résultats des tournois'!Y$2=0,"""",LET(
lastVal, INDEX(FILTER($B87:Y87, ISNUMBER($B87:Y87)), COUNTA(FILTER($B87:Y87, ISNUMBER($B87:Y87)))),
IFERROR(
IF('Résultats des tournois'!Y87="""", INDEX(FILTER($C87:Y87, ISNUMBER($C87:Y87)), COUNTA(FILTER($C87:Y"&amp;"87, ISNUMBER($C87:Y87)))),
lastVal + 'K dynamique'!Y87 * ((SQRT('Résultats des tournois'!Y$2 + 1)/'Résultats des tournois'!Y87) - (1 / (1 + 10^((Y$103 - lastVal)/400)))))
)
))"),"")</f>
        <v/>
      </c>
      <c r="AA87" s="32" t="str">
        <f>IFERROR(__xludf.DUMMYFUNCTION("IF('Résultats des tournois'!Z$2=0,"""",LET(
lastVal, INDEX(FILTER($B87:Z87, ISNUMBER($B87:Z87)), COUNTA(FILTER($B87:Z87, ISNUMBER($B87:Z87)))),
IFERROR(
IF('Résultats des tournois'!Z87="""", INDEX(FILTER($C87:Z87, ISNUMBER($C87:Z87)), COUNTA(FILTER($C87:Z"&amp;"87, ISNUMBER($C87:Z87)))),
lastVal + 'K dynamique'!Z87 * ((SQRT('Résultats des tournois'!Z$2 + 1)/'Résultats des tournois'!Z87) - (1 / (1 + 10^((Z$103 - lastVal)/400)))))
)
))"),"")</f>
        <v/>
      </c>
      <c r="AB87" s="32" t="str">
        <f>IFERROR(__xludf.DUMMYFUNCTION("IF('Résultats des tournois'!AA$2=0,"""",LET(
lastVal, INDEX(FILTER($B87:AA87, ISNUMBER($B87:AA87)), COUNTA(FILTER($B87:AA87, ISNUMBER($B87:AA87)))),
IFERROR(
IF('Résultats des tournois'!AA87="""", INDEX(FILTER($C87:AA87, ISNUMBER($C87:AA87)), COUNTA(FILTE"&amp;"R($C87:AA87, ISNUMBER($C87:AA87)))),
lastVal + 'K dynamique'!AA87 * ((SQRT('Résultats des tournois'!AA$2 + 1)/'Résultats des tournois'!AA87) - (1 / (1 + 10^((AA$103 - lastVal)/400)))))
)
))"),"")</f>
        <v/>
      </c>
      <c r="AC87" s="32" t="str">
        <f>IFERROR(__xludf.DUMMYFUNCTION("IF('Résultats des tournois'!AB$2=0,"""",LET(
lastVal, INDEX(FILTER($B87:AB87, ISNUMBER($B87:AB87)), COUNTA(FILTER($B87:AB87, ISNUMBER($B87:AB87)))),
IFERROR(
IF('Résultats des tournois'!AB87="""", INDEX(FILTER($C87:AB87, ISNUMBER($C87:AB87)), COUNTA(FILTE"&amp;"R($C87:AB87, ISNUMBER($C87:AB87)))),
lastVal + 'K dynamique'!AB87 * ((SQRT('Résultats des tournois'!AB$2 + 1)/'Résultats des tournois'!AB87) - (1 / (1 + 10^((AB$103 - lastVal)/400)))))
)
))"),"")</f>
        <v/>
      </c>
      <c r="AD87" s="32" t="str">
        <f>IFERROR(__xludf.DUMMYFUNCTION("IF('Résultats des tournois'!AC$2=0,"""",LET(
lastVal, INDEX(FILTER($B87:AC87, ISNUMBER($B87:AC87)), COUNTA(FILTER($B87:AC87, ISNUMBER($B87:AC87)))),
IFERROR(
IF('Résultats des tournois'!AC87="""", INDEX(FILTER($C87:AC87, ISNUMBER($C87:AC87)), COUNTA(FILTE"&amp;"R($C87:AC87, ISNUMBER($C87:AC87)))),
lastVal + 'K dynamique'!AC87 * ((SQRT('Résultats des tournois'!AC$2 + 1)/'Résultats des tournois'!AC87) - (1 / (1 + 10^((AC$103 - lastVal)/400)))))
)
))"),"")</f>
        <v/>
      </c>
      <c r="AE87" s="32" t="str">
        <f>IFERROR(__xludf.DUMMYFUNCTION("IF('Résultats des tournois'!AD$2=0,"""",LET(
lastVal, INDEX(FILTER($B87:AD87, ISNUMBER($B87:AD87)), COUNTA(FILTER($B87:AD87, ISNUMBER($B87:AD87)))),
IFERROR(
IF('Résultats des tournois'!AD87="""", INDEX(FILTER($C87:AD87, ISNUMBER($C87:AD87)), COUNTA(FILTE"&amp;"R($C87:AD87, ISNUMBER($C87:AD87)))),
lastVal + 'K dynamique'!AD87 * ((SQRT('Résultats des tournois'!AD$2 + 1)/'Résultats des tournois'!AD87) - (1 / (1 + 10^((AD$103 - lastVal)/400)))))
)
))"),"")</f>
        <v/>
      </c>
      <c r="AF87" s="32" t="str">
        <f>IFERROR(__xludf.DUMMYFUNCTION("IF('Résultats des tournois'!AE$2=0,"""",LET(
lastVal, INDEX(FILTER($B87:AE87, ISNUMBER($B87:AE87)), COUNTA(FILTER($B87:AE87, ISNUMBER($B87:AE87)))),
IFERROR(
IF('Résultats des tournois'!AE87="""", INDEX(FILTER($C87:AE87, ISNUMBER($C87:AE87)), COUNTA(FILTE"&amp;"R($C87:AE87, ISNUMBER($C87:AE87)))),
lastVal + 'K dynamique'!AE87 * ((SQRT('Résultats des tournois'!AE$2 + 1)/'Résultats des tournois'!AE87) - (1 / (1 + 10^((AE$103 - lastVal)/400)))))
)
))"),"")</f>
        <v/>
      </c>
      <c r="AG87" s="32" t="str">
        <f>IFERROR(__xludf.DUMMYFUNCTION("IF('Résultats des tournois'!AF$2=0,"""",LET(
lastVal, INDEX(FILTER($B87:AF87, ISNUMBER($B87:AF87)), COUNTA(FILTER($B87:AF87, ISNUMBER($B87:AF87)))),
IFERROR(
IF('Résultats des tournois'!AF87="""", INDEX(FILTER($C87:AF87, ISNUMBER($C87:AF87)), COUNTA(FILTE"&amp;"R($C87:AF87, ISNUMBER($C87:AF87)))),
lastVal + 'K dynamique'!AF87 * ((SQRT('Résultats des tournois'!AF$2 + 1)/'Résultats des tournois'!AF87) - (1 / (1 + 10^((AF$103 - lastVal)/400)))))
)
))"),"")</f>
        <v/>
      </c>
      <c r="AH87" s="32" t="str">
        <f>IFERROR(__xludf.DUMMYFUNCTION("IF('Résultats des tournois'!AG$2=0,"""",LET(
lastVal, INDEX(FILTER($B87:AG87, ISNUMBER($B87:AG87)), COUNTA(FILTER($B87:AG87, ISNUMBER($B87:AG87)))),
IFERROR(
IF('Résultats des tournois'!AG87="""", INDEX(FILTER($C87:AG87, ISNUMBER($C87:AG87)), COUNTA(FILTE"&amp;"R($C87:AG87, ISNUMBER($C87:AG87)))),
lastVal + 'K dynamique'!AG87 * ((SQRT('Résultats des tournois'!AG$2 + 1)/'Résultats des tournois'!AG87) - (1 / (1 + 10^((AG$103 - lastVal)/400)))))
)
))"),"")</f>
        <v/>
      </c>
      <c r="AI87" s="32" t="str">
        <f>IFERROR(__xludf.DUMMYFUNCTION("IF('Résultats des tournois'!AH$2=0,"""",LET(
lastVal, INDEX(FILTER($B87:AH87, ISNUMBER($B87:AH87)), COUNTA(FILTER($B87:AH87, ISNUMBER($B87:AH87)))),
IFERROR(
IF('Résultats des tournois'!AH87="""", INDEX(FILTER($C87:AH87, ISNUMBER($C87:AH87)), COUNTA(FILTE"&amp;"R($C87:AH87, ISNUMBER($C87:AH87)))),
lastVal + 'K dynamique'!AH87 * ((SQRT('Résultats des tournois'!AH$2 + 1)/'Résultats des tournois'!AH87) - (1 / (1 + 10^((AH$103 - lastVal)/400)))))
)
))"),"")</f>
        <v/>
      </c>
      <c r="AJ87" s="32" t="str">
        <f>IFERROR(__xludf.DUMMYFUNCTION("IF('Résultats des tournois'!AI$2=0,"""",LET(
lastVal, INDEX(FILTER($B87:AI87, ISNUMBER($B87:AI87)), COUNTA(FILTER($B87:AI87, ISNUMBER($B87:AI87)))),
IFERROR(
IF('Résultats des tournois'!AI87="""", INDEX(FILTER($C87:AI87, ISNUMBER($C87:AI87)), COUNTA(FILTE"&amp;"R($C87:AI87, ISNUMBER($C87:AI87)))),
lastVal + 'K dynamique'!AI87 * ((SQRT('Résultats des tournois'!AI$2 + 1)/'Résultats des tournois'!AI87) - (1 / (1 + 10^((AI$103 - lastVal)/400)))))
)
))"),"")</f>
        <v/>
      </c>
      <c r="AK87" s="32" t="str">
        <f>IFERROR(__xludf.DUMMYFUNCTION("IF('Résultats des tournois'!AJ$2=0,"""",LET(
lastVal, INDEX(FILTER($B87:AJ87, ISNUMBER($B87:AJ87)), COUNTA(FILTER($B87:AJ87, ISNUMBER($B87:AJ87)))),
IFERROR(
IF('Résultats des tournois'!AJ87="""", INDEX(FILTER($C87:AJ87, ISNUMBER($C87:AJ87)), COUNTA(FILTE"&amp;"R($C87:AJ87, ISNUMBER($C87:AJ87)))),
lastVal + 'K dynamique'!AJ87 * ((SQRT('Résultats des tournois'!AJ$2 + 1)/'Résultats des tournois'!AJ87) - (1 / (1 + 10^((AJ$103 - lastVal)/400)))))
)
))"),"")</f>
        <v/>
      </c>
      <c r="AL87" s="32" t="str">
        <f>IFERROR(__xludf.DUMMYFUNCTION("IF('Résultats des tournois'!AK$2=0,"""",LET(
lastVal, INDEX(FILTER($B87:AK87, ISNUMBER($B87:AK87)), COUNTA(FILTER($B87:AK87, ISNUMBER($B87:AK87)))),
IFERROR(
IF('Résultats des tournois'!AK87="""", INDEX(FILTER($C87:AK87, ISNUMBER($C87:AK87)), COUNTA(FILTE"&amp;"R($C87:AK87, ISNUMBER($C87:AK87)))),
lastVal + 'K dynamique'!AK87 * ((SQRT('Résultats des tournois'!AK$2 + 1)/'Résultats des tournois'!AK87) - (1 / (1 + 10^((AK$103 - lastVal)/400)))))
)
))"),"")</f>
        <v/>
      </c>
      <c r="AM87" s="32" t="str">
        <f>IFERROR(__xludf.DUMMYFUNCTION("IF('Résultats des tournois'!AL$2=0,"""",LET(
lastVal, INDEX(FILTER($B87:AL87, ISNUMBER($B87:AL87)), COUNTA(FILTER($B87:AL87, ISNUMBER($B87:AL87)))),
IFERROR(
IF('Résultats des tournois'!AL87="""", INDEX(FILTER($C87:AL87, ISNUMBER($C87:AL87)), COUNTA(FILTE"&amp;"R($C87:AL87, ISNUMBER($C87:AL87)))),
lastVal + 'K dynamique'!AL87 * ((SQRT('Résultats des tournois'!AL$2 + 1)/'Résultats des tournois'!AL87) - (1 / (1 + 10^((AL$103 - lastVal)/400)))))
)
))"),"")</f>
        <v/>
      </c>
      <c r="AN87" s="32" t="str">
        <f>IFERROR(__xludf.DUMMYFUNCTION("IF('Résultats des tournois'!AM$2=0,"""",LET(
lastVal, INDEX(FILTER($B87:AM87, ISNUMBER($B87:AM87)), COUNTA(FILTER($B87:AM87, ISNUMBER($B87:AM87)))),
IFERROR(
IF('Résultats des tournois'!AM87="""", INDEX(FILTER($C87:AM87, ISNUMBER($C87:AM87)), COUNTA(FILTE"&amp;"R($C87:AM87, ISNUMBER($C87:AM87)))),
lastVal + 'K dynamique'!AM87 * ((SQRT('Résultats des tournois'!AM$2 + 1)/'Résultats des tournois'!AM87) - (1 / (1 + 10^((AM$103 - lastVal)/400)))))
)
))"),"")</f>
        <v/>
      </c>
      <c r="AO87" s="32" t="str">
        <f>IFERROR(__xludf.DUMMYFUNCTION("IF('Résultats des tournois'!AN$2=0,"""",LET(
lastVal, INDEX(FILTER($B87:AN87, ISNUMBER($B87:AN87)), COUNTA(FILTER($B87:AN87, ISNUMBER($B87:AN87)))),
IFERROR(
IF('Résultats des tournois'!AN87="""", INDEX(FILTER($C87:AN87, ISNUMBER($C87:AN87)), COUNTA(FILTE"&amp;"R($C87:AN87, ISNUMBER($C87:AN87)))),
lastVal + 'K dynamique'!AN87 * ((SQRT('Résultats des tournois'!AN$2 + 1)/'Résultats des tournois'!AN87) - (1 / (1 + 10^((AN$103 - lastVal)/400)))))
)
))"),"")</f>
        <v/>
      </c>
      <c r="AP87" s="32" t="str">
        <f>IFERROR(__xludf.DUMMYFUNCTION("IF('Résultats des tournois'!AO$2=0,"""",LET(
lastVal, INDEX(FILTER($B87:AO87, ISNUMBER($B87:AO87)), COUNTA(FILTER($B87:AO87, ISNUMBER($B87:AO87)))),
IFERROR(
IF('Résultats des tournois'!AO87="""", INDEX(FILTER($C87:AO87, ISNUMBER($C87:AO87)), COUNTA(FILTE"&amp;"R($C87:AO87, ISNUMBER($C87:AO87)))),
lastVal + 'K dynamique'!AO87 * ((SQRT('Résultats des tournois'!AO$2 + 1)/'Résultats des tournois'!AO87) - (1 / (1 + 10^((AO$103 - lastVal)/400)))))
)
))"),"")</f>
        <v/>
      </c>
      <c r="AQ87" s="32" t="str">
        <f>IFERROR(__xludf.DUMMYFUNCTION("IF('Résultats des tournois'!AP$2=0,"""",LET(
lastVal, INDEX(FILTER($B87:AP87, ISNUMBER($B87:AP87)), COUNTA(FILTER($B87:AP87, ISNUMBER($B87:AP87)))),
IFERROR(
IF('Résultats des tournois'!AP87="""", INDEX(FILTER($C87:AP87, ISNUMBER($C87:AP87)), COUNTA(FILTE"&amp;"R($C87:AP87, ISNUMBER($C87:AP87)))),
lastVal + 'K dynamique'!AP87 * ((SQRT('Résultats des tournois'!AP$2 + 1)/'Résultats des tournois'!AP87) - (1 / (1 + 10^((AP$103 - lastVal)/400)))))
)
))"),"")</f>
        <v/>
      </c>
      <c r="AR87" s="32" t="str">
        <f>IFERROR(__xludf.DUMMYFUNCTION("IF('Résultats des tournois'!AQ$2=0,"""",LET(
lastVal, INDEX(FILTER($B87:AQ87, ISNUMBER($B87:AQ87)), COUNTA(FILTER($B87:AQ87, ISNUMBER($B87:AQ87)))),
IFERROR(
IF('Résultats des tournois'!AQ87="""", INDEX(FILTER($C87:AQ87, ISNUMBER($C87:AQ87)), COUNTA(FILTE"&amp;"R($C87:AQ87, ISNUMBER($C87:AQ87)))),
lastVal + 'K dynamique'!AQ87 * ((SQRT('Résultats des tournois'!AQ$2 + 1)/'Résultats des tournois'!AQ87) - (1 / (1 + 10^((AQ$103 - lastVal)/400)))))
)
))"),"")</f>
        <v/>
      </c>
      <c r="AS87" s="32" t="str">
        <f>IFERROR(__xludf.DUMMYFUNCTION("IF('Résultats des tournois'!AR$2=0,"""",LET(
lastVal, INDEX(FILTER($B87:AR87, ISNUMBER($B87:AR87)), COUNTA(FILTER($B87:AR87, ISNUMBER($B87:AR87)))),
IFERROR(
IF('Résultats des tournois'!AR87="""", INDEX(FILTER($C87:AR87, ISNUMBER($C87:AR87)), COUNTA(FILTE"&amp;"R($C87:AR87, ISNUMBER($C87:AR87)))),
lastVal + 'K dynamique'!AR87 * ((SQRT('Résultats des tournois'!AR$2 + 1)/'Résultats des tournois'!AR87) - (1 / (1 + 10^((AR$103 - lastVal)/400)))))
)
))"),"")</f>
        <v/>
      </c>
      <c r="AT87" s="32" t="str">
        <f>IFERROR(__xludf.DUMMYFUNCTION("IF('Résultats des tournois'!AS$2=0,"""",LET(
lastVal, INDEX(FILTER($B87:AS87, ISNUMBER($B87:AS87)), COUNTA(FILTER($B87:AS87, ISNUMBER($B87:AS87)))),
IFERROR(
IF('Résultats des tournois'!AS87="""", INDEX(FILTER($C87:AS87, ISNUMBER($C87:AS87)), COUNTA(FILTE"&amp;"R($C87:AS87, ISNUMBER($C87:AS87)))),
lastVal + 'K dynamique'!AS87 * ((SQRT('Résultats des tournois'!AS$2 + 1)/'Résultats des tournois'!AS87) - (1 / (1 + 10^((AS$103 - lastVal)/400)))))
)
))"),"")</f>
        <v/>
      </c>
      <c r="AU87" s="32" t="str">
        <f>IFERROR(__xludf.DUMMYFUNCTION("IF('Résultats des tournois'!AT$2=0,"""",LET(
lastVal, INDEX(FILTER($B87:AT87, ISNUMBER($B87:AT87)), COUNTA(FILTER($B87:AT87, ISNUMBER($B87:AT87)))),
IFERROR(
IF('Résultats des tournois'!AT87="""", INDEX(FILTER($C87:AT87, ISNUMBER($C87:AT87)), COUNTA(FILTE"&amp;"R($C87:AT87, ISNUMBER($C87:AT87)))),
lastVal + 'K dynamique'!AT87 * ((SQRT('Résultats des tournois'!AT$2 + 1)/'Résultats des tournois'!AT87) - (1 / (1 + 10^((AT$103 - lastVal)/400)))))
)
))"),"")</f>
        <v/>
      </c>
      <c r="AV87" s="32" t="str">
        <f>IFERROR(__xludf.DUMMYFUNCTION("IF('Résultats des tournois'!AU$2=0,"""",LET(
lastVal, INDEX(FILTER($B87:AU87, ISNUMBER($B87:AU87)), COUNTA(FILTER($B87:AU87, ISNUMBER($B87:AU87)))),
IFERROR(
IF('Résultats des tournois'!AU87="""", INDEX(FILTER($C87:AU87, ISNUMBER($C87:AU87)), COUNTA(FILTE"&amp;"R($C87:AU87, ISNUMBER($C87:AU87)))),
lastVal + 'K dynamique'!AU87 * ((SQRT('Résultats des tournois'!AU$2 + 1)/'Résultats des tournois'!AU87) - (1 / (1 + 10^((AU$103 - lastVal)/400)))))
)
))"),"")</f>
        <v/>
      </c>
      <c r="AW87" s="32" t="str">
        <f>IFERROR(__xludf.DUMMYFUNCTION("IF('Résultats des tournois'!AV$2=0,"""",LET(
lastVal, INDEX(FILTER($B87:AV87, ISNUMBER($B87:AV87)), COUNTA(FILTER($B87:AV87, ISNUMBER($B87:AV87)))),
IFERROR(
IF('Résultats des tournois'!AV87="""", INDEX(FILTER($C87:AV87, ISNUMBER($C87:AV87)), COUNTA(FILTE"&amp;"R($C87:AV87, ISNUMBER($C87:AV87)))),
lastVal + 'K dynamique'!AV87 * ((SQRT('Résultats des tournois'!AV$2 + 1)/'Résultats des tournois'!AV87) - (1 / (1 + 10^((AV$103 - lastVal)/400)))))
)
))"),"")</f>
        <v/>
      </c>
      <c r="AX87" s="32" t="str">
        <f>IFERROR(__xludf.DUMMYFUNCTION("IF('Résultats des tournois'!AW$2=0,"""",LET(
lastVal, INDEX(FILTER($B87:AW87, ISNUMBER($B87:AW87)), COUNTA(FILTER($B87:AW87, ISNUMBER($B87:AW87)))),
IFERROR(
IF('Résultats des tournois'!AW87="""", INDEX(FILTER($C87:AW87, ISNUMBER($C87:AW87)), COUNTA(FILTE"&amp;"R($C87:AW87, ISNUMBER($C87:AW87)))),
lastVal + 'K dynamique'!AW87 * ((SQRT('Résultats des tournois'!AW$2 + 1)/'Résultats des tournois'!AW87) - (1 / (1 + 10^((AW$103 - lastVal)/400)))))
)
))"),"")</f>
        <v/>
      </c>
      <c r="AY87" s="32" t="str">
        <f>IFERROR(__xludf.DUMMYFUNCTION("IF('Résultats des tournois'!AX$2=0,"""",LET(
lastVal, INDEX(FILTER($B87:AX87, ISNUMBER($B87:AX87)), COUNTA(FILTER($B87:AX87, ISNUMBER($B87:AX87)))),
IFERROR(
IF('Résultats des tournois'!AX87="""", INDEX(FILTER($C87:AX87, ISNUMBER($C87:AX87)), COUNTA(FILTE"&amp;"R($C87:AX87, ISNUMBER($C87:AX87)))),
lastVal + 'K dynamique'!AX87 * ((SQRT('Résultats des tournois'!AX$2 + 1)/'Résultats des tournois'!AX87) - (1 / (1 + 10^((AX$103 - lastVal)/400)))))
)
))"),"")</f>
        <v/>
      </c>
      <c r="AZ87" s="4" t="str">
        <f t="array" ref="AZ87">IF(MAX(($C87:AY87&lt;&gt;"")*COLUMN($C87:AY87))=0,"",INDEX($C87:AY87,1,MAX(($C87:AY87&lt;&gt;"")*COLUMN($C87:AY87))-COLUMN($C87)+1))</f>
        <v/>
      </c>
      <c r="BA87" s="33" t="str">
        <f t="shared" si="1"/>
        <v/>
      </c>
    </row>
    <row r="88" ht="14.25" customHeight="1">
      <c r="A88" s="32" t="str">
        <f>IF('Résultats des tournois'!A88="","",'Résultats des tournois'!A88)</f>
        <v/>
      </c>
      <c r="B88" s="32">
        <v>1500.0</v>
      </c>
      <c r="C88" s="32" t="str">
        <f>IF('Résultats des tournois'!B88="","",B88+'K dynamique'!B88*((SQRT('Résultats des tournois'!B$2+1)/'Résultats des tournois'!B88)-(1/(1+10^((B88-B88)/400)))))</f>
        <v/>
      </c>
      <c r="D88" s="32" t="str">
        <f>IFERROR(__xludf.DUMMYFUNCTION("IF('Résultats des tournois'!C$2=0,"""",LET(
lastVal, INDEX(FILTER($B88:C88, ISNUMBER($B88:C88)), COUNTA(FILTER($B88:C88, ISNUMBER($B88:C88)))),
IFERROR(
IF('Résultats des tournois'!C88="""", INDEX(FILTER($C88:C88, ISNUMBER($C88:C88)), COUNTA(FILTER($C88:C"&amp;"88, ISNUMBER($C88:C88)))),
lastVal + 'K dynamique'!C88 * ((SQRT('Résultats des tournois'!C$2 + 1)/'Résultats des tournois'!C88) - (1 / (1 + 10^((C$103 - lastVal)/400)))))
)
))"),"")</f>
        <v/>
      </c>
      <c r="E88" s="32" t="str">
        <f>IFERROR(__xludf.DUMMYFUNCTION("IF('Résultats des tournois'!D$2=0,"""",LET(
lastVal, INDEX(FILTER($B88:D88, ISNUMBER($B88:D88)), COUNTA(FILTER($B88:D88, ISNUMBER($B88:D88)))),
IFERROR(
IF('Résultats des tournois'!D88="""", INDEX(FILTER($C88:D88, ISNUMBER($C88:D88)), COUNTA(FILTER($C88:D"&amp;"88, ISNUMBER($C88:D88)))),
lastVal + 'K dynamique'!D88 * ((SQRT('Résultats des tournois'!D$2 + 1)/'Résultats des tournois'!D88) - (1 / (1 + 10^((D$103 - lastVal)/400)))))
)
))"),"")</f>
        <v/>
      </c>
      <c r="F88" s="32" t="str">
        <f>IFERROR(__xludf.DUMMYFUNCTION("IF('Résultats des tournois'!E$2=0,"""",LET(
lastVal, INDEX(FILTER($B88:E88, ISNUMBER($B88:E88)), COUNTA(FILTER($B88:E88, ISNUMBER($B88:E88)))),
IFERROR(
IF('Résultats des tournois'!E88="""", INDEX(FILTER($C88:E88, ISNUMBER($C88:E88)), COUNTA(FILTER($C88:E"&amp;"88, ISNUMBER($C88:E88)))),
lastVal + 'K dynamique'!E88 * ((SQRT('Résultats des tournois'!E$2 + 1)/'Résultats des tournois'!E88) - (1 / (1 + 10^((E$103 - lastVal)/400)))))
)
))"),"")</f>
        <v/>
      </c>
      <c r="G88" s="32" t="str">
        <f>IFERROR(__xludf.DUMMYFUNCTION("IF('Résultats des tournois'!F$2=0,"""",LET(
lastVal, INDEX(FILTER($B88:F88, ISNUMBER($B88:F88)), COUNTA(FILTER($B88:F88, ISNUMBER($B88:F88)))),
IFERROR(
IF('Résultats des tournois'!F88="""", INDEX(FILTER($C88:F88, ISNUMBER($C88:F88)), COUNTA(FILTER($C88:F"&amp;"88, ISNUMBER($C88:F88)))),
lastVal + 'K dynamique'!F88 * ((SQRT('Résultats des tournois'!F$2 + 1)/'Résultats des tournois'!F88) - (1 / (1 + 10^((F$103 - lastVal)/400)))))
)
))"),"")</f>
        <v/>
      </c>
      <c r="H88" s="32" t="str">
        <f>IFERROR(__xludf.DUMMYFUNCTION("IF('Résultats des tournois'!G$2=0,"""",LET(
lastVal, INDEX(FILTER($B88:G88, ISNUMBER($B88:G88)), COUNTA(FILTER($B88:G88, ISNUMBER($B88:G88)))),
IFERROR(
IF('Résultats des tournois'!G88="""", INDEX(FILTER($C88:G88, ISNUMBER($C88:G88)), COUNTA(FILTER($C88:G"&amp;"88, ISNUMBER($C88:G88)))),
lastVal + 'K dynamique'!G88 * ((SQRT('Résultats des tournois'!G$2 + 1)/'Résultats des tournois'!G88) - (1 / (1 + 10^((G$103 - lastVal)/400)))))
)
))"),"")</f>
        <v/>
      </c>
      <c r="I88" s="32" t="str">
        <f>IFERROR(__xludf.DUMMYFUNCTION("IF('Résultats des tournois'!H$2=0,"""",LET(
lastVal, INDEX(FILTER($B88:H88, ISNUMBER($B88:H88)), COUNTA(FILTER($B88:H88, ISNUMBER($B88:H88)))),
IFERROR(
IF('Résultats des tournois'!H88="""", INDEX(FILTER($C88:H88, ISNUMBER($C88:H88)), COUNTA(FILTER($C88:H"&amp;"88, ISNUMBER($C88:H88)))),
lastVal + 'K dynamique'!H88 * ((SQRT('Résultats des tournois'!H$2 + 1)/'Résultats des tournois'!H88) - (1 / (1 + 10^((H$103 - lastVal)/400)))))
)
))"),"")</f>
        <v/>
      </c>
      <c r="J88" s="32" t="str">
        <f>IFERROR(__xludf.DUMMYFUNCTION("IF('Résultats des tournois'!I$2=0,"""",LET(
lastVal, INDEX(FILTER($B88:I88, ISNUMBER($B88:I88)), COUNTA(FILTER($B88:I88, ISNUMBER($B88:I88)))),
IFERROR(
IF('Résultats des tournois'!I88="""", INDEX(FILTER($C88:I88, ISNUMBER($C88:I88)), COUNTA(FILTER($C88:I"&amp;"88, ISNUMBER($C88:I88)))),
lastVal + 'K dynamique'!I88 * ((SQRT('Résultats des tournois'!I$2 + 1)/'Résultats des tournois'!I88) - (1 / (1 + 10^((I$103 - lastVal)/400)))))
)
))"),"")</f>
        <v/>
      </c>
      <c r="K88" s="32" t="str">
        <f>IFERROR(__xludf.DUMMYFUNCTION("IF('Résultats des tournois'!J$2=0,"""",LET(
lastVal, INDEX(FILTER($B88:J88, ISNUMBER($B88:J88)), COUNTA(FILTER($B88:J88, ISNUMBER($B88:J88)))),
IFERROR(
IF('Résultats des tournois'!J88="""", INDEX(FILTER($C88:J88, ISNUMBER($C88:J88)), COUNTA(FILTER($C88:J"&amp;"88, ISNUMBER($C88:J88)))),
lastVal + 'K dynamique'!J88 * ((SQRT('Résultats des tournois'!J$2 + 1)/'Résultats des tournois'!J88) - (1 / (1 + 10^((J$103 - lastVal)/400)))))
)
))"),"")</f>
        <v/>
      </c>
      <c r="L88" s="32" t="str">
        <f>IFERROR(__xludf.DUMMYFUNCTION("IF('Résultats des tournois'!K$2=0,"""",LET(
lastVal, INDEX(FILTER($B88:K88, ISNUMBER($B88:K88)), COUNTA(FILTER($B88:K88, ISNUMBER($B88:K88)))),
IFERROR(
IF('Résultats des tournois'!K88="""", INDEX(FILTER($C88:K88, ISNUMBER($C88:K88)), COUNTA(FILTER($C88:K"&amp;"88, ISNUMBER($C88:K88)))),
lastVal + 'K dynamique'!K88 * ((SQRT('Résultats des tournois'!K$2 + 1)/'Résultats des tournois'!K88) - (1 / (1 + 10^((K$103 - lastVal)/400)))))
)
))"),"")</f>
        <v/>
      </c>
      <c r="M88" s="32" t="str">
        <f>IFERROR(__xludf.DUMMYFUNCTION("IF('Résultats des tournois'!L$2=0,"""",LET(
lastVal, INDEX(FILTER($B88:L88, ISNUMBER($B88:L88)), COUNTA(FILTER($B88:L88, ISNUMBER($B88:L88)))),
IFERROR(
IF('Résultats des tournois'!L88="""", INDEX(FILTER($C88:L88, ISNUMBER($C88:L88)), COUNTA(FILTER($C88:L"&amp;"88, ISNUMBER($C88:L88)))),
lastVal + 'K dynamique'!L88 * ((SQRT('Résultats des tournois'!L$2 + 1)/'Résultats des tournois'!L88) - (1 / (1 + 10^((L$103 - lastVal)/400)))))
)
))"),"")</f>
        <v/>
      </c>
      <c r="N88" s="32" t="str">
        <f>IFERROR(__xludf.DUMMYFUNCTION("IF('Résultats des tournois'!M$2=0,"""",LET(
lastVal, INDEX(FILTER($B88:M88, ISNUMBER($B88:M88)), COUNTA(FILTER($B88:M88, ISNUMBER($B88:M88)))),
IFERROR(
IF('Résultats des tournois'!M88="""", INDEX(FILTER($C88:M88, ISNUMBER($C88:M88)), COUNTA(FILTER($C88:M"&amp;"88, ISNUMBER($C88:M88)))),
lastVal + 'K dynamique'!M88 * ((SQRT('Résultats des tournois'!M$2 + 1)/'Résultats des tournois'!M88) - (1 / (1 + 10^((M$103 - lastVal)/400)))))
)
))"),"")</f>
        <v/>
      </c>
      <c r="O88" s="32" t="str">
        <f>IFERROR(__xludf.DUMMYFUNCTION("IF('Résultats des tournois'!N$2=0,"""",LET(
lastVal, INDEX(FILTER($B88:N88, ISNUMBER($B88:N88)), COUNTA(FILTER($B88:N88, ISNUMBER($B88:N88)))),
IFERROR(
IF('Résultats des tournois'!N88="""", INDEX(FILTER($C88:N88, ISNUMBER($C88:N88)), COUNTA(FILTER($C88:N"&amp;"88, ISNUMBER($C88:N88)))),
lastVal + 'K dynamique'!N88 * ((SQRT('Résultats des tournois'!N$2 + 1)/'Résultats des tournois'!N88) - (1 / (1 + 10^((N$103 - lastVal)/400)))))
)
))"),"")</f>
        <v/>
      </c>
      <c r="P88" s="32" t="str">
        <f>IFERROR(__xludf.DUMMYFUNCTION("IF('Résultats des tournois'!O$2=0,"""",LET(
lastVal, INDEX(FILTER($B88:O88, ISNUMBER($B88:O88)), COUNTA(FILTER($B88:O88, ISNUMBER($B88:O88)))),
IFERROR(
IF('Résultats des tournois'!O88="""", INDEX(FILTER($C88:O88, ISNUMBER($C88:O88)), COUNTA(FILTER($C88:O"&amp;"88, ISNUMBER($C88:O88)))),
lastVal + 'K dynamique'!O88 * ((SQRT('Résultats des tournois'!O$2 + 1)/'Résultats des tournois'!O88) - (1 / (1 + 10^((O$103 - lastVal)/400)))))
)
))"),"")</f>
        <v/>
      </c>
      <c r="Q88" s="32" t="str">
        <f>IFERROR(__xludf.DUMMYFUNCTION("IF('Résultats des tournois'!P$2=0,"""",LET(
lastVal, INDEX(FILTER($B88:P88, ISNUMBER($B88:P88)), COUNTA(FILTER($B88:P88, ISNUMBER($B88:P88)))),
IFERROR(
IF('Résultats des tournois'!P88="""", INDEX(FILTER($C88:P88, ISNUMBER($C88:P88)), COUNTA(FILTER($C88:P"&amp;"88, ISNUMBER($C88:P88)))),
lastVal + 'K dynamique'!P88 * ((SQRT('Résultats des tournois'!P$2 + 1)/'Résultats des tournois'!P88) - (1 / (1 + 10^((P$103 - lastVal)/400)))))
)
))"),"")</f>
        <v/>
      </c>
      <c r="R88" s="32" t="str">
        <f>IFERROR(__xludf.DUMMYFUNCTION("IF('Résultats des tournois'!Q$2=0,"""",LET(
lastVal, INDEX(FILTER($B88:Q88, ISNUMBER($B88:Q88)), COUNTA(FILTER($B88:Q88, ISNUMBER($B88:Q88)))),
IFERROR(
IF('Résultats des tournois'!Q88="""", INDEX(FILTER($C88:Q88, ISNUMBER($C88:Q88)), COUNTA(FILTER($C88:Q"&amp;"88, ISNUMBER($C88:Q88)))),
lastVal + 'K dynamique'!Q88 * ((SQRT('Résultats des tournois'!Q$2 + 1)/'Résultats des tournois'!Q88) - (1 / (1 + 10^((Q$103 - lastVal)/400)))))
)
))"),"")</f>
        <v/>
      </c>
      <c r="S88" s="32" t="str">
        <f>IFERROR(__xludf.DUMMYFUNCTION("IF('Résultats des tournois'!R$2=0,"""",LET(
lastVal, INDEX(FILTER($B88:R88, ISNUMBER($B88:R88)), COUNTA(FILTER($B88:R88, ISNUMBER($B88:R88)))),
IFERROR(
IF('Résultats des tournois'!R88="""", INDEX(FILTER($C88:R88, ISNUMBER($C88:R88)), COUNTA(FILTER($C88:R"&amp;"88, ISNUMBER($C88:R88)))),
lastVal + 'K dynamique'!R88 * ((SQRT('Résultats des tournois'!R$2 + 1)/'Résultats des tournois'!R88) - (1 / (1 + 10^((R$103 - lastVal)/400)))))
)
))"),"")</f>
        <v/>
      </c>
      <c r="T88" s="32" t="str">
        <f>IFERROR(__xludf.DUMMYFUNCTION("IF('Résultats des tournois'!S$2=0,"""",LET(
lastVal, INDEX(FILTER($B88:S88, ISNUMBER($B88:S88)), COUNTA(FILTER($B88:S88, ISNUMBER($B88:S88)))),
IFERROR(
IF('Résultats des tournois'!S88="""", INDEX(FILTER($C88:S88, ISNUMBER($C88:S88)), COUNTA(FILTER($C88:S"&amp;"88, ISNUMBER($C88:S88)))),
lastVal + 'K dynamique'!S88 * ((SQRT('Résultats des tournois'!S$2 + 1)/'Résultats des tournois'!S88) - (1 / (1 + 10^((S$103 - lastVal)/400)))))
)
))"),"")</f>
        <v/>
      </c>
      <c r="U88" s="32" t="str">
        <f>IFERROR(__xludf.DUMMYFUNCTION("IF('Résultats des tournois'!T$2=0,"""",LET(
lastVal, INDEX(FILTER($B88:T88, ISNUMBER($B88:T88)), COUNTA(FILTER($B88:T88, ISNUMBER($B88:T88)))),
IFERROR(
IF('Résultats des tournois'!T88="""", INDEX(FILTER($C88:T88, ISNUMBER($C88:T88)), COUNTA(FILTER($C88:T"&amp;"88, ISNUMBER($C88:T88)))),
lastVal + 'K dynamique'!T88 * ((SQRT('Résultats des tournois'!T$2 + 1)/'Résultats des tournois'!T88) - (1 / (1 + 10^((T$103 - lastVal)/400)))))
)
))"),"")</f>
        <v/>
      </c>
      <c r="V88" s="32" t="str">
        <f>IFERROR(__xludf.DUMMYFUNCTION("IF('Résultats des tournois'!U$2=0,"""",LET(
lastVal, INDEX(FILTER($B88:U88, ISNUMBER($B88:U88)), COUNTA(FILTER($B88:U88, ISNUMBER($B88:U88)))),
IFERROR(
IF('Résultats des tournois'!U88="""", INDEX(FILTER($C88:U88, ISNUMBER($C88:U88)), COUNTA(FILTER($C88:U"&amp;"88, ISNUMBER($C88:U88)))),
lastVal + 'K dynamique'!U88 * ((SQRT('Résultats des tournois'!U$2 + 1)/'Résultats des tournois'!U88) - (1 / (1 + 10^((U$103 - lastVal)/400)))))
)
))"),"")</f>
        <v/>
      </c>
      <c r="W88" s="32" t="str">
        <f>IFERROR(__xludf.DUMMYFUNCTION("IF('Résultats des tournois'!V$2=0,"""",LET(
lastVal, INDEX(FILTER($B88:V88, ISNUMBER($B88:V88)), COUNTA(FILTER($B88:V88, ISNUMBER($B88:V88)))),
IFERROR(
IF('Résultats des tournois'!V88="""", INDEX(FILTER($C88:V88, ISNUMBER($C88:V88)), COUNTA(FILTER($C88:V"&amp;"88, ISNUMBER($C88:V88)))),
lastVal + 'K dynamique'!V88 * ((SQRT('Résultats des tournois'!V$2 + 1)/'Résultats des tournois'!V88) - (1 / (1 + 10^((V$103 - lastVal)/400)))))
)
))"),"")</f>
        <v/>
      </c>
      <c r="X88" s="32" t="str">
        <f>IFERROR(__xludf.DUMMYFUNCTION("IF('Résultats des tournois'!W$2=0,"""",LET(
lastVal, INDEX(FILTER($B88:W88, ISNUMBER($B88:W88)), COUNTA(FILTER($B88:W88, ISNUMBER($B88:W88)))),
IFERROR(
IF('Résultats des tournois'!W88="""", INDEX(FILTER($C88:W88, ISNUMBER($C88:W88)), COUNTA(FILTER($C88:W"&amp;"88, ISNUMBER($C88:W88)))),
lastVal + 'K dynamique'!W88 * ((SQRT('Résultats des tournois'!W$2 + 1)/'Résultats des tournois'!W88) - (1 / (1 + 10^((W$103 - lastVal)/400)))))
)
))"),"")</f>
        <v/>
      </c>
      <c r="Y88" s="32" t="str">
        <f>IFERROR(__xludf.DUMMYFUNCTION("IF('Résultats des tournois'!X$2=0,"""",LET(
lastVal, INDEX(FILTER($B88:X88, ISNUMBER($B88:X88)), COUNTA(FILTER($B88:X88, ISNUMBER($B88:X88)))),
IFERROR(
IF('Résultats des tournois'!X88="""", INDEX(FILTER($C88:X88, ISNUMBER($C88:X88)), COUNTA(FILTER($C88:X"&amp;"88, ISNUMBER($C88:X88)))),
lastVal + 'K dynamique'!X88 * ((SQRT('Résultats des tournois'!X$2 + 1)/'Résultats des tournois'!X88) - (1 / (1 + 10^((X$103 - lastVal)/400)))))
)
))"),"")</f>
        <v/>
      </c>
      <c r="Z88" s="32" t="str">
        <f>IFERROR(__xludf.DUMMYFUNCTION("IF('Résultats des tournois'!Y$2=0,"""",LET(
lastVal, INDEX(FILTER($B88:Y88, ISNUMBER($B88:Y88)), COUNTA(FILTER($B88:Y88, ISNUMBER($B88:Y88)))),
IFERROR(
IF('Résultats des tournois'!Y88="""", INDEX(FILTER($C88:Y88, ISNUMBER($C88:Y88)), COUNTA(FILTER($C88:Y"&amp;"88, ISNUMBER($C88:Y88)))),
lastVal + 'K dynamique'!Y88 * ((SQRT('Résultats des tournois'!Y$2 + 1)/'Résultats des tournois'!Y88) - (1 / (1 + 10^((Y$103 - lastVal)/400)))))
)
))"),"")</f>
        <v/>
      </c>
      <c r="AA88" s="32" t="str">
        <f>IFERROR(__xludf.DUMMYFUNCTION("IF('Résultats des tournois'!Z$2=0,"""",LET(
lastVal, INDEX(FILTER($B88:Z88, ISNUMBER($B88:Z88)), COUNTA(FILTER($B88:Z88, ISNUMBER($B88:Z88)))),
IFERROR(
IF('Résultats des tournois'!Z88="""", INDEX(FILTER($C88:Z88, ISNUMBER($C88:Z88)), COUNTA(FILTER($C88:Z"&amp;"88, ISNUMBER($C88:Z88)))),
lastVal + 'K dynamique'!Z88 * ((SQRT('Résultats des tournois'!Z$2 + 1)/'Résultats des tournois'!Z88) - (1 / (1 + 10^((Z$103 - lastVal)/400)))))
)
))"),"")</f>
        <v/>
      </c>
      <c r="AB88" s="32" t="str">
        <f>IFERROR(__xludf.DUMMYFUNCTION("IF('Résultats des tournois'!AA$2=0,"""",LET(
lastVal, INDEX(FILTER($B88:AA88, ISNUMBER($B88:AA88)), COUNTA(FILTER($B88:AA88, ISNUMBER($B88:AA88)))),
IFERROR(
IF('Résultats des tournois'!AA88="""", INDEX(FILTER($C88:AA88, ISNUMBER($C88:AA88)), COUNTA(FILTE"&amp;"R($C88:AA88, ISNUMBER($C88:AA88)))),
lastVal + 'K dynamique'!AA88 * ((SQRT('Résultats des tournois'!AA$2 + 1)/'Résultats des tournois'!AA88) - (1 / (1 + 10^((AA$103 - lastVal)/400)))))
)
))"),"")</f>
        <v/>
      </c>
      <c r="AC88" s="32" t="str">
        <f>IFERROR(__xludf.DUMMYFUNCTION("IF('Résultats des tournois'!AB$2=0,"""",LET(
lastVal, INDEX(FILTER($B88:AB88, ISNUMBER($B88:AB88)), COUNTA(FILTER($B88:AB88, ISNUMBER($B88:AB88)))),
IFERROR(
IF('Résultats des tournois'!AB88="""", INDEX(FILTER($C88:AB88, ISNUMBER($C88:AB88)), COUNTA(FILTE"&amp;"R($C88:AB88, ISNUMBER($C88:AB88)))),
lastVal + 'K dynamique'!AB88 * ((SQRT('Résultats des tournois'!AB$2 + 1)/'Résultats des tournois'!AB88) - (1 / (1 + 10^((AB$103 - lastVal)/400)))))
)
))"),"")</f>
        <v/>
      </c>
      <c r="AD88" s="32" t="str">
        <f>IFERROR(__xludf.DUMMYFUNCTION("IF('Résultats des tournois'!AC$2=0,"""",LET(
lastVal, INDEX(FILTER($B88:AC88, ISNUMBER($B88:AC88)), COUNTA(FILTER($B88:AC88, ISNUMBER($B88:AC88)))),
IFERROR(
IF('Résultats des tournois'!AC88="""", INDEX(FILTER($C88:AC88, ISNUMBER($C88:AC88)), COUNTA(FILTE"&amp;"R($C88:AC88, ISNUMBER($C88:AC88)))),
lastVal + 'K dynamique'!AC88 * ((SQRT('Résultats des tournois'!AC$2 + 1)/'Résultats des tournois'!AC88) - (1 / (1 + 10^((AC$103 - lastVal)/400)))))
)
))"),"")</f>
        <v/>
      </c>
      <c r="AE88" s="32" t="str">
        <f>IFERROR(__xludf.DUMMYFUNCTION("IF('Résultats des tournois'!AD$2=0,"""",LET(
lastVal, INDEX(FILTER($B88:AD88, ISNUMBER($B88:AD88)), COUNTA(FILTER($B88:AD88, ISNUMBER($B88:AD88)))),
IFERROR(
IF('Résultats des tournois'!AD88="""", INDEX(FILTER($C88:AD88, ISNUMBER($C88:AD88)), COUNTA(FILTE"&amp;"R($C88:AD88, ISNUMBER($C88:AD88)))),
lastVal + 'K dynamique'!AD88 * ((SQRT('Résultats des tournois'!AD$2 + 1)/'Résultats des tournois'!AD88) - (1 / (1 + 10^((AD$103 - lastVal)/400)))))
)
))"),"")</f>
        <v/>
      </c>
      <c r="AF88" s="32" t="str">
        <f>IFERROR(__xludf.DUMMYFUNCTION("IF('Résultats des tournois'!AE$2=0,"""",LET(
lastVal, INDEX(FILTER($B88:AE88, ISNUMBER($B88:AE88)), COUNTA(FILTER($B88:AE88, ISNUMBER($B88:AE88)))),
IFERROR(
IF('Résultats des tournois'!AE88="""", INDEX(FILTER($C88:AE88, ISNUMBER($C88:AE88)), COUNTA(FILTE"&amp;"R($C88:AE88, ISNUMBER($C88:AE88)))),
lastVal + 'K dynamique'!AE88 * ((SQRT('Résultats des tournois'!AE$2 + 1)/'Résultats des tournois'!AE88) - (1 / (1 + 10^((AE$103 - lastVal)/400)))))
)
))"),"")</f>
        <v/>
      </c>
      <c r="AG88" s="32" t="str">
        <f>IFERROR(__xludf.DUMMYFUNCTION("IF('Résultats des tournois'!AF$2=0,"""",LET(
lastVal, INDEX(FILTER($B88:AF88, ISNUMBER($B88:AF88)), COUNTA(FILTER($B88:AF88, ISNUMBER($B88:AF88)))),
IFERROR(
IF('Résultats des tournois'!AF88="""", INDEX(FILTER($C88:AF88, ISNUMBER($C88:AF88)), COUNTA(FILTE"&amp;"R($C88:AF88, ISNUMBER($C88:AF88)))),
lastVal + 'K dynamique'!AF88 * ((SQRT('Résultats des tournois'!AF$2 + 1)/'Résultats des tournois'!AF88) - (1 / (1 + 10^((AF$103 - lastVal)/400)))))
)
))"),"")</f>
        <v/>
      </c>
      <c r="AH88" s="32" t="str">
        <f>IFERROR(__xludf.DUMMYFUNCTION("IF('Résultats des tournois'!AG$2=0,"""",LET(
lastVal, INDEX(FILTER($B88:AG88, ISNUMBER($B88:AG88)), COUNTA(FILTER($B88:AG88, ISNUMBER($B88:AG88)))),
IFERROR(
IF('Résultats des tournois'!AG88="""", INDEX(FILTER($C88:AG88, ISNUMBER($C88:AG88)), COUNTA(FILTE"&amp;"R($C88:AG88, ISNUMBER($C88:AG88)))),
lastVal + 'K dynamique'!AG88 * ((SQRT('Résultats des tournois'!AG$2 + 1)/'Résultats des tournois'!AG88) - (1 / (1 + 10^((AG$103 - lastVal)/400)))))
)
))"),"")</f>
        <v/>
      </c>
      <c r="AI88" s="32" t="str">
        <f>IFERROR(__xludf.DUMMYFUNCTION("IF('Résultats des tournois'!AH$2=0,"""",LET(
lastVal, INDEX(FILTER($B88:AH88, ISNUMBER($B88:AH88)), COUNTA(FILTER($B88:AH88, ISNUMBER($B88:AH88)))),
IFERROR(
IF('Résultats des tournois'!AH88="""", INDEX(FILTER($C88:AH88, ISNUMBER($C88:AH88)), COUNTA(FILTE"&amp;"R($C88:AH88, ISNUMBER($C88:AH88)))),
lastVal + 'K dynamique'!AH88 * ((SQRT('Résultats des tournois'!AH$2 + 1)/'Résultats des tournois'!AH88) - (1 / (1 + 10^((AH$103 - lastVal)/400)))))
)
))"),"")</f>
        <v/>
      </c>
      <c r="AJ88" s="32" t="str">
        <f>IFERROR(__xludf.DUMMYFUNCTION("IF('Résultats des tournois'!AI$2=0,"""",LET(
lastVal, INDEX(FILTER($B88:AI88, ISNUMBER($B88:AI88)), COUNTA(FILTER($B88:AI88, ISNUMBER($B88:AI88)))),
IFERROR(
IF('Résultats des tournois'!AI88="""", INDEX(FILTER($C88:AI88, ISNUMBER($C88:AI88)), COUNTA(FILTE"&amp;"R($C88:AI88, ISNUMBER($C88:AI88)))),
lastVal + 'K dynamique'!AI88 * ((SQRT('Résultats des tournois'!AI$2 + 1)/'Résultats des tournois'!AI88) - (1 / (1 + 10^((AI$103 - lastVal)/400)))))
)
))"),"")</f>
        <v/>
      </c>
      <c r="AK88" s="32" t="str">
        <f>IFERROR(__xludf.DUMMYFUNCTION("IF('Résultats des tournois'!AJ$2=0,"""",LET(
lastVal, INDEX(FILTER($B88:AJ88, ISNUMBER($B88:AJ88)), COUNTA(FILTER($B88:AJ88, ISNUMBER($B88:AJ88)))),
IFERROR(
IF('Résultats des tournois'!AJ88="""", INDEX(FILTER($C88:AJ88, ISNUMBER($C88:AJ88)), COUNTA(FILTE"&amp;"R($C88:AJ88, ISNUMBER($C88:AJ88)))),
lastVal + 'K dynamique'!AJ88 * ((SQRT('Résultats des tournois'!AJ$2 + 1)/'Résultats des tournois'!AJ88) - (1 / (1 + 10^((AJ$103 - lastVal)/400)))))
)
))"),"")</f>
        <v/>
      </c>
      <c r="AL88" s="32" t="str">
        <f>IFERROR(__xludf.DUMMYFUNCTION("IF('Résultats des tournois'!AK$2=0,"""",LET(
lastVal, INDEX(FILTER($B88:AK88, ISNUMBER($B88:AK88)), COUNTA(FILTER($B88:AK88, ISNUMBER($B88:AK88)))),
IFERROR(
IF('Résultats des tournois'!AK88="""", INDEX(FILTER($C88:AK88, ISNUMBER($C88:AK88)), COUNTA(FILTE"&amp;"R($C88:AK88, ISNUMBER($C88:AK88)))),
lastVal + 'K dynamique'!AK88 * ((SQRT('Résultats des tournois'!AK$2 + 1)/'Résultats des tournois'!AK88) - (1 / (1 + 10^((AK$103 - lastVal)/400)))))
)
))"),"")</f>
        <v/>
      </c>
      <c r="AM88" s="32" t="str">
        <f>IFERROR(__xludf.DUMMYFUNCTION("IF('Résultats des tournois'!AL$2=0,"""",LET(
lastVal, INDEX(FILTER($B88:AL88, ISNUMBER($B88:AL88)), COUNTA(FILTER($B88:AL88, ISNUMBER($B88:AL88)))),
IFERROR(
IF('Résultats des tournois'!AL88="""", INDEX(FILTER($C88:AL88, ISNUMBER($C88:AL88)), COUNTA(FILTE"&amp;"R($C88:AL88, ISNUMBER($C88:AL88)))),
lastVal + 'K dynamique'!AL88 * ((SQRT('Résultats des tournois'!AL$2 + 1)/'Résultats des tournois'!AL88) - (1 / (1 + 10^((AL$103 - lastVal)/400)))))
)
))"),"")</f>
        <v/>
      </c>
      <c r="AN88" s="32" t="str">
        <f>IFERROR(__xludf.DUMMYFUNCTION("IF('Résultats des tournois'!AM$2=0,"""",LET(
lastVal, INDEX(FILTER($B88:AM88, ISNUMBER($B88:AM88)), COUNTA(FILTER($B88:AM88, ISNUMBER($B88:AM88)))),
IFERROR(
IF('Résultats des tournois'!AM88="""", INDEX(FILTER($C88:AM88, ISNUMBER($C88:AM88)), COUNTA(FILTE"&amp;"R($C88:AM88, ISNUMBER($C88:AM88)))),
lastVal + 'K dynamique'!AM88 * ((SQRT('Résultats des tournois'!AM$2 + 1)/'Résultats des tournois'!AM88) - (1 / (1 + 10^((AM$103 - lastVal)/400)))))
)
))"),"")</f>
        <v/>
      </c>
      <c r="AO88" s="32" t="str">
        <f>IFERROR(__xludf.DUMMYFUNCTION("IF('Résultats des tournois'!AN$2=0,"""",LET(
lastVal, INDEX(FILTER($B88:AN88, ISNUMBER($B88:AN88)), COUNTA(FILTER($B88:AN88, ISNUMBER($B88:AN88)))),
IFERROR(
IF('Résultats des tournois'!AN88="""", INDEX(FILTER($C88:AN88, ISNUMBER($C88:AN88)), COUNTA(FILTE"&amp;"R($C88:AN88, ISNUMBER($C88:AN88)))),
lastVal + 'K dynamique'!AN88 * ((SQRT('Résultats des tournois'!AN$2 + 1)/'Résultats des tournois'!AN88) - (1 / (1 + 10^((AN$103 - lastVal)/400)))))
)
))"),"")</f>
        <v/>
      </c>
      <c r="AP88" s="32" t="str">
        <f>IFERROR(__xludf.DUMMYFUNCTION("IF('Résultats des tournois'!AO$2=0,"""",LET(
lastVal, INDEX(FILTER($B88:AO88, ISNUMBER($B88:AO88)), COUNTA(FILTER($B88:AO88, ISNUMBER($B88:AO88)))),
IFERROR(
IF('Résultats des tournois'!AO88="""", INDEX(FILTER($C88:AO88, ISNUMBER($C88:AO88)), COUNTA(FILTE"&amp;"R($C88:AO88, ISNUMBER($C88:AO88)))),
lastVal + 'K dynamique'!AO88 * ((SQRT('Résultats des tournois'!AO$2 + 1)/'Résultats des tournois'!AO88) - (1 / (1 + 10^((AO$103 - lastVal)/400)))))
)
))"),"")</f>
        <v/>
      </c>
      <c r="AQ88" s="32" t="str">
        <f>IFERROR(__xludf.DUMMYFUNCTION("IF('Résultats des tournois'!AP$2=0,"""",LET(
lastVal, INDEX(FILTER($B88:AP88, ISNUMBER($B88:AP88)), COUNTA(FILTER($B88:AP88, ISNUMBER($B88:AP88)))),
IFERROR(
IF('Résultats des tournois'!AP88="""", INDEX(FILTER($C88:AP88, ISNUMBER($C88:AP88)), COUNTA(FILTE"&amp;"R($C88:AP88, ISNUMBER($C88:AP88)))),
lastVal + 'K dynamique'!AP88 * ((SQRT('Résultats des tournois'!AP$2 + 1)/'Résultats des tournois'!AP88) - (1 / (1 + 10^((AP$103 - lastVal)/400)))))
)
))"),"")</f>
        <v/>
      </c>
      <c r="AR88" s="32" t="str">
        <f>IFERROR(__xludf.DUMMYFUNCTION("IF('Résultats des tournois'!AQ$2=0,"""",LET(
lastVal, INDEX(FILTER($B88:AQ88, ISNUMBER($B88:AQ88)), COUNTA(FILTER($B88:AQ88, ISNUMBER($B88:AQ88)))),
IFERROR(
IF('Résultats des tournois'!AQ88="""", INDEX(FILTER($C88:AQ88, ISNUMBER($C88:AQ88)), COUNTA(FILTE"&amp;"R($C88:AQ88, ISNUMBER($C88:AQ88)))),
lastVal + 'K dynamique'!AQ88 * ((SQRT('Résultats des tournois'!AQ$2 + 1)/'Résultats des tournois'!AQ88) - (1 / (1 + 10^((AQ$103 - lastVal)/400)))))
)
))"),"")</f>
        <v/>
      </c>
      <c r="AS88" s="32" t="str">
        <f>IFERROR(__xludf.DUMMYFUNCTION("IF('Résultats des tournois'!AR$2=0,"""",LET(
lastVal, INDEX(FILTER($B88:AR88, ISNUMBER($B88:AR88)), COUNTA(FILTER($B88:AR88, ISNUMBER($B88:AR88)))),
IFERROR(
IF('Résultats des tournois'!AR88="""", INDEX(FILTER($C88:AR88, ISNUMBER($C88:AR88)), COUNTA(FILTE"&amp;"R($C88:AR88, ISNUMBER($C88:AR88)))),
lastVal + 'K dynamique'!AR88 * ((SQRT('Résultats des tournois'!AR$2 + 1)/'Résultats des tournois'!AR88) - (1 / (1 + 10^((AR$103 - lastVal)/400)))))
)
))"),"")</f>
        <v/>
      </c>
      <c r="AT88" s="32" t="str">
        <f>IFERROR(__xludf.DUMMYFUNCTION("IF('Résultats des tournois'!AS$2=0,"""",LET(
lastVal, INDEX(FILTER($B88:AS88, ISNUMBER($B88:AS88)), COUNTA(FILTER($B88:AS88, ISNUMBER($B88:AS88)))),
IFERROR(
IF('Résultats des tournois'!AS88="""", INDEX(FILTER($C88:AS88, ISNUMBER($C88:AS88)), COUNTA(FILTE"&amp;"R($C88:AS88, ISNUMBER($C88:AS88)))),
lastVal + 'K dynamique'!AS88 * ((SQRT('Résultats des tournois'!AS$2 + 1)/'Résultats des tournois'!AS88) - (1 / (1 + 10^((AS$103 - lastVal)/400)))))
)
))"),"")</f>
        <v/>
      </c>
      <c r="AU88" s="32" t="str">
        <f>IFERROR(__xludf.DUMMYFUNCTION("IF('Résultats des tournois'!AT$2=0,"""",LET(
lastVal, INDEX(FILTER($B88:AT88, ISNUMBER($B88:AT88)), COUNTA(FILTER($B88:AT88, ISNUMBER($B88:AT88)))),
IFERROR(
IF('Résultats des tournois'!AT88="""", INDEX(FILTER($C88:AT88, ISNUMBER($C88:AT88)), COUNTA(FILTE"&amp;"R($C88:AT88, ISNUMBER($C88:AT88)))),
lastVal + 'K dynamique'!AT88 * ((SQRT('Résultats des tournois'!AT$2 + 1)/'Résultats des tournois'!AT88) - (1 / (1 + 10^((AT$103 - lastVal)/400)))))
)
))"),"")</f>
        <v/>
      </c>
      <c r="AV88" s="32" t="str">
        <f>IFERROR(__xludf.DUMMYFUNCTION("IF('Résultats des tournois'!AU$2=0,"""",LET(
lastVal, INDEX(FILTER($B88:AU88, ISNUMBER($B88:AU88)), COUNTA(FILTER($B88:AU88, ISNUMBER($B88:AU88)))),
IFERROR(
IF('Résultats des tournois'!AU88="""", INDEX(FILTER($C88:AU88, ISNUMBER($C88:AU88)), COUNTA(FILTE"&amp;"R($C88:AU88, ISNUMBER($C88:AU88)))),
lastVal + 'K dynamique'!AU88 * ((SQRT('Résultats des tournois'!AU$2 + 1)/'Résultats des tournois'!AU88) - (1 / (1 + 10^((AU$103 - lastVal)/400)))))
)
))"),"")</f>
        <v/>
      </c>
      <c r="AW88" s="32" t="str">
        <f>IFERROR(__xludf.DUMMYFUNCTION("IF('Résultats des tournois'!AV$2=0,"""",LET(
lastVal, INDEX(FILTER($B88:AV88, ISNUMBER($B88:AV88)), COUNTA(FILTER($B88:AV88, ISNUMBER($B88:AV88)))),
IFERROR(
IF('Résultats des tournois'!AV88="""", INDEX(FILTER($C88:AV88, ISNUMBER($C88:AV88)), COUNTA(FILTE"&amp;"R($C88:AV88, ISNUMBER($C88:AV88)))),
lastVal + 'K dynamique'!AV88 * ((SQRT('Résultats des tournois'!AV$2 + 1)/'Résultats des tournois'!AV88) - (1 / (1 + 10^((AV$103 - lastVal)/400)))))
)
))"),"")</f>
        <v/>
      </c>
      <c r="AX88" s="32" t="str">
        <f>IFERROR(__xludf.DUMMYFUNCTION("IF('Résultats des tournois'!AW$2=0,"""",LET(
lastVal, INDEX(FILTER($B88:AW88, ISNUMBER($B88:AW88)), COUNTA(FILTER($B88:AW88, ISNUMBER($B88:AW88)))),
IFERROR(
IF('Résultats des tournois'!AW88="""", INDEX(FILTER($C88:AW88, ISNUMBER($C88:AW88)), COUNTA(FILTE"&amp;"R($C88:AW88, ISNUMBER($C88:AW88)))),
lastVal + 'K dynamique'!AW88 * ((SQRT('Résultats des tournois'!AW$2 + 1)/'Résultats des tournois'!AW88) - (1 / (1 + 10^((AW$103 - lastVal)/400)))))
)
))"),"")</f>
        <v/>
      </c>
      <c r="AY88" s="32" t="str">
        <f>IFERROR(__xludf.DUMMYFUNCTION("IF('Résultats des tournois'!AX$2=0,"""",LET(
lastVal, INDEX(FILTER($B88:AX88, ISNUMBER($B88:AX88)), COUNTA(FILTER($B88:AX88, ISNUMBER($B88:AX88)))),
IFERROR(
IF('Résultats des tournois'!AX88="""", INDEX(FILTER($C88:AX88, ISNUMBER($C88:AX88)), COUNTA(FILTE"&amp;"R($C88:AX88, ISNUMBER($C88:AX88)))),
lastVal + 'K dynamique'!AX88 * ((SQRT('Résultats des tournois'!AX$2 + 1)/'Résultats des tournois'!AX88) - (1 / (1 + 10^((AX$103 - lastVal)/400)))))
)
))"),"")</f>
        <v/>
      </c>
      <c r="AZ88" s="4" t="str">
        <f t="array" ref="AZ88">IF(MAX(($C88:AY88&lt;&gt;"")*COLUMN($C88:AY88))=0,"",INDEX($C88:AY88,1,MAX(($C88:AY88&lt;&gt;"")*COLUMN($C88:AY88))-COLUMN($C88)+1))</f>
        <v/>
      </c>
      <c r="BA88" s="33" t="str">
        <f t="shared" si="1"/>
        <v/>
      </c>
    </row>
    <row r="89" ht="14.25" customHeight="1">
      <c r="A89" s="32" t="str">
        <f>IF('Résultats des tournois'!A89="","",'Résultats des tournois'!A89)</f>
        <v/>
      </c>
      <c r="B89" s="32">
        <v>1500.0</v>
      </c>
      <c r="C89" s="32" t="str">
        <f>IF('Résultats des tournois'!B89="","",B89+'K dynamique'!B89*((SQRT('Résultats des tournois'!B$2+1)/'Résultats des tournois'!B89)-(1/(1+10^((B89-B89)/400)))))</f>
        <v/>
      </c>
      <c r="D89" s="32" t="str">
        <f>IFERROR(__xludf.DUMMYFUNCTION("IF('Résultats des tournois'!C$2=0,"""",LET(
lastVal, INDEX(FILTER($B89:C89, ISNUMBER($B89:C89)), COUNTA(FILTER($B89:C89, ISNUMBER($B89:C89)))),
IFERROR(
IF('Résultats des tournois'!C89="""", INDEX(FILTER($C89:C89, ISNUMBER($C89:C89)), COUNTA(FILTER($C89:C"&amp;"89, ISNUMBER($C89:C89)))),
lastVal + 'K dynamique'!C89 * ((SQRT('Résultats des tournois'!C$2 + 1)/'Résultats des tournois'!C89) - (1 / (1 + 10^((C$103 - lastVal)/400)))))
)
))"),"")</f>
        <v/>
      </c>
      <c r="E89" s="32" t="str">
        <f>IFERROR(__xludf.DUMMYFUNCTION("IF('Résultats des tournois'!D$2=0,"""",LET(
lastVal, INDEX(FILTER($B89:D89, ISNUMBER($B89:D89)), COUNTA(FILTER($B89:D89, ISNUMBER($B89:D89)))),
IFERROR(
IF('Résultats des tournois'!D89="""", INDEX(FILTER($C89:D89, ISNUMBER($C89:D89)), COUNTA(FILTER($C89:D"&amp;"89, ISNUMBER($C89:D89)))),
lastVal + 'K dynamique'!D89 * ((SQRT('Résultats des tournois'!D$2 + 1)/'Résultats des tournois'!D89) - (1 / (1 + 10^((D$103 - lastVal)/400)))))
)
))"),"")</f>
        <v/>
      </c>
      <c r="F89" s="32" t="str">
        <f>IFERROR(__xludf.DUMMYFUNCTION("IF('Résultats des tournois'!E$2=0,"""",LET(
lastVal, INDEX(FILTER($B89:E89, ISNUMBER($B89:E89)), COUNTA(FILTER($B89:E89, ISNUMBER($B89:E89)))),
IFERROR(
IF('Résultats des tournois'!E89="""", INDEX(FILTER($C89:E89, ISNUMBER($C89:E89)), COUNTA(FILTER($C89:E"&amp;"89, ISNUMBER($C89:E89)))),
lastVal + 'K dynamique'!E89 * ((SQRT('Résultats des tournois'!E$2 + 1)/'Résultats des tournois'!E89) - (1 / (1 + 10^((E$103 - lastVal)/400)))))
)
))"),"")</f>
        <v/>
      </c>
      <c r="G89" s="32" t="str">
        <f>IFERROR(__xludf.DUMMYFUNCTION("IF('Résultats des tournois'!F$2=0,"""",LET(
lastVal, INDEX(FILTER($B89:F89, ISNUMBER($B89:F89)), COUNTA(FILTER($B89:F89, ISNUMBER($B89:F89)))),
IFERROR(
IF('Résultats des tournois'!F89="""", INDEX(FILTER($C89:F89, ISNUMBER($C89:F89)), COUNTA(FILTER($C89:F"&amp;"89, ISNUMBER($C89:F89)))),
lastVal + 'K dynamique'!F89 * ((SQRT('Résultats des tournois'!F$2 + 1)/'Résultats des tournois'!F89) - (1 / (1 + 10^((F$103 - lastVal)/400)))))
)
))"),"")</f>
        <v/>
      </c>
      <c r="H89" s="32" t="str">
        <f>IFERROR(__xludf.DUMMYFUNCTION("IF('Résultats des tournois'!G$2=0,"""",LET(
lastVal, INDEX(FILTER($B89:G89, ISNUMBER($B89:G89)), COUNTA(FILTER($B89:G89, ISNUMBER($B89:G89)))),
IFERROR(
IF('Résultats des tournois'!G89="""", INDEX(FILTER($C89:G89, ISNUMBER($C89:G89)), COUNTA(FILTER($C89:G"&amp;"89, ISNUMBER($C89:G89)))),
lastVal + 'K dynamique'!G89 * ((SQRT('Résultats des tournois'!G$2 + 1)/'Résultats des tournois'!G89) - (1 / (1 + 10^((G$103 - lastVal)/400)))))
)
))"),"")</f>
        <v/>
      </c>
      <c r="I89" s="32" t="str">
        <f>IFERROR(__xludf.DUMMYFUNCTION("IF('Résultats des tournois'!H$2=0,"""",LET(
lastVal, INDEX(FILTER($B89:H89, ISNUMBER($B89:H89)), COUNTA(FILTER($B89:H89, ISNUMBER($B89:H89)))),
IFERROR(
IF('Résultats des tournois'!H89="""", INDEX(FILTER($C89:H89, ISNUMBER($C89:H89)), COUNTA(FILTER($C89:H"&amp;"89, ISNUMBER($C89:H89)))),
lastVal + 'K dynamique'!H89 * ((SQRT('Résultats des tournois'!H$2 + 1)/'Résultats des tournois'!H89) - (1 / (1 + 10^((H$103 - lastVal)/400)))))
)
))"),"")</f>
        <v/>
      </c>
      <c r="J89" s="32" t="str">
        <f>IFERROR(__xludf.DUMMYFUNCTION("IF('Résultats des tournois'!I$2=0,"""",LET(
lastVal, INDEX(FILTER($B89:I89, ISNUMBER($B89:I89)), COUNTA(FILTER($B89:I89, ISNUMBER($B89:I89)))),
IFERROR(
IF('Résultats des tournois'!I89="""", INDEX(FILTER($C89:I89, ISNUMBER($C89:I89)), COUNTA(FILTER($C89:I"&amp;"89, ISNUMBER($C89:I89)))),
lastVal + 'K dynamique'!I89 * ((SQRT('Résultats des tournois'!I$2 + 1)/'Résultats des tournois'!I89) - (1 / (1 + 10^((I$103 - lastVal)/400)))))
)
))"),"")</f>
        <v/>
      </c>
      <c r="K89" s="32" t="str">
        <f>IFERROR(__xludf.DUMMYFUNCTION("IF('Résultats des tournois'!J$2=0,"""",LET(
lastVal, INDEX(FILTER($B89:J89, ISNUMBER($B89:J89)), COUNTA(FILTER($B89:J89, ISNUMBER($B89:J89)))),
IFERROR(
IF('Résultats des tournois'!J89="""", INDEX(FILTER($C89:J89, ISNUMBER($C89:J89)), COUNTA(FILTER($C89:J"&amp;"89, ISNUMBER($C89:J89)))),
lastVal + 'K dynamique'!J89 * ((SQRT('Résultats des tournois'!J$2 + 1)/'Résultats des tournois'!J89) - (1 / (1 + 10^((J$103 - lastVal)/400)))))
)
))"),"")</f>
        <v/>
      </c>
      <c r="L89" s="32" t="str">
        <f>IFERROR(__xludf.DUMMYFUNCTION("IF('Résultats des tournois'!K$2=0,"""",LET(
lastVal, INDEX(FILTER($B89:K89, ISNUMBER($B89:K89)), COUNTA(FILTER($B89:K89, ISNUMBER($B89:K89)))),
IFERROR(
IF('Résultats des tournois'!K89="""", INDEX(FILTER($C89:K89, ISNUMBER($C89:K89)), COUNTA(FILTER($C89:K"&amp;"89, ISNUMBER($C89:K89)))),
lastVal + 'K dynamique'!K89 * ((SQRT('Résultats des tournois'!K$2 + 1)/'Résultats des tournois'!K89) - (1 / (1 + 10^((K$103 - lastVal)/400)))))
)
))"),"")</f>
        <v/>
      </c>
      <c r="M89" s="32" t="str">
        <f>IFERROR(__xludf.DUMMYFUNCTION("IF('Résultats des tournois'!L$2=0,"""",LET(
lastVal, INDEX(FILTER($B89:L89, ISNUMBER($B89:L89)), COUNTA(FILTER($B89:L89, ISNUMBER($B89:L89)))),
IFERROR(
IF('Résultats des tournois'!L89="""", INDEX(FILTER($C89:L89, ISNUMBER($C89:L89)), COUNTA(FILTER($C89:L"&amp;"89, ISNUMBER($C89:L89)))),
lastVal + 'K dynamique'!L89 * ((SQRT('Résultats des tournois'!L$2 + 1)/'Résultats des tournois'!L89) - (1 / (1 + 10^((L$103 - lastVal)/400)))))
)
))"),"")</f>
        <v/>
      </c>
      <c r="N89" s="32" t="str">
        <f>IFERROR(__xludf.DUMMYFUNCTION("IF('Résultats des tournois'!M$2=0,"""",LET(
lastVal, INDEX(FILTER($B89:M89, ISNUMBER($B89:M89)), COUNTA(FILTER($B89:M89, ISNUMBER($B89:M89)))),
IFERROR(
IF('Résultats des tournois'!M89="""", INDEX(FILTER($C89:M89, ISNUMBER($C89:M89)), COUNTA(FILTER($C89:M"&amp;"89, ISNUMBER($C89:M89)))),
lastVal + 'K dynamique'!M89 * ((SQRT('Résultats des tournois'!M$2 + 1)/'Résultats des tournois'!M89) - (1 / (1 + 10^((M$103 - lastVal)/400)))))
)
))"),"")</f>
        <v/>
      </c>
      <c r="O89" s="32" t="str">
        <f>IFERROR(__xludf.DUMMYFUNCTION("IF('Résultats des tournois'!N$2=0,"""",LET(
lastVal, INDEX(FILTER($B89:N89, ISNUMBER($B89:N89)), COUNTA(FILTER($B89:N89, ISNUMBER($B89:N89)))),
IFERROR(
IF('Résultats des tournois'!N89="""", INDEX(FILTER($C89:N89, ISNUMBER($C89:N89)), COUNTA(FILTER($C89:N"&amp;"89, ISNUMBER($C89:N89)))),
lastVal + 'K dynamique'!N89 * ((SQRT('Résultats des tournois'!N$2 + 1)/'Résultats des tournois'!N89) - (1 / (1 + 10^((N$103 - lastVal)/400)))))
)
))"),"")</f>
        <v/>
      </c>
      <c r="P89" s="32" t="str">
        <f>IFERROR(__xludf.DUMMYFUNCTION("IF('Résultats des tournois'!O$2=0,"""",LET(
lastVal, INDEX(FILTER($B89:O89, ISNUMBER($B89:O89)), COUNTA(FILTER($B89:O89, ISNUMBER($B89:O89)))),
IFERROR(
IF('Résultats des tournois'!O89="""", INDEX(FILTER($C89:O89, ISNUMBER($C89:O89)), COUNTA(FILTER($C89:O"&amp;"89, ISNUMBER($C89:O89)))),
lastVal + 'K dynamique'!O89 * ((SQRT('Résultats des tournois'!O$2 + 1)/'Résultats des tournois'!O89) - (1 / (1 + 10^((O$103 - lastVal)/400)))))
)
))"),"")</f>
        <v/>
      </c>
      <c r="Q89" s="32" t="str">
        <f>IFERROR(__xludf.DUMMYFUNCTION("IF('Résultats des tournois'!P$2=0,"""",LET(
lastVal, INDEX(FILTER($B89:P89, ISNUMBER($B89:P89)), COUNTA(FILTER($B89:P89, ISNUMBER($B89:P89)))),
IFERROR(
IF('Résultats des tournois'!P89="""", INDEX(FILTER($C89:P89, ISNUMBER($C89:P89)), COUNTA(FILTER($C89:P"&amp;"89, ISNUMBER($C89:P89)))),
lastVal + 'K dynamique'!P89 * ((SQRT('Résultats des tournois'!P$2 + 1)/'Résultats des tournois'!P89) - (1 / (1 + 10^((P$103 - lastVal)/400)))))
)
))"),"")</f>
        <v/>
      </c>
      <c r="R89" s="32" t="str">
        <f>IFERROR(__xludf.DUMMYFUNCTION("IF('Résultats des tournois'!Q$2=0,"""",LET(
lastVal, INDEX(FILTER($B89:Q89, ISNUMBER($B89:Q89)), COUNTA(FILTER($B89:Q89, ISNUMBER($B89:Q89)))),
IFERROR(
IF('Résultats des tournois'!Q89="""", INDEX(FILTER($C89:Q89, ISNUMBER($C89:Q89)), COUNTA(FILTER($C89:Q"&amp;"89, ISNUMBER($C89:Q89)))),
lastVal + 'K dynamique'!Q89 * ((SQRT('Résultats des tournois'!Q$2 + 1)/'Résultats des tournois'!Q89) - (1 / (1 + 10^((Q$103 - lastVal)/400)))))
)
))"),"")</f>
        <v/>
      </c>
      <c r="S89" s="32" t="str">
        <f>IFERROR(__xludf.DUMMYFUNCTION("IF('Résultats des tournois'!R$2=0,"""",LET(
lastVal, INDEX(FILTER($B89:R89, ISNUMBER($B89:R89)), COUNTA(FILTER($B89:R89, ISNUMBER($B89:R89)))),
IFERROR(
IF('Résultats des tournois'!R89="""", INDEX(FILTER($C89:R89, ISNUMBER($C89:R89)), COUNTA(FILTER($C89:R"&amp;"89, ISNUMBER($C89:R89)))),
lastVal + 'K dynamique'!R89 * ((SQRT('Résultats des tournois'!R$2 + 1)/'Résultats des tournois'!R89) - (1 / (1 + 10^((R$103 - lastVal)/400)))))
)
))"),"")</f>
        <v/>
      </c>
      <c r="T89" s="32" t="str">
        <f>IFERROR(__xludf.DUMMYFUNCTION("IF('Résultats des tournois'!S$2=0,"""",LET(
lastVal, INDEX(FILTER($B89:S89, ISNUMBER($B89:S89)), COUNTA(FILTER($B89:S89, ISNUMBER($B89:S89)))),
IFERROR(
IF('Résultats des tournois'!S89="""", INDEX(FILTER($C89:S89, ISNUMBER($C89:S89)), COUNTA(FILTER($C89:S"&amp;"89, ISNUMBER($C89:S89)))),
lastVal + 'K dynamique'!S89 * ((SQRT('Résultats des tournois'!S$2 + 1)/'Résultats des tournois'!S89) - (1 / (1 + 10^((S$103 - lastVal)/400)))))
)
))"),"")</f>
        <v/>
      </c>
      <c r="U89" s="32" t="str">
        <f>IFERROR(__xludf.DUMMYFUNCTION("IF('Résultats des tournois'!T$2=0,"""",LET(
lastVal, INDEX(FILTER($B89:T89, ISNUMBER($B89:T89)), COUNTA(FILTER($B89:T89, ISNUMBER($B89:T89)))),
IFERROR(
IF('Résultats des tournois'!T89="""", INDEX(FILTER($C89:T89, ISNUMBER($C89:T89)), COUNTA(FILTER($C89:T"&amp;"89, ISNUMBER($C89:T89)))),
lastVal + 'K dynamique'!T89 * ((SQRT('Résultats des tournois'!T$2 + 1)/'Résultats des tournois'!T89) - (1 / (1 + 10^((T$103 - lastVal)/400)))))
)
))"),"")</f>
        <v/>
      </c>
      <c r="V89" s="32" t="str">
        <f>IFERROR(__xludf.DUMMYFUNCTION("IF('Résultats des tournois'!U$2=0,"""",LET(
lastVal, INDEX(FILTER($B89:U89, ISNUMBER($B89:U89)), COUNTA(FILTER($B89:U89, ISNUMBER($B89:U89)))),
IFERROR(
IF('Résultats des tournois'!U89="""", INDEX(FILTER($C89:U89, ISNUMBER($C89:U89)), COUNTA(FILTER($C89:U"&amp;"89, ISNUMBER($C89:U89)))),
lastVal + 'K dynamique'!U89 * ((SQRT('Résultats des tournois'!U$2 + 1)/'Résultats des tournois'!U89) - (1 / (1 + 10^((U$103 - lastVal)/400)))))
)
))"),"")</f>
        <v/>
      </c>
      <c r="W89" s="32" t="str">
        <f>IFERROR(__xludf.DUMMYFUNCTION("IF('Résultats des tournois'!V$2=0,"""",LET(
lastVal, INDEX(FILTER($B89:V89, ISNUMBER($B89:V89)), COUNTA(FILTER($B89:V89, ISNUMBER($B89:V89)))),
IFERROR(
IF('Résultats des tournois'!V89="""", INDEX(FILTER($C89:V89, ISNUMBER($C89:V89)), COUNTA(FILTER($C89:V"&amp;"89, ISNUMBER($C89:V89)))),
lastVal + 'K dynamique'!V89 * ((SQRT('Résultats des tournois'!V$2 + 1)/'Résultats des tournois'!V89) - (1 / (1 + 10^((V$103 - lastVal)/400)))))
)
))"),"")</f>
        <v/>
      </c>
      <c r="X89" s="32" t="str">
        <f>IFERROR(__xludf.DUMMYFUNCTION("IF('Résultats des tournois'!W$2=0,"""",LET(
lastVal, INDEX(FILTER($B89:W89, ISNUMBER($B89:W89)), COUNTA(FILTER($B89:W89, ISNUMBER($B89:W89)))),
IFERROR(
IF('Résultats des tournois'!W89="""", INDEX(FILTER($C89:W89, ISNUMBER($C89:W89)), COUNTA(FILTER($C89:W"&amp;"89, ISNUMBER($C89:W89)))),
lastVal + 'K dynamique'!W89 * ((SQRT('Résultats des tournois'!W$2 + 1)/'Résultats des tournois'!W89) - (1 / (1 + 10^((W$103 - lastVal)/400)))))
)
))"),"")</f>
        <v/>
      </c>
      <c r="Y89" s="32" t="str">
        <f>IFERROR(__xludf.DUMMYFUNCTION("IF('Résultats des tournois'!X$2=0,"""",LET(
lastVal, INDEX(FILTER($B89:X89, ISNUMBER($B89:X89)), COUNTA(FILTER($B89:X89, ISNUMBER($B89:X89)))),
IFERROR(
IF('Résultats des tournois'!X89="""", INDEX(FILTER($C89:X89, ISNUMBER($C89:X89)), COUNTA(FILTER($C89:X"&amp;"89, ISNUMBER($C89:X89)))),
lastVal + 'K dynamique'!X89 * ((SQRT('Résultats des tournois'!X$2 + 1)/'Résultats des tournois'!X89) - (1 / (1 + 10^((X$103 - lastVal)/400)))))
)
))"),"")</f>
        <v/>
      </c>
      <c r="Z89" s="32" t="str">
        <f>IFERROR(__xludf.DUMMYFUNCTION("IF('Résultats des tournois'!Y$2=0,"""",LET(
lastVal, INDEX(FILTER($B89:Y89, ISNUMBER($B89:Y89)), COUNTA(FILTER($B89:Y89, ISNUMBER($B89:Y89)))),
IFERROR(
IF('Résultats des tournois'!Y89="""", INDEX(FILTER($C89:Y89, ISNUMBER($C89:Y89)), COUNTA(FILTER($C89:Y"&amp;"89, ISNUMBER($C89:Y89)))),
lastVal + 'K dynamique'!Y89 * ((SQRT('Résultats des tournois'!Y$2 + 1)/'Résultats des tournois'!Y89) - (1 / (1 + 10^((Y$103 - lastVal)/400)))))
)
))"),"")</f>
        <v/>
      </c>
      <c r="AA89" s="32" t="str">
        <f>IFERROR(__xludf.DUMMYFUNCTION("IF('Résultats des tournois'!Z$2=0,"""",LET(
lastVal, INDEX(FILTER($B89:Z89, ISNUMBER($B89:Z89)), COUNTA(FILTER($B89:Z89, ISNUMBER($B89:Z89)))),
IFERROR(
IF('Résultats des tournois'!Z89="""", INDEX(FILTER($C89:Z89, ISNUMBER($C89:Z89)), COUNTA(FILTER($C89:Z"&amp;"89, ISNUMBER($C89:Z89)))),
lastVal + 'K dynamique'!Z89 * ((SQRT('Résultats des tournois'!Z$2 + 1)/'Résultats des tournois'!Z89) - (1 / (1 + 10^((Z$103 - lastVal)/400)))))
)
))"),"")</f>
        <v/>
      </c>
      <c r="AB89" s="32" t="str">
        <f>IFERROR(__xludf.DUMMYFUNCTION("IF('Résultats des tournois'!AA$2=0,"""",LET(
lastVal, INDEX(FILTER($B89:AA89, ISNUMBER($B89:AA89)), COUNTA(FILTER($B89:AA89, ISNUMBER($B89:AA89)))),
IFERROR(
IF('Résultats des tournois'!AA89="""", INDEX(FILTER($C89:AA89, ISNUMBER($C89:AA89)), COUNTA(FILTE"&amp;"R($C89:AA89, ISNUMBER($C89:AA89)))),
lastVal + 'K dynamique'!AA89 * ((SQRT('Résultats des tournois'!AA$2 + 1)/'Résultats des tournois'!AA89) - (1 / (1 + 10^((AA$103 - lastVal)/400)))))
)
))"),"")</f>
        <v/>
      </c>
      <c r="AC89" s="32" t="str">
        <f>IFERROR(__xludf.DUMMYFUNCTION("IF('Résultats des tournois'!AB$2=0,"""",LET(
lastVal, INDEX(FILTER($B89:AB89, ISNUMBER($B89:AB89)), COUNTA(FILTER($B89:AB89, ISNUMBER($B89:AB89)))),
IFERROR(
IF('Résultats des tournois'!AB89="""", INDEX(FILTER($C89:AB89, ISNUMBER($C89:AB89)), COUNTA(FILTE"&amp;"R($C89:AB89, ISNUMBER($C89:AB89)))),
lastVal + 'K dynamique'!AB89 * ((SQRT('Résultats des tournois'!AB$2 + 1)/'Résultats des tournois'!AB89) - (1 / (1 + 10^((AB$103 - lastVal)/400)))))
)
))"),"")</f>
        <v/>
      </c>
      <c r="AD89" s="32" t="str">
        <f>IFERROR(__xludf.DUMMYFUNCTION("IF('Résultats des tournois'!AC$2=0,"""",LET(
lastVal, INDEX(FILTER($B89:AC89, ISNUMBER($B89:AC89)), COUNTA(FILTER($B89:AC89, ISNUMBER($B89:AC89)))),
IFERROR(
IF('Résultats des tournois'!AC89="""", INDEX(FILTER($C89:AC89, ISNUMBER($C89:AC89)), COUNTA(FILTE"&amp;"R($C89:AC89, ISNUMBER($C89:AC89)))),
lastVal + 'K dynamique'!AC89 * ((SQRT('Résultats des tournois'!AC$2 + 1)/'Résultats des tournois'!AC89) - (1 / (1 + 10^((AC$103 - lastVal)/400)))))
)
))"),"")</f>
        <v/>
      </c>
      <c r="AE89" s="32" t="str">
        <f>IFERROR(__xludf.DUMMYFUNCTION("IF('Résultats des tournois'!AD$2=0,"""",LET(
lastVal, INDEX(FILTER($B89:AD89, ISNUMBER($B89:AD89)), COUNTA(FILTER($B89:AD89, ISNUMBER($B89:AD89)))),
IFERROR(
IF('Résultats des tournois'!AD89="""", INDEX(FILTER($C89:AD89, ISNUMBER($C89:AD89)), COUNTA(FILTE"&amp;"R($C89:AD89, ISNUMBER($C89:AD89)))),
lastVal + 'K dynamique'!AD89 * ((SQRT('Résultats des tournois'!AD$2 + 1)/'Résultats des tournois'!AD89) - (1 / (1 + 10^((AD$103 - lastVal)/400)))))
)
))"),"")</f>
        <v/>
      </c>
      <c r="AF89" s="32" t="str">
        <f>IFERROR(__xludf.DUMMYFUNCTION("IF('Résultats des tournois'!AE$2=0,"""",LET(
lastVal, INDEX(FILTER($B89:AE89, ISNUMBER($B89:AE89)), COUNTA(FILTER($B89:AE89, ISNUMBER($B89:AE89)))),
IFERROR(
IF('Résultats des tournois'!AE89="""", INDEX(FILTER($C89:AE89, ISNUMBER($C89:AE89)), COUNTA(FILTE"&amp;"R($C89:AE89, ISNUMBER($C89:AE89)))),
lastVal + 'K dynamique'!AE89 * ((SQRT('Résultats des tournois'!AE$2 + 1)/'Résultats des tournois'!AE89) - (1 / (1 + 10^((AE$103 - lastVal)/400)))))
)
))"),"")</f>
        <v/>
      </c>
      <c r="AG89" s="32" t="str">
        <f>IFERROR(__xludf.DUMMYFUNCTION("IF('Résultats des tournois'!AF$2=0,"""",LET(
lastVal, INDEX(FILTER($B89:AF89, ISNUMBER($B89:AF89)), COUNTA(FILTER($B89:AF89, ISNUMBER($B89:AF89)))),
IFERROR(
IF('Résultats des tournois'!AF89="""", INDEX(FILTER($C89:AF89, ISNUMBER($C89:AF89)), COUNTA(FILTE"&amp;"R($C89:AF89, ISNUMBER($C89:AF89)))),
lastVal + 'K dynamique'!AF89 * ((SQRT('Résultats des tournois'!AF$2 + 1)/'Résultats des tournois'!AF89) - (1 / (1 + 10^((AF$103 - lastVal)/400)))))
)
))"),"")</f>
        <v/>
      </c>
      <c r="AH89" s="32" t="str">
        <f>IFERROR(__xludf.DUMMYFUNCTION("IF('Résultats des tournois'!AG$2=0,"""",LET(
lastVal, INDEX(FILTER($B89:AG89, ISNUMBER($B89:AG89)), COUNTA(FILTER($B89:AG89, ISNUMBER($B89:AG89)))),
IFERROR(
IF('Résultats des tournois'!AG89="""", INDEX(FILTER($C89:AG89, ISNUMBER($C89:AG89)), COUNTA(FILTE"&amp;"R($C89:AG89, ISNUMBER($C89:AG89)))),
lastVal + 'K dynamique'!AG89 * ((SQRT('Résultats des tournois'!AG$2 + 1)/'Résultats des tournois'!AG89) - (1 / (1 + 10^((AG$103 - lastVal)/400)))))
)
))"),"")</f>
        <v/>
      </c>
      <c r="AI89" s="32" t="str">
        <f>IFERROR(__xludf.DUMMYFUNCTION("IF('Résultats des tournois'!AH$2=0,"""",LET(
lastVal, INDEX(FILTER($B89:AH89, ISNUMBER($B89:AH89)), COUNTA(FILTER($B89:AH89, ISNUMBER($B89:AH89)))),
IFERROR(
IF('Résultats des tournois'!AH89="""", INDEX(FILTER($C89:AH89, ISNUMBER($C89:AH89)), COUNTA(FILTE"&amp;"R($C89:AH89, ISNUMBER($C89:AH89)))),
lastVal + 'K dynamique'!AH89 * ((SQRT('Résultats des tournois'!AH$2 + 1)/'Résultats des tournois'!AH89) - (1 / (1 + 10^((AH$103 - lastVal)/400)))))
)
))"),"")</f>
        <v/>
      </c>
      <c r="AJ89" s="32" t="str">
        <f>IFERROR(__xludf.DUMMYFUNCTION("IF('Résultats des tournois'!AI$2=0,"""",LET(
lastVal, INDEX(FILTER($B89:AI89, ISNUMBER($B89:AI89)), COUNTA(FILTER($B89:AI89, ISNUMBER($B89:AI89)))),
IFERROR(
IF('Résultats des tournois'!AI89="""", INDEX(FILTER($C89:AI89, ISNUMBER($C89:AI89)), COUNTA(FILTE"&amp;"R($C89:AI89, ISNUMBER($C89:AI89)))),
lastVal + 'K dynamique'!AI89 * ((SQRT('Résultats des tournois'!AI$2 + 1)/'Résultats des tournois'!AI89) - (1 / (1 + 10^((AI$103 - lastVal)/400)))))
)
))"),"")</f>
        <v/>
      </c>
      <c r="AK89" s="32" t="str">
        <f>IFERROR(__xludf.DUMMYFUNCTION("IF('Résultats des tournois'!AJ$2=0,"""",LET(
lastVal, INDEX(FILTER($B89:AJ89, ISNUMBER($B89:AJ89)), COUNTA(FILTER($B89:AJ89, ISNUMBER($B89:AJ89)))),
IFERROR(
IF('Résultats des tournois'!AJ89="""", INDEX(FILTER($C89:AJ89, ISNUMBER($C89:AJ89)), COUNTA(FILTE"&amp;"R($C89:AJ89, ISNUMBER($C89:AJ89)))),
lastVal + 'K dynamique'!AJ89 * ((SQRT('Résultats des tournois'!AJ$2 + 1)/'Résultats des tournois'!AJ89) - (1 / (1 + 10^((AJ$103 - lastVal)/400)))))
)
))"),"")</f>
        <v/>
      </c>
      <c r="AL89" s="32" t="str">
        <f>IFERROR(__xludf.DUMMYFUNCTION("IF('Résultats des tournois'!AK$2=0,"""",LET(
lastVal, INDEX(FILTER($B89:AK89, ISNUMBER($B89:AK89)), COUNTA(FILTER($B89:AK89, ISNUMBER($B89:AK89)))),
IFERROR(
IF('Résultats des tournois'!AK89="""", INDEX(FILTER($C89:AK89, ISNUMBER($C89:AK89)), COUNTA(FILTE"&amp;"R($C89:AK89, ISNUMBER($C89:AK89)))),
lastVal + 'K dynamique'!AK89 * ((SQRT('Résultats des tournois'!AK$2 + 1)/'Résultats des tournois'!AK89) - (1 / (1 + 10^((AK$103 - lastVal)/400)))))
)
))"),"")</f>
        <v/>
      </c>
      <c r="AM89" s="32" t="str">
        <f>IFERROR(__xludf.DUMMYFUNCTION("IF('Résultats des tournois'!AL$2=0,"""",LET(
lastVal, INDEX(FILTER($B89:AL89, ISNUMBER($B89:AL89)), COUNTA(FILTER($B89:AL89, ISNUMBER($B89:AL89)))),
IFERROR(
IF('Résultats des tournois'!AL89="""", INDEX(FILTER($C89:AL89, ISNUMBER($C89:AL89)), COUNTA(FILTE"&amp;"R($C89:AL89, ISNUMBER($C89:AL89)))),
lastVal + 'K dynamique'!AL89 * ((SQRT('Résultats des tournois'!AL$2 + 1)/'Résultats des tournois'!AL89) - (1 / (1 + 10^((AL$103 - lastVal)/400)))))
)
))"),"")</f>
        <v/>
      </c>
      <c r="AN89" s="32" t="str">
        <f>IFERROR(__xludf.DUMMYFUNCTION("IF('Résultats des tournois'!AM$2=0,"""",LET(
lastVal, INDEX(FILTER($B89:AM89, ISNUMBER($B89:AM89)), COUNTA(FILTER($B89:AM89, ISNUMBER($B89:AM89)))),
IFERROR(
IF('Résultats des tournois'!AM89="""", INDEX(FILTER($C89:AM89, ISNUMBER($C89:AM89)), COUNTA(FILTE"&amp;"R($C89:AM89, ISNUMBER($C89:AM89)))),
lastVal + 'K dynamique'!AM89 * ((SQRT('Résultats des tournois'!AM$2 + 1)/'Résultats des tournois'!AM89) - (1 / (1 + 10^((AM$103 - lastVal)/400)))))
)
))"),"")</f>
        <v/>
      </c>
      <c r="AO89" s="32" t="str">
        <f>IFERROR(__xludf.DUMMYFUNCTION("IF('Résultats des tournois'!AN$2=0,"""",LET(
lastVal, INDEX(FILTER($B89:AN89, ISNUMBER($B89:AN89)), COUNTA(FILTER($B89:AN89, ISNUMBER($B89:AN89)))),
IFERROR(
IF('Résultats des tournois'!AN89="""", INDEX(FILTER($C89:AN89, ISNUMBER($C89:AN89)), COUNTA(FILTE"&amp;"R($C89:AN89, ISNUMBER($C89:AN89)))),
lastVal + 'K dynamique'!AN89 * ((SQRT('Résultats des tournois'!AN$2 + 1)/'Résultats des tournois'!AN89) - (1 / (1 + 10^((AN$103 - lastVal)/400)))))
)
))"),"")</f>
        <v/>
      </c>
      <c r="AP89" s="32" t="str">
        <f>IFERROR(__xludf.DUMMYFUNCTION("IF('Résultats des tournois'!AO$2=0,"""",LET(
lastVal, INDEX(FILTER($B89:AO89, ISNUMBER($B89:AO89)), COUNTA(FILTER($B89:AO89, ISNUMBER($B89:AO89)))),
IFERROR(
IF('Résultats des tournois'!AO89="""", INDEX(FILTER($C89:AO89, ISNUMBER($C89:AO89)), COUNTA(FILTE"&amp;"R($C89:AO89, ISNUMBER($C89:AO89)))),
lastVal + 'K dynamique'!AO89 * ((SQRT('Résultats des tournois'!AO$2 + 1)/'Résultats des tournois'!AO89) - (1 / (1 + 10^((AO$103 - lastVal)/400)))))
)
))"),"")</f>
        <v/>
      </c>
      <c r="AQ89" s="32" t="str">
        <f>IFERROR(__xludf.DUMMYFUNCTION("IF('Résultats des tournois'!AP$2=0,"""",LET(
lastVal, INDEX(FILTER($B89:AP89, ISNUMBER($B89:AP89)), COUNTA(FILTER($B89:AP89, ISNUMBER($B89:AP89)))),
IFERROR(
IF('Résultats des tournois'!AP89="""", INDEX(FILTER($C89:AP89, ISNUMBER($C89:AP89)), COUNTA(FILTE"&amp;"R($C89:AP89, ISNUMBER($C89:AP89)))),
lastVal + 'K dynamique'!AP89 * ((SQRT('Résultats des tournois'!AP$2 + 1)/'Résultats des tournois'!AP89) - (1 / (1 + 10^((AP$103 - lastVal)/400)))))
)
))"),"")</f>
        <v/>
      </c>
      <c r="AR89" s="32" t="str">
        <f>IFERROR(__xludf.DUMMYFUNCTION("IF('Résultats des tournois'!AQ$2=0,"""",LET(
lastVal, INDEX(FILTER($B89:AQ89, ISNUMBER($B89:AQ89)), COUNTA(FILTER($B89:AQ89, ISNUMBER($B89:AQ89)))),
IFERROR(
IF('Résultats des tournois'!AQ89="""", INDEX(FILTER($C89:AQ89, ISNUMBER($C89:AQ89)), COUNTA(FILTE"&amp;"R($C89:AQ89, ISNUMBER($C89:AQ89)))),
lastVal + 'K dynamique'!AQ89 * ((SQRT('Résultats des tournois'!AQ$2 + 1)/'Résultats des tournois'!AQ89) - (1 / (1 + 10^((AQ$103 - lastVal)/400)))))
)
))"),"")</f>
        <v/>
      </c>
      <c r="AS89" s="32" t="str">
        <f>IFERROR(__xludf.DUMMYFUNCTION("IF('Résultats des tournois'!AR$2=0,"""",LET(
lastVal, INDEX(FILTER($B89:AR89, ISNUMBER($B89:AR89)), COUNTA(FILTER($B89:AR89, ISNUMBER($B89:AR89)))),
IFERROR(
IF('Résultats des tournois'!AR89="""", INDEX(FILTER($C89:AR89, ISNUMBER($C89:AR89)), COUNTA(FILTE"&amp;"R($C89:AR89, ISNUMBER($C89:AR89)))),
lastVal + 'K dynamique'!AR89 * ((SQRT('Résultats des tournois'!AR$2 + 1)/'Résultats des tournois'!AR89) - (1 / (1 + 10^((AR$103 - lastVal)/400)))))
)
))"),"")</f>
        <v/>
      </c>
      <c r="AT89" s="32" t="str">
        <f>IFERROR(__xludf.DUMMYFUNCTION("IF('Résultats des tournois'!AS$2=0,"""",LET(
lastVal, INDEX(FILTER($B89:AS89, ISNUMBER($B89:AS89)), COUNTA(FILTER($B89:AS89, ISNUMBER($B89:AS89)))),
IFERROR(
IF('Résultats des tournois'!AS89="""", INDEX(FILTER($C89:AS89, ISNUMBER($C89:AS89)), COUNTA(FILTE"&amp;"R($C89:AS89, ISNUMBER($C89:AS89)))),
lastVal + 'K dynamique'!AS89 * ((SQRT('Résultats des tournois'!AS$2 + 1)/'Résultats des tournois'!AS89) - (1 / (1 + 10^((AS$103 - lastVal)/400)))))
)
))"),"")</f>
        <v/>
      </c>
      <c r="AU89" s="32" t="str">
        <f>IFERROR(__xludf.DUMMYFUNCTION("IF('Résultats des tournois'!AT$2=0,"""",LET(
lastVal, INDEX(FILTER($B89:AT89, ISNUMBER($B89:AT89)), COUNTA(FILTER($B89:AT89, ISNUMBER($B89:AT89)))),
IFERROR(
IF('Résultats des tournois'!AT89="""", INDEX(FILTER($C89:AT89, ISNUMBER($C89:AT89)), COUNTA(FILTE"&amp;"R($C89:AT89, ISNUMBER($C89:AT89)))),
lastVal + 'K dynamique'!AT89 * ((SQRT('Résultats des tournois'!AT$2 + 1)/'Résultats des tournois'!AT89) - (1 / (1 + 10^((AT$103 - lastVal)/400)))))
)
))"),"")</f>
        <v/>
      </c>
      <c r="AV89" s="32" t="str">
        <f>IFERROR(__xludf.DUMMYFUNCTION("IF('Résultats des tournois'!AU$2=0,"""",LET(
lastVal, INDEX(FILTER($B89:AU89, ISNUMBER($B89:AU89)), COUNTA(FILTER($B89:AU89, ISNUMBER($B89:AU89)))),
IFERROR(
IF('Résultats des tournois'!AU89="""", INDEX(FILTER($C89:AU89, ISNUMBER($C89:AU89)), COUNTA(FILTE"&amp;"R($C89:AU89, ISNUMBER($C89:AU89)))),
lastVal + 'K dynamique'!AU89 * ((SQRT('Résultats des tournois'!AU$2 + 1)/'Résultats des tournois'!AU89) - (1 / (1 + 10^((AU$103 - lastVal)/400)))))
)
))"),"")</f>
        <v/>
      </c>
      <c r="AW89" s="32" t="str">
        <f>IFERROR(__xludf.DUMMYFUNCTION("IF('Résultats des tournois'!AV$2=0,"""",LET(
lastVal, INDEX(FILTER($B89:AV89, ISNUMBER($B89:AV89)), COUNTA(FILTER($B89:AV89, ISNUMBER($B89:AV89)))),
IFERROR(
IF('Résultats des tournois'!AV89="""", INDEX(FILTER($C89:AV89, ISNUMBER($C89:AV89)), COUNTA(FILTE"&amp;"R($C89:AV89, ISNUMBER($C89:AV89)))),
lastVal + 'K dynamique'!AV89 * ((SQRT('Résultats des tournois'!AV$2 + 1)/'Résultats des tournois'!AV89) - (1 / (1 + 10^((AV$103 - lastVal)/400)))))
)
))"),"")</f>
        <v/>
      </c>
      <c r="AX89" s="32" t="str">
        <f>IFERROR(__xludf.DUMMYFUNCTION("IF('Résultats des tournois'!AW$2=0,"""",LET(
lastVal, INDEX(FILTER($B89:AW89, ISNUMBER($B89:AW89)), COUNTA(FILTER($B89:AW89, ISNUMBER($B89:AW89)))),
IFERROR(
IF('Résultats des tournois'!AW89="""", INDEX(FILTER($C89:AW89, ISNUMBER($C89:AW89)), COUNTA(FILTE"&amp;"R($C89:AW89, ISNUMBER($C89:AW89)))),
lastVal + 'K dynamique'!AW89 * ((SQRT('Résultats des tournois'!AW$2 + 1)/'Résultats des tournois'!AW89) - (1 / (1 + 10^((AW$103 - lastVal)/400)))))
)
))"),"")</f>
        <v/>
      </c>
      <c r="AY89" s="32" t="str">
        <f>IFERROR(__xludf.DUMMYFUNCTION("IF('Résultats des tournois'!AX$2=0,"""",LET(
lastVal, INDEX(FILTER($B89:AX89, ISNUMBER($B89:AX89)), COUNTA(FILTER($B89:AX89, ISNUMBER($B89:AX89)))),
IFERROR(
IF('Résultats des tournois'!AX89="""", INDEX(FILTER($C89:AX89, ISNUMBER($C89:AX89)), COUNTA(FILTE"&amp;"R($C89:AX89, ISNUMBER($C89:AX89)))),
lastVal + 'K dynamique'!AX89 * ((SQRT('Résultats des tournois'!AX$2 + 1)/'Résultats des tournois'!AX89) - (1 / (1 + 10^((AX$103 - lastVal)/400)))))
)
))"),"")</f>
        <v/>
      </c>
      <c r="AZ89" s="4" t="str">
        <f t="array" ref="AZ89">IF(MAX(($C89:AY89&lt;&gt;"")*COLUMN($C89:AY89))=0,"",INDEX($C89:AY89,1,MAX(($C89:AY89&lt;&gt;"")*COLUMN($C89:AY89))-COLUMN($C89)+1))</f>
        <v/>
      </c>
      <c r="BA89" s="33" t="str">
        <f t="shared" si="1"/>
        <v/>
      </c>
    </row>
    <row r="90" ht="14.25" customHeight="1">
      <c r="A90" s="32" t="str">
        <f>IF('Résultats des tournois'!A90="","",'Résultats des tournois'!A90)</f>
        <v/>
      </c>
      <c r="B90" s="32">
        <v>1500.0</v>
      </c>
      <c r="C90" s="32" t="str">
        <f>IF('Résultats des tournois'!B90="","",B90+'K dynamique'!B90*((SQRT('Résultats des tournois'!B$2+1)/'Résultats des tournois'!B90)-(1/(1+10^((B90-B90)/400)))))</f>
        <v/>
      </c>
      <c r="D90" s="32" t="str">
        <f>IFERROR(__xludf.DUMMYFUNCTION("IF('Résultats des tournois'!C$2=0,"""",LET(
lastVal, INDEX(FILTER($B90:C90, ISNUMBER($B90:C90)), COUNTA(FILTER($B90:C90, ISNUMBER($B90:C90)))),
IFERROR(
IF('Résultats des tournois'!C90="""", INDEX(FILTER($C90:C90, ISNUMBER($C90:C90)), COUNTA(FILTER($C90:C"&amp;"90, ISNUMBER($C90:C90)))),
lastVal + 'K dynamique'!C90 * ((SQRT('Résultats des tournois'!C$2 + 1)/'Résultats des tournois'!C90) - (1 / (1 + 10^((C$103 - lastVal)/400)))))
)
))"),"")</f>
        <v/>
      </c>
      <c r="E90" s="32" t="str">
        <f>IFERROR(__xludf.DUMMYFUNCTION("IF('Résultats des tournois'!D$2=0,"""",LET(
lastVal, INDEX(FILTER($B90:D90, ISNUMBER($B90:D90)), COUNTA(FILTER($B90:D90, ISNUMBER($B90:D90)))),
IFERROR(
IF('Résultats des tournois'!D90="""", INDEX(FILTER($C90:D90, ISNUMBER($C90:D90)), COUNTA(FILTER($C90:D"&amp;"90, ISNUMBER($C90:D90)))),
lastVal + 'K dynamique'!D90 * ((SQRT('Résultats des tournois'!D$2 + 1)/'Résultats des tournois'!D90) - (1 / (1 + 10^((D$103 - lastVal)/400)))))
)
))"),"")</f>
        <v/>
      </c>
      <c r="F90" s="32" t="str">
        <f>IFERROR(__xludf.DUMMYFUNCTION("IF('Résultats des tournois'!E$2=0,"""",LET(
lastVal, INDEX(FILTER($B90:E90, ISNUMBER($B90:E90)), COUNTA(FILTER($B90:E90, ISNUMBER($B90:E90)))),
IFERROR(
IF('Résultats des tournois'!E90="""", INDEX(FILTER($C90:E90, ISNUMBER($C90:E90)), COUNTA(FILTER($C90:E"&amp;"90, ISNUMBER($C90:E90)))),
lastVal + 'K dynamique'!E90 * ((SQRT('Résultats des tournois'!E$2 + 1)/'Résultats des tournois'!E90) - (1 / (1 + 10^((E$103 - lastVal)/400)))))
)
))"),"")</f>
        <v/>
      </c>
      <c r="G90" s="32" t="str">
        <f>IFERROR(__xludf.DUMMYFUNCTION("IF('Résultats des tournois'!F$2=0,"""",LET(
lastVal, INDEX(FILTER($B90:F90, ISNUMBER($B90:F90)), COUNTA(FILTER($B90:F90, ISNUMBER($B90:F90)))),
IFERROR(
IF('Résultats des tournois'!F90="""", INDEX(FILTER($C90:F90, ISNUMBER($C90:F90)), COUNTA(FILTER($C90:F"&amp;"90, ISNUMBER($C90:F90)))),
lastVal + 'K dynamique'!F90 * ((SQRT('Résultats des tournois'!F$2 + 1)/'Résultats des tournois'!F90) - (1 / (1 + 10^((F$103 - lastVal)/400)))))
)
))"),"")</f>
        <v/>
      </c>
      <c r="H90" s="32" t="str">
        <f>IFERROR(__xludf.DUMMYFUNCTION("IF('Résultats des tournois'!G$2=0,"""",LET(
lastVal, INDEX(FILTER($B90:G90, ISNUMBER($B90:G90)), COUNTA(FILTER($B90:G90, ISNUMBER($B90:G90)))),
IFERROR(
IF('Résultats des tournois'!G90="""", INDEX(FILTER($C90:G90, ISNUMBER($C90:G90)), COUNTA(FILTER($C90:G"&amp;"90, ISNUMBER($C90:G90)))),
lastVal + 'K dynamique'!G90 * ((SQRT('Résultats des tournois'!G$2 + 1)/'Résultats des tournois'!G90) - (1 / (1 + 10^((G$103 - lastVal)/400)))))
)
))"),"")</f>
        <v/>
      </c>
      <c r="I90" s="32" t="str">
        <f>IFERROR(__xludf.DUMMYFUNCTION("IF('Résultats des tournois'!H$2=0,"""",LET(
lastVal, INDEX(FILTER($B90:H90, ISNUMBER($B90:H90)), COUNTA(FILTER($B90:H90, ISNUMBER($B90:H90)))),
IFERROR(
IF('Résultats des tournois'!H90="""", INDEX(FILTER($C90:H90, ISNUMBER($C90:H90)), COUNTA(FILTER($C90:H"&amp;"90, ISNUMBER($C90:H90)))),
lastVal + 'K dynamique'!H90 * ((SQRT('Résultats des tournois'!H$2 + 1)/'Résultats des tournois'!H90) - (1 / (1 + 10^((H$103 - lastVal)/400)))))
)
))"),"")</f>
        <v/>
      </c>
      <c r="J90" s="32" t="str">
        <f>IFERROR(__xludf.DUMMYFUNCTION("IF('Résultats des tournois'!I$2=0,"""",LET(
lastVal, INDEX(FILTER($B90:I90, ISNUMBER($B90:I90)), COUNTA(FILTER($B90:I90, ISNUMBER($B90:I90)))),
IFERROR(
IF('Résultats des tournois'!I90="""", INDEX(FILTER($C90:I90, ISNUMBER($C90:I90)), COUNTA(FILTER($C90:I"&amp;"90, ISNUMBER($C90:I90)))),
lastVal + 'K dynamique'!I90 * ((SQRT('Résultats des tournois'!I$2 + 1)/'Résultats des tournois'!I90) - (1 / (1 + 10^((I$103 - lastVal)/400)))))
)
))"),"")</f>
        <v/>
      </c>
      <c r="K90" s="32" t="str">
        <f>IFERROR(__xludf.DUMMYFUNCTION("IF('Résultats des tournois'!J$2=0,"""",LET(
lastVal, INDEX(FILTER($B90:J90, ISNUMBER($B90:J90)), COUNTA(FILTER($B90:J90, ISNUMBER($B90:J90)))),
IFERROR(
IF('Résultats des tournois'!J90="""", INDEX(FILTER($C90:J90, ISNUMBER($C90:J90)), COUNTA(FILTER($C90:J"&amp;"90, ISNUMBER($C90:J90)))),
lastVal + 'K dynamique'!J90 * ((SQRT('Résultats des tournois'!J$2 + 1)/'Résultats des tournois'!J90) - (1 / (1 + 10^((J$103 - lastVal)/400)))))
)
))"),"")</f>
        <v/>
      </c>
      <c r="L90" s="32" t="str">
        <f>IFERROR(__xludf.DUMMYFUNCTION("IF('Résultats des tournois'!K$2=0,"""",LET(
lastVal, INDEX(FILTER($B90:K90, ISNUMBER($B90:K90)), COUNTA(FILTER($B90:K90, ISNUMBER($B90:K90)))),
IFERROR(
IF('Résultats des tournois'!K90="""", INDEX(FILTER($C90:K90, ISNUMBER($C90:K90)), COUNTA(FILTER($C90:K"&amp;"90, ISNUMBER($C90:K90)))),
lastVal + 'K dynamique'!K90 * ((SQRT('Résultats des tournois'!K$2 + 1)/'Résultats des tournois'!K90) - (1 / (1 + 10^((K$103 - lastVal)/400)))))
)
))"),"")</f>
        <v/>
      </c>
      <c r="M90" s="32" t="str">
        <f>IFERROR(__xludf.DUMMYFUNCTION("IF('Résultats des tournois'!L$2=0,"""",LET(
lastVal, INDEX(FILTER($B90:L90, ISNUMBER($B90:L90)), COUNTA(FILTER($B90:L90, ISNUMBER($B90:L90)))),
IFERROR(
IF('Résultats des tournois'!L90="""", INDEX(FILTER($C90:L90, ISNUMBER($C90:L90)), COUNTA(FILTER($C90:L"&amp;"90, ISNUMBER($C90:L90)))),
lastVal + 'K dynamique'!L90 * ((SQRT('Résultats des tournois'!L$2 + 1)/'Résultats des tournois'!L90) - (1 / (1 + 10^((L$103 - lastVal)/400)))))
)
))"),"")</f>
        <v/>
      </c>
      <c r="N90" s="32" t="str">
        <f>IFERROR(__xludf.DUMMYFUNCTION("IF('Résultats des tournois'!M$2=0,"""",LET(
lastVal, INDEX(FILTER($B90:M90, ISNUMBER($B90:M90)), COUNTA(FILTER($B90:M90, ISNUMBER($B90:M90)))),
IFERROR(
IF('Résultats des tournois'!M90="""", INDEX(FILTER($C90:M90, ISNUMBER($C90:M90)), COUNTA(FILTER($C90:M"&amp;"90, ISNUMBER($C90:M90)))),
lastVal + 'K dynamique'!M90 * ((SQRT('Résultats des tournois'!M$2 + 1)/'Résultats des tournois'!M90) - (1 / (1 + 10^((M$103 - lastVal)/400)))))
)
))"),"")</f>
        <v/>
      </c>
      <c r="O90" s="32" t="str">
        <f>IFERROR(__xludf.DUMMYFUNCTION("IF('Résultats des tournois'!N$2=0,"""",LET(
lastVal, INDEX(FILTER($B90:N90, ISNUMBER($B90:N90)), COUNTA(FILTER($B90:N90, ISNUMBER($B90:N90)))),
IFERROR(
IF('Résultats des tournois'!N90="""", INDEX(FILTER($C90:N90, ISNUMBER($C90:N90)), COUNTA(FILTER($C90:N"&amp;"90, ISNUMBER($C90:N90)))),
lastVal + 'K dynamique'!N90 * ((SQRT('Résultats des tournois'!N$2 + 1)/'Résultats des tournois'!N90) - (1 / (1 + 10^((N$103 - lastVal)/400)))))
)
))"),"")</f>
        <v/>
      </c>
      <c r="P90" s="32" t="str">
        <f>IFERROR(__xludf.DUMMYFUNCTION("IF('Résultats des tournois'!O$2=0,"""",LET(
lastVal, INDEX(FILTER($B90:O90, ISNUMBER($B90:O90)), COUNTA(FILTER($B90:O90, ISNUMBER($B90:O90)))),
IFERROR(
IF('Résultats des tournois'!O90="""", INDEX(FILTER($C90:O90, ISNUMBER($C90:O90)), COUNTA(FILTER($C90:O"&amp;"90, ISNUMBER($C90:O90)))),
lastVal + 'K dynamique'!O90 * ((SQRT('Résultats des tournois'!O$2 + 1)/'Résultats des tournois'!O90) - (1 / (1 + 10^((O$103 - lastVal)/400)))))
)
))"),"")</f>
        <v/>
      </c>
      <c r="Q90" s="32" t="str">
        <f>IFERROR(__xludf.DUMMYFUNCTION("IF('Résultats des tournois'!P$2=0,"""",LET(
lastVal, INDEX(FILTER($B90:P90, ISNUMBER($B90:P90)), COUNTA(FILTER($B90:P90, ISNUMBER($B90:P90)))),
IFERROR(
IF('Résultats des tournois'!P90="""", INDEX(FILTER($C90:P90, ISNUMBER($C90:P90)), COUNTA(FILTER($C90:P"&amp;"90, ISNUMBER($C90:P90)))),
lastVal + 'K dynamique'!P90 * ((SQRT('Résultats des tournois'!P$2 + 1)/'Résultats des tournois'!P90) - (1 / (1 + 10^((P$103 - lastVal)/400)))))
)
))"),"")</f>
        <v/>
      </c>
      <c r="R90" s="32" t="str">
        <f>IFERROR(__xludf.DUMMYFUNCTION("IF('Résultats des tournois'!Q$2=0,"""",LET(
lastVal, INDEX(FILTER($B90:Q90, ISNUMBER($B90:Q90)), COUNTA(FILTER($B90:Q90, ISNUMBER($B90:Q90)))),
IFERROR(
IF('Résultats des tournois'!Q90="""", INDEX(FILTER($C90:Q90, ISNUMBER($C90:Q90)), COUNTA(FILTER($C90:Q"&amp;"90, ISNUMBER($C90:Q90)))),
lastVal + 'K dynamique'!Q90 * ((SQRT('Résultats des tournois'!Q$2 + 1)/'Résultats des tournois'!Q90) - (1 / (1 + 10^((Q$103 - lastVal)/400)))))
)
))"),"")</f>
        <v/>
      </c>
      <c r="S90" s="32" t="str">
        <f>IFERROR(__xludf.DUMMYFUNCTION("IF('Résultats des tournois'!R$2=0,"""",LET(
lastVal, INDEX(FILTER($B90:R90, ISNUMBER($B90:R90)), COUNTA(FILTER($B90:R90, ISNUMBER($B90:R90)))),
IFERROR(
IF('Résultats des tournois'!R90="""", INDEX(FILTER($C90:R90, ISNUMBER($C90:R90)), COUNTA(FILTER($C90:R"&amp;"90, ISNUMBER($C90:R90)))),
lastVal + 'K dynamique'!R90 * ((SQRT('Résultats des tournois'!R$2 + 1)/'Résultats des tournois'!R90) - (1 / (1 + 10^((R$103 - lastVal)/400)))))
)
))"),"")</f>
        <v/>
      </c>
      <c r="T90" s="32" t="str">
        <f>IFERROR(__xludf.DUMMYFUNCTION("IF('Résultats des tournois'!S$2=0,"""",LET(
lastVal, INDEX(FILTER($B90:S90, ISNUMBER($B90:S90)), COUNTA(FILTER($B90:S90, ISNUMBER($B90:S90)))),
IFERROR(
IF('Résultats des tournois'!S90="""", INDEX(FILTER($C90:S90, ISNUMBER($C90:S90)), COUNTA(FILTER($C90:S"&amp;"90, ISNUMBER($C90:S90)))),
lastVal + 'K dynamique'!S90 * ((SQRT('Résultats des tournois'!S$2 + 1)/'Résultats des tournois'!S90) - (1 / (1 + 10^((S$103 - lastVal)/400)))))
)
))"),"")</f>
        <v/>
      </c>
      <c r="U90" s="32" t="str">
        <f>IFERROR(__xludf.DUMMYFUNCTION("IF('Résultats des tournois'!T$2=0,"""",LET(
lastVal, INDEX(FILTER($B90:T90, ISNUMBER($B90:T90)), COUNTA(FILTER($B90:T90, ISNUMBER($B90:T90)))),
IFERROR(
IF('Résultats des tournois'!T90="""", INDEX(FILTER($C90:T90, ISNUMBER($C90:T90)), COUNTA(FILTER($C90:T"&amp;"90, ISNUMBER($C90:T90)))),
lastVal + 'K dynamique'!T90 * ((SQRT('Résultats des tournois'!T$2 + 1)/'Résultats des tournois'!T90) - (1 / (1 + 10^((T$103 - lastVal)/400)))))
)
))"),"")</f>
        <v/>
      </c>
      <c r="V90" s="32" t="str">
        <f>IFERROR(__xludf.DUMMYFUNCTION("IF('Résultats des tournois'!U$2=0,"""",LET(
lastVal, INDEX(FILTER($B90:U90, ISNUMBER($B90:U90)), COUNTA(FILTER($B90:U90, ISNUMBER($B90:U90)))),
IFERROR(
IF('Résultats des tournois'!U90="""", INDEX(FILTER($C90:U90, ISNUMBER($C90:U90)), COUNTA(FILTER($C90:U"&amp;"90, ISNUMBER($C90:U90)))),
lastVal + 'K dynamique'!U90 * ((SQRT('Résultats des tournois'!U$2 + 1)/'Résultats des tournois'!U90) - (1 / (1 + 10^((U$103 - lastVal)/400)))))
)
))"),"")</f>
        <v/>
      </c>
      <c r="W90" s="32" t="str">
        <f>IFERROR(__xludf.DUMMYFUNCTION("IF('Résultats des tournois'!V$2=0,"""",LET(
lastVal, INDEX(FILTER($B90:V90, ISNUMBER($B90:V90)), COUNTA(FILTER($B90:V90, ISNUMBER($B90:V90)))),
IFERROR(
IF('Résultats des tournois'!V90="""", INDEX(FILTER($C90:V90, ISNUMBER($C90:V90)), COUNTA(FILTER($C90:V"&amp;"90, ISNUMBER($C90:V90)))),
lastVal + 'K dynamique'!V90 * ((SQRT('Résultats des tournois'!V$2 + 1)/'Résultats des tournois'!V90) - (1 / (1 + 10^((V$103 - lastVal)/400)))))
)
))"),"")</f>
        <v/>
      </c>
      <c r="X90" s="32" t="str">
        <f>IFERROR(__xludf.DUMMYFUNCTION("IF('Résultats des tournois'!W$2=0,"""",LET(
lastVal, INDEX(FILTER($B90:W90, ISNUMBER($B90:W90)), COUNTA(FILTER($B90:W90, ISNUMBER($B90:W90)))),
IFERROR(
IF('Résultats des tournois'!W90="""", INDEX(FILTER($C90:W90, ISNUMBER($C90:W90)), COUNTA(FILTER($C90:W"&amp;"90, ISNUMBER($C90:W90)))),
lastVal + 'K dynamique'!W90 * ((SQRT('Résultats des tournois'!W$2 + 1)/'Résultats des tournois'!W90) - (1 / (1 + 10^((W$103 - lastVal)/400)))))
)
))"),"")</f>
        <v/>
      </c>
      <c r="Y90" s="32" t="str">
        <f>IFERROR(__xludf.DUMMYFUNCTION("IF('Résultats des tournois'!X$2=0,"""",LET(
lastVal, INDEX(FILTER($B90:X90, ISNUMBER($B90:X90)), COUNTA(FILTER($B90:X90, ISNUMBER($B90:X90)))),
IFERROR(
IF('Résultats des tournois'!X90="""", INDEX(FILTER($C90:X90, ISNUMBER($C90:X90)), COUNTA(FILTER($C90:X"&amp;"90, ISNUMBER($C90:X90)))),
lastVal + 'K dynamique'!X90 * ((SQRT('Résultats des tournois'!X$2 + 1)/'Résultats des tournois'!X90) - (1 / (1 + 10^((X$103 - lastVal)/400)))))
)
))"),"")</f>
        <v/>
      </c>
      <c r="Z90" s="32" t="str">
        <f>IFERROR(__xludf.DUMMYFUNCTION("IF('Résultats des tournois'!Y$2=0,"""",LET(
lastVal, INDEX(FILTER($B90:Y90, ISNUMBER($B90:Y90)), COUNTA(FILTER($B90:Y90, ISNUMBER($B90:Y90)))),
IFERROR(
IF('Résultats des tournois'!Y90="""", INDEX(FILTER($C90:Y90, ISNUMBER($C90:Y90)), COUNTA(FILTER($C90:Y"&amp;"90, ISNUMBER($C90:Y90)))),
lastVal + 'K dynamique'!Y90 * ((SQRT('Résultats des tournois'!Y$2 + 1)/'Résultats des tournois'!Y90) - (1 / (1 + 10^((Y$103 - lastVal)/400)))))
)
))"),"")</f>
        <v/>
      </c>
      <c r="AA90" s="32" t="str">
        <f>IFERROR(__xludf.DUMMYFUNCTION("IF('Résultats des tournois'!Z$2=0,"""",LET(
lastVal, INDEX(FILTER($B90:Z90, ISNUMBER($B90:Z90)), COUNTA(FILTER($B90:Z90, ISNUMBER($B90:Z90)))),
IFERROR(
IF('Résultats des tournois'!Z90="""", INDEX(FILTER($C90:Z90, ISNUMBER($C90:Z90)), COUNTA(FILTER($C90:Z"&amp;"90, ISNUMBER($C90:Z90)))),
lastVal + 'K dynamique'!Z90 * ((SQRT('Résultats des tournois'!Z$2 + 1)/'Résultats des tournois'!Z90) - (1 / (1 + 10^((Z$103 - lastVal)/400)))))
)
))"),"")</f>
        <v/>
      </c>
      <c r="AB90" s="32" t="str">
        <f>IFERROR(__xludf.DUMMYFUNCTION("IF('Résultats des tournois'!AA$2=0,"""",LET(
lastVal, INDEX(FILTER($B90:AA90, ISNUMBER($B90:AA90)), COUNTA(FILTER($B90:AA90, ISNUMBER($B90:AA90)))),
IFERROR(
IF('Résultats des tournois'!AA90="""", INDEX(FILTER($C90:AA90, ISNUMBER($C90:AA90)), COUNTA(FILTE"&amp;"R($C90:AA90, ISNUMBER($C90:AA90)))),
lastVal + 'K dynamique'!AA90 * ((SQRT('Résultats des tournois'!AA$2 + 1)/'Résultats des tournois'!AA90) - (1 / (1 + 10^((AA$103 - lastVal)/400)))))
)
))"),"")</f>
        <v/>
      </c>
      <c r="AC90" s="32" t="str">
        <f>IFERROR(__xludf.DUMMYFUNCTION("IF('Résultats des tournois'!AB$2=0,"""",LET(
lastVal, INDEX(FILTER($B90:AB90, ISNUMBER($B90:AB90)), COUNTA(FILTER($B90:AB90, ISNUMBER($B90:AB90)))),
IFERROR(
IF('Résultats des tournois'!AB90="""", INDEX(FILTER($C90:AB90, ISNUMBER($C90:AB90)), COUNTA(FILTE"&amp;"R($C90:AB90, ISNUMBER($C90:AB90)))),
lastVal + 'K dynamique'!AB90 * ((SQRT('Résultats des tournois'!AB$2 + 1)/'Résultats des tournois'!AB90) - (1 / (1 + 10^((AB$103 - lastVal)/400)))))
)
))"),"")</f>
        <v/>
      </c>
      <c r="AD90" s="32" t="str">
        <f>IFERROR(__xludf.DUMMYFUNCTION("IF('Résultats des tournois'!AC$2=0,"""",LET(
lastVal, INDEX(FILTER($B90:AC90, ISNUMBER($B90:AC90)), COUNTA(FILTER($B90:AC90, ISNUMBER($B90:AC90)))),
IFERROR(
IF('Résultats des tournois'!AC90="""", INDEX(FILTER($C90:AC90, ISNUMBER($C90:AC90)), COUNTA(FILTE"&amp;"R($C90:AC90, ISNUMBER($C90:AC90)))),
lastVal + 'K dynamique'!AC90 * ((SQRT('Résultats des tournois'!AC$2 + 1)/'Résultats des tournois'!AC90) - (1 / (1 + 10^((AC$103 - lastVal)/400)))))
)
))"),"")</f>
        <v/>
      </c>
      <c r="AE90" s="32" t="str">
        <f>IFERROR(__xludf.DUMMYFUNCTION("IF('Résultats des tournois'!AD$2=0,"""",LET(
lastVal, INDEX(FILTER($B90:AD90, ISNUMBER($B90:AD90)), COUNTA(FILTER($B90:AD90, ISNUMBER($B90:AD90)))),
IFERROR(
IF('Résultats des tournois'!AD90="""", INDEX(FILTER($C90:AD90, ISNUMBER($C90:AD90)), COUNTA(FILTE"&amp;"R($C90:AD90, ISNUMBER($C90:AD90)))),
lastVal + 'K dynamique'!AD90 * ((SQRT('Résultats des tournois'!AD$2 + 1)/'Résultats des tournois'!AD90) - (1 / (1 + 10^((AD$103 - lastVal)/400)))))
)
))"),"")</f>
        <v/>
      </c>
      <c r="AF90" s="32" t="str">
        <f>IFERROR(__xludf.DUMMYFUNCTION("IF('Résultats des tournois'!AE$2=0,"""",LET(
lastVal, INDEX(FILTER($B90:AE90, ISNUMBER($B90:AE90)), COUNTA(FILTER($B90:AE90, ISNUMBER($B90:AE90)))),
IFERROR(
IF('Résultats des tournois'!AE90="""", INDEX(FILTER($C90:AE90, ISNUMBER($C90:AE90)), COUNTA(FILTE"&amp;"R($C90:AE90, ISNUMBER($C90:AE90)))),
lastVal + 'K dynamique'!AE90 * ((SQRT('Résultats des tournois'!AE$2 + 1)/'Résultats des tournois'!AE90) - (1 / (1 + 10^((AE$103 - lastVal)/400)))))
)
))"),"")</f>
        <v/>
      </c>
      <c r="AG90" s="32" t="str">
        <f>IFERROR(__xludf.DUMMYFUNCTION("IF('Résultats des tournois'!AF$2=0,"""",LET(
lastVal, INDEX(FILTER($B90:AF90, ISNUMBER($B90:AF90)), COUNTA(FILTER($B90:AF90, ISNUMBER($B90:AF90)))),
IFERROR(
IF('Résultats des tournois'!AF90="""", INDEX(FILTER($C90:AF90, ISNUMBER($C90:AF90)), COUNTA(FILTE"&amp;"R($C90:AF90, ISNUMBER($C90:AF90)))),
lastVal + 'K dynamique'!AF90 * ((SQRT('Résultats des tournois'!AF$2 + 1)/'Résultats des tournois'!AF90) - (1 / (1 + 10^((AF$103 - lastVal)/400)))))
)
))"),"")</f>
        <v/>
      </c>
      <c r="AH90" s="32" t="str">
        <f>IFERROR(__xludf.DUMMYFUNCTION("IF('Résultats des tournois'!AG$2=0,"""",LET(
lastVal, INDEX(FILTER($B90:AG90, ISNUMBER($B90:AG90)), COUNTA(FILTER($B90:AG90, ISNUMBER($B90:AG90)))),
IFERROR(
IF('Résultats des tournois'!AG90="""", INDEX(FILTER($C90:AG90, ISNUMBER($C90:AG90)), COUNTA(FILTE"&amp;"R($C90:AG90, ISNUMBER($C90:AG90)))),
lastVal + 'K dynamique'!AG90 * ((SQRT('Résultats des tournois'!AG$2 + 1)/'Résultats des tournois'!AG90) - (1 / (1 + 10^((AG$103 - lastVal)/400)))))
)
))"),"")</f>
        <v/>
      </c>
      <c r="AI90" s="32" t="str">
        <f>IFERROR(__xludf.DUMMYFUNCTION("IF('Résultats des tournois'!AH$2=0,"""",LET(
lastVal, INDEX(FILTER($B90:AH90, ISNUMBER($B90:AH90)), COUNTA(FILTER($B90:AH90, ISNUMBER($B90:AH90)))),
IFERROR(
IF('Résultats des tournois'!AH90="""", INDEX(FILTER($C90:AH90, ISNUMBER($C90:AH90)), COUNTA(FILTE"&amp;"R($C90:AH90, ISNUMBER($C90:AH90)))),
lastVal + 'K dynamique'!AH90 * ((SQRT('Résultats des tournois'!AH$2 + 1)/'Résultats des tournois'!AH90) - (1 / (1 + 10^((AH$103 - lastVal)/400)))))
)
))"),"")</f>
        <v/>
      </c>
      <c r="AJ90" s="32" t="str">
        <f>IFERROR(__xludf.DUMMYFUNCTION("IF('Résultats des tournois'!AI$2=0,"""",LET(
lastVal, INDEX(FILTER($B90:AI90, ISNUMBER($B90:AI90)), COUNTA(FILTER($B90:AI90, ISNUMBER($B90:AI90)))),
IFERROR(
IF('Résultats des tournois'!AI90="""", INDEX(FILTER($C90:AI90, ISNUMBER($C90:AI90)), COUNTA(FILTE"&amp;"R($C90:AI90, ISNUMBER($C90:AI90)))),
lastVal + 'K dynamique'!AI90 * ((SQRT('Résultats des tournois'!AI$2 + 1)/'Résultats des tournois'!AI90) - (1 / (1 + 10^((AI$103 - lastVal)/400)))))
)
))"),"")</f>
        <v/>
      </c>
      <c r="AK90" s="32" t="str">
        <f>IFERROR(__xludf.DUMMYFUNCTION("IF('Résultats des tournois'!AJ$2=0,"""",LET(
lastVal, INDEX(FILTER($B90:AJ90, ISNUMBER($B90:AJ90)), COUNTA(FILTER($B90:AJ90, ISNUMBER($B90:AJ90)))),
IFERROR(
IF('Résultats des tournois'!AJ90="""", INDEX(FILTER($C90:AJ90, ISNUMBER($C90:AJ90)), COUNTA(FILTE"&amp;"R($C90:AJ90, ISNUMBER($C90:AJ90)))),
lastVal + 'K dynamique'!AJ90 * ((SQRT('Résultats des tournois'!AJ$2 + 1)/'Résultats des tournois'!AJ90) - (1 / (1 + 10^((AJ$103 - lastVal)/400)))))
)
))"),"")</f>
        <v/>
      </c>
      <c r="AL90" s="32" t="str">
        <f>IFERROR(__xludf.DUMMYFUNCTION("IF('Résultats des tournois'!AK$2=0,"""",LET(
lastVal, INDEX(FILTER($B90:AK90, ISNUMBER($B90:AK90)), COUNTA(FILTER($B90:AK90, ISNUMBER($B90:AK90)))),
IFERROR(
IF('Résultats des tournois'!AK90="""", INDEX(FILTER($C90:AK90, ISNUMBER($C90:AK90)), COUNTA(FILTE"&amp;"R($C90:AK90, ISNUMBER($C90:AK90)))),
lastVal + 'K dynamique'!AK90 * ((SQRT('Résultats des tournois'!AK$2 + 1)/'Résultats des tournois'!AK90) - (1 / (1 + 10^((AK$103 - lastVal)/400)))))
)
))"),"")</f>
        <v/>
      </c>
      <c r="AM90" s="32" t="str">
        <f>IFERROR(__xludf.DUMMYFUNCTION("IF('Résultats des tournois'!AL$2=0,"""",LET(
lastVal, INDEX(FILTER($B90:AL90, ISNUMBER($B90:AL90)), COUNTA(FILTER($B90:AL90, ISNUMBER($B90:AL90)))),
IFERROR(
IF('Résultats des tournois'!AL90="""", INDEX(FILTER($C90:AL90, ISNUMBER($C90:AL90)), COUNTA(FILTE"&amp;"R($C90:AL90, ISNUMBER($C90:AL90)))),
lastVal + 'K dynamique'!AL90 * ((SQRT('Résultats des tournois'!AL$2 + 1)/'Résultats des tournois'!AL90) - (1 / (1 + 10^((AL$103 - lastVal)/400)))))
)
))"),"")</f>
        <v/>
      </c>
      <c r="AN90" s="32" t="str">
        <f>IFERROR(__xludf.DUMMYFUNCTION("IF('Résultats des tournois'!AM$2=0,"""",LET(
lastVal, INDEX(FILTER($B90:AM90, ISNUMBER($B90:AM90)), COUNTA(FILTER($B90:AM90, ISNUMBER($B90:AM90)))),
IFERROR(
IF('Résultats des tournois'!AM90="""", INDEX(FILTER($C90:AM90, ISNUMBER($C90:AM90)), COUNTA(FILTE"&amp;"R($C90:AM90, ISNUMBER($C90:AM90)))),
lastVal + 'K dynamique'!AM90 * ((SQRT('Résultats des tournois'!AM$2 + 1)/'Résultats des tournois'!AM90) - (1 / (1 + 10^((AM$103 - lastVal)/400)))))
)
))"),"")</f>
        <v/>
      </c>
      <c r="AO90" s="32" t="str">
        <f>IFERROR(__xludf.DUMMYFUNCTION("IF('Résultats des tournois'!AN$2=0,"""",LET(
lastVal, INDEX(FILTER($B90:AN90, ISNUMBER($B90:AN90)), COUNTA(FILTER($B90:AN90, ISNUMBER($B90:AN90)))),
IFERROR(
IF('Résultats des tournois'!AN90="""", INDEX(FILTER($C90:AN90, ISNUMBER($C90:AN90)), COUNTA(FILTE"&amp;"R($C90:AN90, ISNUMBER($C90:AN90)))),
lastVal + 'K dynamique'!AN90 * ((SQRT('Résultats des tournois'!AN$2 + 1)/'Résultats des tournois'!AN90) - (1 / (1 + 10^((AN$103 - lastVal)/400)))))
)
))"),"")</f>
        <v/>
      </c>
      <c r="AP90" s="32" t="str">
        <f>IFERROR(__xludf.DUMMYFUNCTION("IF('Résultats des tournois'!AO$2=0,"""",LET(
lastVal, INDEX(FILTER($B90:AO90, ISNUMBER($B90:AO90)), COUNTA(FILTER($B90:AO90, ISNUMBER($B90:AO90)))),
IFERROR(
IF('Résultats des tournois'!AO90="""", INDEX(FILTER($C90:AO90, ISNUMBER($C90:AO90)), COUNTA(FILTE"&amp;"R($C90:AO90, ISNUMBER($C90:AO90)))),
lastVal + 'K dynamique'!AO90 * ((SQRT('Résultats des tournois'!AO$2 + 1)/'Résultats des tournois'!AO90) - (1 / (1 + 10^((AO$103 - lastVal)/400)))))
)
))"),"")</f>
        <v/>
      </c>
      <c r="AQ90" s="32" t="str">
        <f>IFERROR(__xludf.DUMMYFUNCTION("IF('Résultats des tournois'!AP$2=0,"""",LET(
lastVal, INDEX(FILTER($B90:AP90, ISNUMBER($B90:AP90)), COUNTA(FILTER($B90:AP90, ISNUMBER($B90:AP90)))),
IFERROR(
IF('Résultats des tournois'!AP90="""", INDEX(FILTER($C90:AP90, ISNUMBER($C90:AP90)), COUNTA(FILTE"&amp;"R($C90:AP90, ISNUMBER($C90:AP90)))),
lastVal + 'K dynamique'!AP90 * ((SQRT('Résultats des tournois'!AP$2 + 1)/'Résultats des tournois'!AP90) - (1 / (1 + 10^((AP$103 - lastVal)/400)))))
)
))"),"")</f>
        <v/>
      </c>
      <c r="AR90" s="32" t="str">
        <f>IFERROR(__xludf.DUMMYFUNCTION("IF('Résultats des tournois'!AQ$2=0,"""",LET(
lastVal, INDEX(FILTER($B90:AQ90, ISNUMBER($B90:AQ90)), COUNTA(FILTER($B90:AQ90, ISNUMBER($B90:AQ90)))),
IFERROR(
IF('Résultats des tournois'!AQ90="""", INDEX(FILTER($C90:AQ90, ISNUMBER($C90:AQ90)), COUNTA(FILTE"&amp;"R($C90:AQ90, ISNUMBER($C90:AQ90)))),
lastVal + 'K dynamique'!AQ90 * ((SQRT('Résultats des tournois'!AQ$2 + 1)/'Résultats des tournois'!AQ90) - (1 / (1 + 10^((AQ$103 - lastVal)/400)))))
)
))"),"")</f>
        <v/>
      </c>
      <c r="AS90" s="32" t="str">
        <f>IFERROR(__xludf.DUMMYFUNCTION("IF('Résultats des tournois'!AR$2=0,"""",LET(
lastVal, INDEX(FILTER($B90:AR90, ISNUMBER($B90:AR90)), COUNTA(FILTER($B90:AR90, ISNUMBER($B90:AR90)))),
IFERROR(
IF('Résultats des tournois'!AR90="""", INDEX(FILTER($C90:AR90, ISNUMBER($C90:AR90)), COUNTA(FILTE"&amp;"R($C90:AR90, ISNUMBER($C90:AR90)))),
lastVal + 'K dynamique'!AR90 * ((SQRT('Résultats des tournois'!AR$2 + 1)/'Résultats des tournois'!AR90) - (1 / (1 + 10^((AR$103 - lastVal)/400)))))
)
))"),"")</f>
        <v/>
      </c>
      <c r="AT90" s="32" t="str">
        <f>IFERROR(__xludf.DUMMYFUNCTION("IF('Résultats des tournois'!AS$2=0,"""",LET(
lastVal, INDEX(FILTER($B90:AS90, ISNUMBER($B90:AS90)), COUNTA(FILTER($B90:AS90, ISNUMBER($B90:AS90)))),
IFERROR(
IF('Résultats des tournois'!AS90="""", INDEX(FILTER($C90:AS90, ISNUMBER($C90:AS90)), COUNTA(FILTE"&amp;"R($C90:AS90, ISNUMBER($C90:AS90)))),
lastVal + 'K dynamique'!AS90 * ((SQRT('Résultats des tournois'!AS$2 + 1)/'Résultats des tournois'!AS90) - (1 / (1 + 10^((AS$103 - lastVal)/400)))))
)
))"),"")</f>
        <v/>
      </c>
      <c r="AU90" s="32" t="str">
        <f>IFERROR(__xludf.DUMMYFUNCTION("IF('Résultats des tournois'!AT$2=0,"""",LET(
lastVal, INDEX(FILTER($B90:AT90, ISNUMBER($B90:AT90)), COUNTA(FILTER($B90:AT90, ISNUMBER($B90:AT90)))),
IFERROR(
IF('Résultats des tournois'!AT90="""", INDEX(FILTER($C90:AT90, ISNUMBER($C90:AT90)), COUNTA(FILTE"&amp;"R($C90:AT90, ISNUMBER($C90:AT90)))),
lastVal + 'K dynamique'!AT90 * ((SQRT('Résultats des tournois'!AT$2 + 1)/'Résultats des tournois'!AT90) - (1 / (1 + 10^((AT$103 - lastVal)/400)))))
)
))"),"")</f>
        <v/>
      </c>
      <c r="AV90" s="32" t="str">
        <f>IFERROR(__xludf.DUMMYFUNCTION("IF('Résultats des tournois'!AU$2=0,"""",LET(
lastVal, INDEX(FILTER($B90:AU90, ISNUMBER($B90:AU90)), COUNTA(FILTER($B90:AU90, ISNUMBER($B90:AU90)))),
IFERROR(
IF('Résultats des tournois'!AU90="""", INDEX(FILTER($C90:AU90, ISNUMBER($C90:AU90)), COUNTA(FILTE"&amp;"R($C90:AU90, ISNUMBER($C90:AU90)))),
lastVal + 'K dynamique'!AU90 * ((SQRT('Résultats des tournois'!AU$2 + 1)/'Résultats des tournois'!AU90) - (1 / (1 + 10^((AU$103 - lastVal)/400)))))
)
))"),"")</f>
        <v/>
      </c>
      <c r="AW90" s="32" t="str">
        <f>IFERROR(__xludf.DUMMYFUNCTION("IF('Résultats des tournois'!AV$2=0,"""",LET(
lastVal, INDEX(FILTER($B90:AV90, ISNUMBER($B90:AV90)), COUNTA(FILTER($B90:AV90, ISNUMBER($B90:AV90)))),
IFERROR(
IF('Résultats des tournois'!AV90="""", INDEX(FILTER($C90:AV90, ISNUMBER($C90:AV90)), COUNTA(FILTE"&amp;"R($C90:AV90, ISNUMBER($C90:AV90)))),
lastVal + 'K dynamique'!AV90 * ((SQRT('Résultats des tournois'!AV$2 + 1)/'Résultats des tournois'!AV90) - (1 / (1 + 10^((AV$103 - lastVal)/400)))))
)
))"),"")</f>
        <v/>
      </c>
      <c r="AX90" s="32" t="str">
        <f>IFERROR(__xludf.DUMMYFUNCTION("IF('Résultats des tournois'!AW$2=0,"""",LET(
lastVal, INDEX(FILTER($B90:AW90, ISNUMBER($B90:AW90)), COUNTA(FILTER($B90:AW90, ISNUMBER($B90:AW90)))),
IFERROR(
IF('Résultats des tournois'!AW90="""", INDEX(FILTER($C90:AW90, ISNUMBER($C90:AW90)), COUNTA(FILTE"&amp;"R($C90:AW90, ISNUMBER($C90:AW90)))),
lastVal + 'K dynamique'!AW90 * ((SQRT('Résultats des tournois'!AW$2 + 1)/'Résultats des tournois'!AW90) - (1 / (1 + 10^((AW$103 - lastVal)/400)))))
)
))"),"")</f>
        <v/>
      </c>
      <c r="AY90" s="32" t="str">
        <f>IFERROR(__xludf.DUMMYFUNCTION("IF('Résultats des tournois'!AX$2=0,"""",LET(
lastVal, INDEX(FILTER($B90:AX90, ISNUMBER($B90:AX90)), COUNTA(FILTER($B90:AX90, ISNUMBER($B90:AX90)))),
IFERROR(
IF('Résultats des tournois'!AX90="""", INDEX(FILTER($C90:AX90, ISNUMBER($C90:AX90)), COUNTA(FILTE"&amp;"R($C90:AX90, ISNUMBER($C90:AX90)))),
lastVal + 'K dynamique'!AX90 * ((SQRT('Résultats des tournois'!AX$2 + 1)/'Résultats des tournois'!AX90) - (1 / (1 + 10^((AX$103 - lastVal)/400)))))
)
))"),"")</f>
        <v/>
      </c>
      <c r="AZ90" s="4" t="str">
        <f t="array" ref="AZ90">IF(MAX(($C90:AY90&lt;&gt;"")*COLUMN($C90:AY90))=0,"",INDEX($C90:AY90,1,MAX(($C90:AY90&lt;&gt;"")*COLUMN($C90:AY90))-COLUMN($C90)+1))</f>
        <v/>
      </c>
      <c r="BA90" s="33" t="str">
        <f t="shared" si="1"/>
        <v/>
      </c>
    </row>
    <row r="91" ht="14.25" customHeight="1">
      <c r="A91" s="32" t="str">
        <f>IF('Résultats des tournois'!A91="","",'Résultats des tournois'!A91)</f>
        <v/>
      </c>
      <c r="B91" s="32">
        <v>1500.0</v>
      </c>
      <c r="C91" s="32" t="str">
        <f>IF('Résultats des tournois'!B91="","",B91+'K dynamique'!B91*((SQRT('Résultats des tournois'!B$2+1)/'Résultats des tournois'!B91)-(1/(1+10^((B91-B91)/400)))))</f>
        <v/>
      </c>
      <c r="D91" s="32" t="str">
        <f>IFERROR(__xludf.DUMMYFUNCTION("IF('Résultats des tournois'!C$2=0,"""",LET(
lastVal, INDEX(FILTER($B91:C91, ISNUMBER($B91:C91)), COUNTA(FILTER($B91:C91, ISNUMBER($B91:C91)))),
IFERROR(
IF('Résultats des tournois'!C91="""", INDEX(FILTER($C91:C91, ISNUMBER($C91:C91)), COUNTA(FILTER($C91:C"&amp;"91, ISNUMBER($C91:C91)))),
lastVal + 'K dynamique'!C91 * ((SQRT('Résultats des tournois'!C$2 + 1)/'Résultats des tournois'!C91) - (1 / (1 + 10^((C$103 - lastVal)/400)))))
)
))"),"")</f>
        <v/>
      </c>
      <c r="E91" s="32" t="str">
        <f>IFERROR(__xludf.DUMMYFUNCTION("IF('Résultats des tournois'!D$2=0,"""",LET(
lastVal, INDEX(FILTER($B91:D91, ISNUMBER($B91:D91)), COUNTA(FILTER($B91:D91, ISNUMBER($B91:D91)))),
IFERROR(
IF('Résultats des tournois'!D91="""", INDEX(FILTER($C91:D91, ISNUMBER($C91:D91)), COUNTA(FILTER($C91:D"&amp;"91, ISNUMBER($C91:D91)))),
lastVal + 'K dynamique'!D91 * ((SQRT('Résultats des tournois'!D$2 + 1)/'Résultats des tournois'!D91) - (1 / (1 + 10^((D$103 - lastVal)/400)))))
)
))"),"")</f>
        <v/>
      </c>
      <c r="F91" s="32" t="str">
        <f>IFERROR(__xludf.DUMMYFUNCTION("IF('Résultats des tournois'!E$2=0,"""",LET(
lastVal, INDEX(FILTER($B91:E91, ISNUMBER($B91:E91)), COUNTA(FILTER($B91:E91, ISNUMBER($B91:E91)))),
IFERROR(
IF('Résultats des tournois'!E91="""", INDEX(FILTER($C91:E91, ISNUMBER($C91:E91)), COUNTA(FILTER($C91:E"&amp;"91, ISNUMBER($C91:E91)))),
lastVal + 'K dynamique'!E91 * ((SQRT('Résultats des tournois'!E$2 + 1)/'Résultats des tournois'!E91) - (1 / (1 + 10^((E$103 - lastVal)/400)))))
)
))"),"")</f>
        <v/>
      </c>
      <c r="G91" s="32" t="str">
        <f>IFERROR(__xludf.DUMMYFUNCTION("IF('Résultats des tournois'!F$2=0,"""",LET(
lastVal, INDEX(FILTER($B91:F91, ISNUMBER($B91:F91)), COUNTA(FILTER($B91:F91, ISNUMBER($B91:F91)))),
IFERROR(
IF('Résultats des tournois'!F91="""", INDEX(FILTER($C91:F91, ISNUMBER($C91:F91)), COUNTA(FILTER($C91:F"&amp;"91, ISNUMBER($C91:F91)))),
lastVal + 'K dynamique'!F91 * ((SQRT('Résultats des tournois'!F$2 + 1)/'Résultats des tournois'!F91) - (1 / (1 + 10^((F$103 - lastVal)/400)))))
)
))"),"")</f>
        <v/>
      </c>
      <c r="H91" s="32" t="str">
        <f>IFERROR(__xludf.DUMMYFUNCTION("IF('Résultats des tournois'!G$2=0,"""",LET(
lastVal, INDEX(FILTER($B91:G91, ISNUMBER($B91:G91)), COUNTA(FILTER($B91:G91, ISNUMBER($B91:G91)))),
IFERROR(
IF('Résultats des tournois'!G91="""", INDEX(FILTER($C91:G91, ISNUMBER($C91:G91)), COUNTA(FILTER($C91:G"&amp;"91, ISNUMBER($C91:G91)))),
lastVal + 'K dynamique'!G91 * ((SQRT('Résultats des tournois'!G$2 + 1)/'Résultats des tournois'!G91) - (1 / (1 + 10^((G$103 - lastVal)/400)))))
)
))"),"")</f>
        <v/>
      </c>
      <c r="I91" s="32" t="str">
        <f>IFERROR(__xludf.DUMMYFUNCTION("IF('Résultats des tournois'!H$2=0,"""",LET(
lastVal, INDEX(FILTER($B91:H91, ISNUMBER($B91:H91)), COUNTA(FILTER($B91:H91, ISNUMBER($B91:H91)))),
IFERROR(
IF('Résultats des tournois'!H91="""", INDEX(FILTER($C91:H91, ISNUMBER($C91:H91)), COUNTA(FILTER($C91:H"&amp;"91, ISNUMBER($C91:H91)))),
lastVal + 'K dynamique'!H91 * ((SQRT('Résultats des tournois'!H$2 + 1)/'Résultats des tournois'!H91) - (1 / (1 + 10^((H$103 - lastVal)/400)))))
)
))"),"")</f>
        <v/>
      </c>
      <c r="J91" s="32" t="str">
        <f>IFERROR(__xludf.DUMMYFUNCTION("IF('Résultats des tournois'!I$2=0,"""",LET(
lastVal, INDEX(FILTER($B91:I91, ISNUMBER($B91:I91)), COUNTA(FILTER($B91:I91, ISNUMBER($B91:I91)))),
IFERROR(
IF('Résultats des tournois'!I91="""", INDEX(FILTER($C91:I91, ISNUMBER($C91:I91)), COUNTA(FILTER($C91:I"&amp;"91, ISNUMBER($C91:I91)))),
lastVal + 'K dynamique'!I91 * ((SQRT('Résultats des tournois'!I$2 + 1)/'Résultats des tournois'!I91) - (1 / (1 + 10^((I$103 - lastVal)/400)))))
)
))"),"")</f>
        <v/>
      </c>
      <c r="K91" s="32" t="str">
        <f>IFERROR(__xludf.DUMMYFUNCTION("IF('Résultats des tournois'!J$2=0,"""",LET(
lastVal, INDEX(FILTER($B91:J91, ISNUMBER($B91:J91)), COUNTA(FILTER($B91:J91, ISNUMBER($B91:J91)))),
IFERROR(
IF('Résultats des tournois'!J91="""", INDEX(FILTER($C91:J91, ISNUMBER($C91:J91)), COUNTA(FILTER($C91:J"&amp;"91, ISNUMBER($C91:J91)))),
lastVal + 'K dynamique'!J91 * ((SQRT('Résultats des tournois'!J$2 + 1)/'Résultats des tournois'!J91) - (1 / (1 + 10^((J$103 - lastVal)/400)))))
)
))"),"")</f>
        <v/>
      </c>
      <c r="L91" s="32" t="str">
        <f>IFERROR(__xludf.DUMMYFUNCTION("IF('Résultats des tournois'!K$2=0,"""",LET(
lastVal, INDEX(FILTER($B91:K91, ISNUMBER($B91:K91)), COUNTA(FILTER($B91:K91, ISNUMBER($B91:K91)))),
IFERROR(
IF('Résultats des tournois'!K91="""", INDEX(FILTER($C91:K91, ISNUMBER($C91:K91)), COUNTA(FILTER($C91:K"&amp;"91, ISNUMBER($C91:K91)))),
lastVal + 'K dynamique'!K91 * ((SQRT('Résultats des tournois'!K$2 + 1)/'Résultats des tournois'!K91) - (1 / (1 + 10^((K$103 - lastVal)/400)))))
)
))"),"")</f>
        <v/>
      </c>
      <c r="M91" s="32" t="str">
        <f>IFERROR(__xludf.DUMMYFUNCTION("IF('Résultats des tournois'!L$2=0,"""",LET(
lastVal, INDEX(FILTER($B91:L91, ISNUMBER($B91:L91)), COUNTA(FILTER($B91:L91, ISNUMBER($B91:L91)))),
IFERROR(
IF('Résultats des tournois'!L91="""", INDEX(FILTER($C91:L91, ISNUMBER($C91:L91)), COUNTA(FILTER($C91:L"&amp;"91, ISNUMBER($C91:L91)))),
lastVal + 'K dynamique'!L91 * ((SQRT('Résultats des tournois'!L$2 + 1)/'Résultats des tournois'!L91) - (1 / (1 + 10^((L$103 - lastVal)/400)))))
)
))"),"")</f>
        <v/>
      </c>
      <c r="N91" s="32" t="str">
        <f>IFERROR(__xludf.DUMMYFUNCTION("IF('Résultats des tournois'!M$2=0,"""",LET(
lastVal, INDEX(FILTER($B91:M91, ISNUMBER($B91:M91)), COUNTA(FILTER($B91:M91, ISNUMBER($B91:M91)))),
IFERROR(
IF('Résultats des tournois'!M91="""", INDEX(FILTER($C91:M91, ISNUMBER($C91:M91)), COUNTA(FILTER($C91:M"&amp;"91, ISNUMBER($C91:M91)))),
lastVal + 'K dynamique'!M91 * ((SQRT('Résultats des tournois'!M$2 + 1)/'Résultats des tournois'!M91) - (1 / (1 + 10^((M$103 - lastVal)/400)))))
)
))"),"")</f>
        <v/>
      </c>
      <c r="O91" s="32" t="str">
        <f>IFERROR(__xludf.DUMMYFUNCTION("IF('Résultats des tournois'!N$2=0,"""",LET(
lastVal, INDEX(FILTER($B91:N91, ISNUMBER($B91:N91)), COUNTA(FILTER($B91:N91, ISNUMBER($B91:N91)))),
IFERROR(
IF('Résultats des tournois'!N91="""", INDEX(FILTER($C91:N91, ISNUMBER($C91:N91)), COUNTA(FILTER($C91:N"&amp;"91, ISNUMBER($C91:N91)))),
lastVal + 'K dynamique'!N91 * ((SQRT('Résultats des tournois'!N$2 + 1)/'Résultats des tournois'!N91) - (1 / (1 + 10^((N$103 - lastVal)/400)))))
)
))"),"")</f>
        <v/>
      </c>
      <c r="P91" s="32" t="str">
        <f>IFERROR(__xludf.DUMMYFUNCTION("IF('Résultats des tournois'!O$2=0,"""",LET(
lastVal, INDEX(FILTER($B91:O91, ISNUMBER($B91:O91)), COUNTA(FILTER($B91:O91, ISNUMBER($B91:O91)))),
IFERROR(
IF('Résultats des tournois'!O91="""", INDEX(FILTER($C91:O91, ISNUMBER($C91:O91)), COUNTA(FILTER($C91:O"&amp;"91, ISNUMBER($C91:O91)))),
lastVal + 'K dynamique'!O91 * ((SQRT('Résultats des tournois'!O$2 + 1)/'Résultats des tournois'!O91) - (1 / (1 + 10^((O$103 - lastVal)/400)))))
)
))"),"")</f>
        <v/>
      </c>
      <c r="Q91" s="32" t="str">
        <f>IFERROR(__xludf.DUMMYFUNCTION("IF('Résultats des tournois'!P$2=0,"""",LET(
lastVal, INDEX(FILTER($B91:P91, ISNUMBER($B91:P91)), COUNTA(FILTER($B91:P91, ISNUMBER($B91:P91)))),
IFERROR(
IF('Résultats des tournois'!P91="""", INDEX(FILTER($C91:P91, ISNUMBER($C91:P91)), COUNTA(FILTER($C91:P"&amp;"91, ISNUMBER($C91:P91)))),
lastVal + 'K dynamique'!P91 * ((SQRT('Résultats des tournois'!P$2 + 1)/'Résultats des tournois'!P91) - (1 / (1 + 10^((P$103 - lastVal)/400)))))
)
))"),"")</f>
        <v/>
      </c>
      <c r="R91" s="32" t="str">
        <f>IFERROR(__xludf.DUMMYFUNCTION("IF('Résultats des tournois'!Q$2=0,"""",LET(
lastVal, INDEX(FILTER($B91:Q91, ISNUMBER($B91:Q91)), COUNTA(FILTER($B91:Q91, ISNUMBER($B91:Q91)))),
IFERROR(
IF('Résultats des tournois'!Q91="""", INDEX(FILTER($C91:Q91, ISNUMBER($C91:Q91)), COUNTA(FILTER($C91:Q"&amp;"91, ISNUMBER($C91:Q91)))),
lastVal + 'K dynamique'!Q91 * ((SQRT('Résultats des tournois'!Q$2 + 1)/'Résultats des tournois'!Q91) - (1 / (1 + 10^((Q$103 - lastVal)/400)))))
)
))"),"")</f>
        <v/>
      </c>
      <c r="S91" s="32" t="str">
        <f>IFERROR(__xludf.DUMMYFUNCTION("IF('Résultats des tournois'!R$2=0,"""",LET(
lastVal, INDEX(FILTER($B91:R91, ISNUMBER($B91:R91)), COUNTA(FILTER($B91:R91, ISNUMBER($B91:R91)))),
IFERROR(
IF('Résultats des tournois'!R91="""", INDEX(FILTER($C91:R91, ISNUMBER($C91:R91)), COUNTA(FILTER($C91:R"&amp;"91, ISNUMBER($C91:R91)))),
lastVal + 'K dynamique'!R91 * ((SQRT('Résultats des tournois'!R$2 + 1)/'Résultats des tournois'!R91) - (1 / (1 + 10^((R$103 - lastVal)/400)))))
)
))"),"")</f>
        <v/>
      </c>
      <c r="T91" s="32" t="str">
        <f>IFERROR(__xludf.DUMMYFUNCTION("IF('Résultats des tournois'!S$2=0,"""",LET(
lastVal, INDEX(FILTER($B91:S91, ISNUMBER($B91:S91)), COUNTA(FILTER($B91:S91, ISNUMBER($B91:S91)))),
IFERROR(
IF('Résultats des tournois'!S91="""", INDEX(FILTER($C91:S91, ISNUMBER($C91:S91)), COUNTA(FILTER($C91:S"&amp;"91, ISNUMBER($C91:S91)))),
lastVal + 'K dynamique'!S91 * ((SQRT('Résultats des tournois'!S$2 + 1)/'Résultats des tournois'!S91) - (1 / (1 + 10^((S$103 - lastVal)/400)))))
)
))"),"")</f>
        <v/>
      </c>
      <c r="U91" s="32" t="str">
        <f>IFERROR(__xludf.DUMMYFUNCTION("IF('Résultats des tournois'!T$2=0,"""",LET(
lastVal, INDEX(FILTER($B91:T91, ISNUMBER($B91:T91)), COUNTA(FILTER($B91:T91, ISNUMBER($B91:T91)))),
IFERROR(
IF('Résultats des tournois'!T91="""", INDEX(FILTER($C91:T91, ISNUMBER($C91:T91)), COUNTA(FILTER($C91:T"&amp;"91, ISNUMBER($C91:T91)))),
lastVal + 'K dynamique'!T91 * ((SQRT('Résultats des tournois'!T$2 + 1)/'Résultats des tournois'!T91) - (1 / (1 + 10^((T$103 - lastVal)/400)))))
)
))"),"")</f>
        <v/>
      </c>
      <c r="V91" s="32" t="str">
        <f>IFERROR(__xludf.DUMMYFUNCTION("IF('Résultats des tournois'!U$2=0,"""",LET(
lastVal, INDEX(FILTER($B91:U91, ISNUMBER($B91:U91)), COUNTA(FILTER($B91:U91, ISNUMBER($B91:U91)))),
IFERROR(
IF('Résultats des tournois'!U91="""", INDEX(FILTER($C91:U91, ISNUMBER($C91:U91)), COUNTA(FILTER($C91:U"&amp;"91, ISNUMBER($C91:U91)))),
lastVal + 'K dynamique'!U91 * ((SQRT('Résultats des tournois'!U$2 + 1)/'Résultats des tournois'!U91) - (1 / (1 + 10^((U$103 - lastVal)/400)))))
)
))"),"")</f>
        <v/>
      </c>
      <c r="W91" s="32" t="str">
        <f>IFERROR(__xludf.DUMMYFUNCTION("IF('Résultats des tournois'!V$2=0,"""",LET(
lastVal, INDEX(FILTER($B91:V91, ISNUMBER($B91:V91)), COUNTA(FILTER($B91:V91, ISNUMBER($B91:V91)))),
IFERROR(
IF('Résultats des tournois'!V91="""", INDEX(FILTER($C91:V91, ISNUMBER($C91:V91)), COUNTA(FILTER($C91:V"&amp;"91, ISNUMBER($C91:V91)))),
lastVal + 'K dynamique'!V91 * ((SQRT('Résultats des tournois'!V$2 + 1)/'Résultats des tournois'!V91) - (1 / (1 + 10^((V$103 - lastVal)/400)))))
)
))"),"")</f>
        <v/>
      </c>
      <c r="X91" s="32" t="str">
        <f>IFERROR(__xludf.DUMMYFUNCTION("IF('Résultats des tournois'!W$2=0,"""",LET(
lastVal, INDEX(FILTER($B91:W91, ISNUMBER($B91:W91)), COUNTA(FILTER($B91:W91, ISNUMBER($B91:W91)))),
IFERROR(
IF('Résultats des tournois'!W91="""", INDEX(FILTER($C91:W91, ISNUMBER($C91:W91)), COUNTA(FILTER($C91:W"&amp;"91, ISNUMBER($C91:W91)))),
lastVal + 'K dynamique'!W91 * ((SQRT('Résultats des tournois'!W$2 + 1)/'Résultats des tournois'!W91) - (1 / (1 + 10^((W$103 - lastVal)/400)))))
)
))"),"")</f>
        <v/>
      </c>
      <c r="Y91" s="32" t="str">
        <f>IFERROR(__xludf.DUMMYFUNCTION("IF('Résultats des tournois'!X$2=0,"""",LET(
lastVal, INDEX(FILTER($B91:X91, ISNUMBER($B91:X91)), COUNTA(FILTER($B91:X91, ISNUMBER($B91:X91)))),
IFERROR(
IF('Résultats des tournois'!X91="""", INDEX(FILTER($C91:X91, ISNUMBER($C91:X91)), COUNTA(FILTER($C91:X"&amp;"91, ISNUMBER($C91:X91)))),
lastVal + 'K dynamique'!X91 * ((SQRT('Résultats des tournois'!X$2 + 1)/'Résultats des tournois'!X91) - (1 / (1 + 10^((X$103 - lastVal)/400)))))
)
))"),"")</f>
        <v/>
      </c>
      <c r="Z91" s="32" t="str">
        <f>IFERROR(__xludf.DUMMYFUNCTION("IF('Résultats des tournois'!Y$2=0,"""",LET(
lastVal, INDEX(FILTER($B91:Y91, ISNUMBER($B91:Y91)), COUNTA(FILTER($B91:Y91, ISNUMBER($B91:Y91)))),
IFERROR(
IF('Résultats des tournois'!Y91="""", INDEX(FILTER($C91:Y91, ISNUMBER($C91:Y91)), COUNTA(FILTER($C91:Y"&amp;"91, ISNUMBER($C91:Y91)))),
lastVal + 'K dynamique'!Y91 * ((SQRT('Résultats des tournois'!Y$2 + 1)/'Résultats des tournois'!Y91) - (1 / (1 + 10^((Y$103 - lastVal)/400)))))
)
))"),"")</f>
        <v/>
      </c>
      <c r="AA91" s="32" t="str">
        <f>IFERROR(__xludf.DUMMYFUNCTION("IF('Résultats des tournois'!Z$2=0,"""",LET(
lastVal, INDEX(FILTER($B91:Z91, ISNUMBER($B91:Z91)), COUNTA(FILTER($B91:Z91, ISNUMBER($B91:Z91)))),
IFERROR(
IF('Résultats des tournois'!Z91="""", INDEX(FILTER($C91:Z91, ISNUMBER($C91:Z91)), COUNTA(FILTER($C91:Z"&amp;"91, ISNUMBER($C91:Z91)))),
lastVal + 'K dynamique'!Z91 * ((SQRT('Résultats des tournois'!Z$2 + 1)/'Résultats des tournois'!Z91) - (1 / (1 + 10^((Z$103 - lastVal)/400)))))
)
))"),"")</f>
        <v/>
      </c>
      <c r="AB91" s="32" t="str">
        <f>IFERROR(__xludf.DUMMYFUNCTION("IF('Résultats des tournois'!AA$2=0,"""",LET(
lastVal, INDEX(FILTER($B91:AA91, ISNUMBER($B91:AA91)), COUNTA(FILTER($B91:AA91, ISNUMBER($B91:AA91)))),
IFERROR(
IF('Résultats des tournois'!AA91="""", INDEX(FILTER($C91:AA91, ISNUMBER($C91:AA91)), COUNTA(FILTE"&amp;"R($C91:AA91, ISNUMBER($C91:AA91)))),
lastVal + 'K dynamique'!AA91 * ((SQRT('Résultats des tournois'!AA$2 + 1)/'Résultats des tournois'!AA91) - (1 / (1 + 10^((AA$103 - lastVal)/400)))))
)
))"),"")</f>
        <v/>
      </c>
      <c r="AC91" s="32" t="str">
        <f>IFERROR(__xludf.DUMMYFUNCTION("IF('Résultats des tournois'!AB$2=0,"""",LET(
lastVal, INDEX(FILTER($B91:AB91, ISNUMBER($B91:AB91)), COUNTA(FILTER($B91:AB91, ISNUMBER($B91:AB91)))),
IFERROR(
IF('Résultats des tournois'!AB91="""", INDEX(FILTER($C91:AB91, ISNUMBER($C91:AB91)), COUNTA(FILTE"&amp;"R($C91:AB91, ISNUMBER($C91:AB91)))),
lastVal + 'K dynamique'!AB91 * ((SQRT('Résultats des tournois'!AB$2 + 1)/'Résultats des tournois'!AB91) - (1 / (1 + 10^((AB$103 - lastVal)/400)))))
)
))"),"")</f>
        <v/>
      </c>
      <c r="AD91" s="32" t="str">
        <f>IFERROR(__xludf.DUMMYFUNCTION("IF('Résultats des tournois'!AC$2=0,"""",LET(
lastVal, INDEX(FILTER($B91:AC91, ISNUMBER($B91:AC91)), COUNTA(FILTER($B91:AC91, ISNUMBER($B91:AC91)))),
IFERROR(
IF('Résultats des tournois'!AC91="""", INDEX(FILTER($C91:AC91, ISNUMBER($C91:AC91)), COUNTA(FILTE"&amp;"R($C91:AC91, ISNUMBER($C91:AC91)))),
lastVal + 'K dynamique'!AC91 * ((SQRT('Résultats des tournois'!AC$2 + 1)/'Résultats des tournois'!AC91) - (1 / (1 + 10^((AC$103 - lastVal)/400)))))
)
))"),"")</f>
        <v/>
      </c>
      <c r="AE91" s="32" t="str">
        <f>IFERROR(__xludf.DUMMYFUNCTION("IF('Résultats des tournois'!AD$2=0,"""",LET(
lastVal, INDEX(FILTER($B91:AD91, ISNUMBER($B91:AD91)), COUNTA(FILTER($B91:AD91, ISNUMBER($B91:AD91)))),
IFERROR(
IF('Résultats des tournois'!AD91="""", INDEX(FILTER($C91:AD91, ISNUMBER($C91:AD91)), COUNTA(FILTE"&amp;"R($C91:AD91, ISNUMBER($C91:AD91)))),
lastVal + 'K dynamique'!AD91 * ((SQRT('Résultats des tournois'!AD$2 + 1)/'Résultats des tournois'!AD91) - (1 / (1 + 10^((AD$103 - lastVal)/400)))))
)
))"),"")</f>
        <v/>
      </c>
      <c r="AF91" s="32" t="str">
        <f>IFERROR(__xludf.DUMMYFUNCTION("IF('Résultats des tournois'!AE$2=0,"""",LET(
lastVal, INDEX(FILTER($B91:AE91, ISNUMBER($B91:AE91)), COUNTA(FILTER($B91:AE91, ISNUMBER($B91:AE91)))),
IFERROR(
IF('Résultats des tournois'!AE91="""", INDEX(FILTER($C91:AE91, ISNUMBER($C91:AE91)), COUNTA(FILTE"&amp;"R($C91:AE91, ISNUMBER($C91:AE91)))),
lastVal + 'K dynamique'!AE91 * ((SQRT('Résultats des tournois'!AE$2 + 1)/'Résultats des tournois'!AE91) - (1 / (1 + 10^((AE$103 - lastVal)/400)))))
)
))"),"")</f>
        <v/>
      </c>
      <c r="AG91" s="32" t="str">
        <f>IFERROR(__xludf.DUMMYFUNCTION("IF('Résultats des tournois'!AF$2=0,"""",LET(
lastVal, INDEX(FILTER($B91:AF91, ISNUMBER($B91:AF91)), COUNTA(FILTER($B91:AF91, ISNUMBER($B91:AF91)))),
IFERROR(
IF('Résultats des tournois'!AF91="""", INDEX(FILTER($C91:AF91, ISNUMBER($C91:AF91)), COUNTA(FILTE"&amp;"R($C91:AF91, ISNUMBER($C91:AF91)))),
lastVal + 'K dynamique'!AF91 * ((SQRT('Résultats des tournois'!AF$2 + 1)/'Résultats des tournois'!AF91) - (1 / (1 + 10^((AF$103 - lastVal)/400)))))
)
))"),"")</f>
        <v/>
      </c>
      <c r="AH91" s="32" t="str">
        <f>IFERROR(__xludf.DUMMYFUNCTION("IF('Résultats des tournois'!AG$2=0,"""",LET(
lastVal, INDEX(FILTER($B91:AG91, ISNUMBER($B91:AG91)), COUNTA(FILTER($B91:AG91, ISNUMBER($B91:AG91)))),
IFERROR(
IF('Résultats des tournois'!AG91="""", INDEX(FILTER($C91:AG91, ISNUMBER($C91:AG91)), COUNTA(FILTE"&amp;"R($C91:AG91, ISNUMBER($C91:AG91)))),
lastVal + 'K dynamique'!AG91 * ((SQRT('Résultats des tournois'!AG$2 + 1)/'Résultats des tournois'!AG91) - (1 / (1 + 10^((AG$103 - lastVal)/400)))))
)
))"),"")</f>
        <v/>
      </c>
      <c r="AI91" s="32" t="str">
        <f>IFERROR(__xludf.DUMMYFUNCTION("IF('Résultats des tournois'!AH$2=0,"""",LET(
lastVal, INDEX(FILTER($B91:AH91, ISNUMBER($B91:AH91)), COUNTA(FILTER($B91:AH91, ISNUMBER($B91:AH91)))),
IFERROR(
IF('Résultats des tournois'!AH91="""", INDEX(FILTER($C91:AH91, ISNUMBER($C91:AH91)), COUNTA(FILTE"&amp;"R($C91:AH91, ISNUMBER($C91:AH91)))),
lastVal + 'K dynamique'!AH91 * ((SQRT('Résultats des tournois'!AH$2 + 1)/'Résultats des tournois'!AH91) - (1 / (1 + 10^((AH$103 - lastVal)/400)))))
)
))"),"")</f>
        <v/>
      </c>
      <c r="AJ91" s="32" t="str">
        <f>IFERROR(__xludf.DUMMYFUNCTION("IF('Résultats des tournois'!AI$2=0,"""",LET(
lastVal, INDEX(FILTER($B91:AI91, ISNUMBER($B91:AI91)), COUNTA(FILTER($B91:AI91, ISNUMBER($B91:AI91)))),
IFERROR(
IF('Résultats des tournois'!AI91="""", INDEX(FILTER($C91:AI91, ISNUMBER($C91:AI91)), COUNTA(FILTE"&amp;"R($C91:AI91, ISNUMBER($C91:AI91)))),
lastVal + 'K dynamique'!AI91 * ((SQRT('Résultats des tournois'!AI$2 + 1)/'Résultats des tournois'!AI91) - (1 / (1 + 10^((AI$103 - lastVal)/400)))))
)
))"),"")</f>
        <v/>
      </c>
      <c r="AK91" s="32" t="str">
        <f>IFERROR(__xludf.DUMMYFUNCTION("IF('Résultats des tournois'!AJ$2=0,"""",LET(
lastVal, INDEX(FILTER($B91:AJ91, ISNUMBER($B91:AJ91)), COUNTA(FILTER($B91:AJ91, ISNUMBER($B91:AJ91)))),
IFERROR(
IF('Résultats des tournois'!AJ91="""", INDEX(FILTER($C91:AJ91, ISNUMBER($C91:AJ91)), COUNTA(FILTE"&amp;"R($C91:AJ91, ISNUMBER($C91:AJ91)))),
lastVal + 'K dynamique'!AJ91 * ((SQRT('Résultats des tournois'!AJ$2 + 1)/'Résultats des tournois'!AJ91) - (1 / (1 + 10^((AJ$103 - lastVal)/400)))))
)
))"),"")</f>
        <v/>
      </c>
      <c r="AL91" s="32" t="str">
        <f>IFERROR(__xludf.DUMMYFUNCTION("IF('Résultats des tournois'!AK$2=0,"""",LET(
lastVal, INDEX(FILTER($B91:AK91, ISNUMBER($B91:AK91)), COUNTA(FILTER($B91:AK91, ISNUMBER($B91:AK91)))),
IFERROR(
IF('Résultats des tournois'!AK91="""", INDEX(FILTER($C91:AK91, ISNUMBER($C91:AK91)), COUNTA(FILTE"&amp;"R($C91:AK91, ISNUMBER($C91:AK91)))),
lastVal + 'K dynamique'!AK91 * ((SQRT('Résultats des tournois'!AK$2 + 1)/'Résultats des tournois'!AK91) - (1 / (1 + 10^((AK$103 - lastVal)/400)))))
)
))"),"")</f>
        <v/>
      </c>
      <c r="AM91" s="32" t="str">
        <f>IFERROR(__xludf.DUMMYFUNCTION("IF('Résultats des tournois'!AL$2=0,"""",LET(
lastVal, INDEX(FILTER($B91:AL91, ISNUMBER($B91:AL91)), COUNTA(FILTER($B91:AL91, ISNUMBER($B91:AL91)))),
IFERROR(
IF('Résultats des tournois'!AL91="""", INDEX(FILTER($C91:AL91, ISNUMBER($C91:AL91)), COUNTA(FILTE"&amp;"R($C91:AL91, ISNUMBER($C91:AL91)))),
lastVal + 'K dynamique'!AL91 * ((SQRT('Résultats des tournois'!AL$2 + 1)/'Résultats des tournois'!AL91) - (1 / (1 + 10^((AL$103 - lastVal)/400)))))
)
))"),"")</f>
        <v/>
      </c>
      <c r="AN91" s="32" t="str">
        <f>IFERROR(__xludf.DUMMYFUNCTION("IF('Résultats des tournois'!AM$2=0,"""",LET(
lastVal, INDEX(FILTER($B91:AM91, ISNUMBER($B91:AM91)), COUNTA(FILTER($B91:AM91, ISNUMBER($B91:AM91)))),
IFERROR(
IF('Résultats des tournois'!AM91="""", INDEX(FILTER($C91:AM91, ISNUMBER($C91:AM91)), COUNTA(FILTE"&amp;"R($C91:AM91, ISNUMBER($C91:AM91)))),
lastVal + 'K dynamique'!AM91 * ((SQRT('Résultats des tournois'!AM$2 + 1)/'Résultats des tournois'!AM91) - (1 / (1 + 10^((AM$103 - lastVal)/400)))))
)
))"),"")</f>
        <v/>
      </c>
      <c r="AO91" s="32" t="str">
        <f>IFERROR(__xludf.DUMMYFUNCTION("IF('Résultats des tournois'!AN$2=0,"""",LET(
lastVal, INDEX(FILTER($B91:AN91, ISNUMBER($B91:AN91)), COUNTA(FILTER($B91:AN91, ISNUMBER($B91:AN91)))),
IFERROR(
IF('Résultats des tournois'!AN91="""", INDEX(FILTER($C91:AN91, ISNUMBER($C91:AN91)), COUNTA(FILTE"&amp;"R($C91:AN91, ISNUMBER($C91:AN91)))),
lastVal + 'K dynamique'!AN91 * ((SQRT('Résultats des tournois'!AN$2 + 1)/'Résultats des tournois'!AN91) - (1 / (1 + 10^((AN$103 - lastVal)/400)))))
)
))"),"")</f>
        <v/>
      </c>
      <c r="AP91" s="32" t="str">
        <f>IFERROR(__xludf.DUMMYFUNCTION("IF('Résultats des tournois'!AO$2=0,"""",LET(
lastVal, INDEX(FILTER($B91:AO91, ISNUMBER($B91:AO91)), COUNTA(FILTER($B91:AO91, ISNUMBER($B91:AO91)))),
IFERROR(
IF('Résultats des tournois'!AO91="""", INDEX(FILTER($C91:AO91, ISNUMBER($C91:AO91)), COUNTA(FILTE"&amp;"R($C91:AO91, ISNUMBER($C91:AO91)))),
lastVal + 'K dynamique'!AO91 * ((SQRT('Résultats des tournois'!AO$2 + 1)/'Résultats des tournois'!AO91) - (1 / (1 + 10^((AO$103 - lastVal)/400)))))
)
))"),"")</f>
        <v/>
      </c>
      <c r="AQ91" s="32" t="str">
        <f>IFERROR(__xludf.DUMMYFUNCTION("IF('Résultats des tournois'!AP$2=0,"""",LET(
lastVal, INDEX(FILTER($B91:AP91, ISNUMBER($B91:AP91)), COUNTA(FILTER($B91:AP91, ISNUMBER($B91:AP91)))),
IFERROR(
IF('Résultats des tournois'!AP91="""", INDEX(FILTER($C91:AP91, ISNUMBER($C91:AP91)), COUNTA(FILTE"&amp;"R($C91:AP91, ISNUMBER($C91:AP91)))),
lastVal + 'K dynamique'!AP91 * ((SQRT('Résultats des tournois'!AP$2 + 1)/'Résultats des tournois'!AP91) - (1 / (1 + 10^((AP$103 - lastVal)/400)))))
)
))"),"")</f>
        <v/>
      </c>
      <c r="AR91" s="32" t="str">
        <f>IFERROR(__xludf.DUMMYFUNCTION("IF('Résultats des tournois'!AQ$2=0,"""",LET(
lastVal, INDEX(FILTER($B91:AQ91, ISNUMBER($B91:AQ91)), COUNTA(FILTER($B91:AQ91, ISNUMBER($B91:AQ91)))),
IFERROR(
IF('Résultats des tournois'!AQ91="""", INDEX(FILTER($C91:AQ91, ISNUMBER($C91:AQ91)), COUNTA(FILTE"&amp;"R($C91:AQ91, ISNUMBER($C91:AQ91)))),
lastVal + 'K dynamique'!AQ91 * ((SQRT('Résultats des tournois'!AQ$2 + 1)/'Résultats des tournois'!AQ91) - (1 / (1 + 10^((AQ$103 - lastVal)/400)))))
)
))"),"")</f>
        <v/>
      </c>
      <c r="AS91" s="32" t="str">
        <f>IFERROR(__xludf.DUMMYFUNCTION("IF('Résultats des tournois'!AR$2=0,"""",LET(
lastVal, INDEX(FILTER($B91:AR91, ISNUMBER($B91:AR91)), COUNTA(FILTER($B91:AR91, ISNUMBER($B91:AR91)))),
IFERROR(
IF('Résultats des tournois'!AR91="""", INDEX(FILTER($C91:AR91, ISNUMBER($C91:AR91)), COUNTA(FILTE"&amp;"R($C91:AR91, ISNUMBER($C91:AR91)))),
lastVal + 'K dynamique'!AR91 * ((SQRT('Résultats des tournois'!AR$2 + 1)/'Résultats des tournois'!AR91) - (1 / (1 + 10^((AR$103 - lastVal)/400)))))
)
))"),"")</f>
        <v/>
      </c>
      <c r="AT91" s="32" t="str">
        <f>IFERROR(__xludf.DUMMYFUNCTION("IF('Résultats des tournois'!AS$2=0,"""",LET(
lastVal, INDEX(FILTER($B91:AS91, ISNUMBER($B91:AS91)), COUNTA(FILTER($B91:AS91, ISNUMBER($B91:AS91)))),
IFERROR(
IF('Résultats des tournois'!AS91="""", INDEX(FILTER($C91:AS91, ISNUMBER($C91:AS91)), COUNTA(FILTE"&amp;"R($C91:AS91, ISNUMBER($C91:AS91)))),
lastVal + 'K dynamique'!AS91 * ((SQRT('Résultats des tournois'!AS$2 + 1)/'Résultats des tournois'!AS91) - (1 / (1 + 10^((AS$103 - lastVal)/400)))))
)
))"),"")</f>
        <v/>
      </c>
      <c r="AU91" s="32" t="str">
        <f>IFERROR(__xludf.DUMMYFUNCTION("IF('Résultats des tournois'!AT$2=0,"""",LET(
lastVal, INDEX(FILTER($B91:AT91, ISNUMBER($B91:AT91)), COUNTA(FILTER($B91:AT91, ISNUMBER($B91:AT91)))),
IFERROR(
IF('Résultats des tournois'!AT91="""", INDEX(FILTER($C91:AT91, ISNUMBER($C91:AT91)), COUNTA(FILTE"&amp;"R($C91:AT91, ISNUMBER($C91:AT91)))),
lastVal + 'K dynamique'!AT91 * ((SQRT('Résultats des tournois'!AT$2 + 1)/'Résultats des tournois'!AT91) - (1 / (1 + 10^((AT$103 - lastVal)/400)))))
)
))"),"")</f>
        <v/>
      </c>
      <c r="AV91" s="32" t="str">
        <f>IFERROR(__xludf.DUMMYFUNCTION("IF('Résultats des tournois'!AU$2=0,"""",LET(
lastVal, INDEX(FILTER($B91:AU91, ISNUMBER($B91:AU91)), COUNTA(FILTER($B91:AU91, ISNUMBER($B91:AU91)))),
IFERROR(
IF('Résultats des tournois'!AU91="""", INDEX(FILTER($C91:AU91, ISNUMBER($C91:AU91)), COUNTA(FILTE"&amp;"R($C91:AU91, ISNUMBER($C91:AU91)))),
lastVal + 'K dynamique'!AU91 * ((SQRT('Résultats des tournois'!AU$2 + 1)/'Résultats des tournois'!AU91) - (1 / (1 + 10^((AU$103 - lastVal)/400)))))
)
))"),"")</f>
        <v/>
      </c>
      <c r="AW91" s="32" t="str">
        <f>IFERROR(__xludf.DUMMYFUNCTION("IF('Résultats des tournois'!AV$2=0,"""",LET(
lastVal, INDEX(FILTER($B91:AV91, ISNUMBER($B91:AV91)), COUNTA(FILTER($B91:AV91, ISNUMBER($B91:AV91)))),
IFERROR(
IF('Résultats des tournois'!AV91="""", INDEX(FILTER($C91:AV91, ISNUMBER($C91:AV91)), COUNTA(FILTE"&amp;"R($C91:AV91, ISNUMBER($C91:AV91)))),
lastVal + 'K dynamique'!AV91 * ((SQRT('Résultats des tournois'!AV$2 + 1)/'Résultats des tournois'!AV91) - (1 / (1 + 10^((AV$103 - lastVal)/400)))))
)
))"),"")</f>
        <v/>
      </c>
      <c r="AX91" s="32" t="str">
        <f>IFERROR(__xludf.DUMMYFUNCTION("IF('Résultats des tournois'!AW$2=0,"""",LET(
lastVal, INDEX(FILTER($B91:AW91, ISNUMBER($B91:AW91)), COUNTA(FILTER($B91:AW91, ISNUMBER($B91:AW91)))),
IFERROR(
IF('Résultats des tournois'!AW91="""", INDEX(FILTER($C91:AW91, ISNUMBER($C91:AW91)), COUNTA(FILTE"&amp;"R($C91:AW91, ISNUMBER($C91:AW91)))),
lastVal + 'K dynamique'!AW91 * ((SQRT('Résultats des tournois'!AW$2 + 1)/'Résultats des tournois'!AW91) - (1 / (1 + 10^((AW$103 - lastVal)/400)))))
)
))"),"")</f>
        <v/>
      </c>
      <c r="AY91" s="32" t="str">
        <f>IFERROR(__xludf.DUMMYFUNCTION("IF('Résultats des tournois'!AX$2=0,"""",LET(
lastVal, INDEX(FILTER($B91:AX91, ISNUMBER($B91:AX91)), COUNTA(FILTER($B91:AX91, ISNUMBER($B91:AX91)))),
IFERROR(
IF('Résultats des tournois'!AX91="""", INDEX(FILTER($C91:AX91, ISNUMBER($C91:AX91)), COUNTA(FILTE"&amp;"R($C91:AX91, ISNUMBER($C91:AX91)))),
lastVal + 'K dynamique'!AX91 * ((SQRT('Résultats des tournois'!AX$2 + 1)/'Résultats des tournois'!AX91) - (1 / (1 + 10^((AX$103 - lastVal)/400)))))
)
))"),"")</f>
        <v/>
      </c>
      <c r="AZ91" s="4" t="str">
        <f t="array" ref="AZ91">IF(MAX(($C91:AY91&lt;&gt;"")*COLUMN($C91:AY91))=0,"",INDEX($C91:AY91,1,MAX(($C91:AY91&lt;&gt;"")*COLUMN($C91:AY91))-COLUMN($C91)+1))</f>
        <v/>
      </c>
      <c r="BA91" s="33" t="str">
        <f t="shared" si="1"/>
        <v/>
      </c>
    </row>
    <row r="92" ht="14.25" customHeight="1">
      <c r="A92" s="32" t="str">
        <f>IF('Résultats des tournois'!A92="","",'Résultats des tournois'!A92)</f>
        <v/>
      </c>
      <c r="B92" s="32">
        <v>1500.0</v>
      </c>
      <c r="C92" s="32" t="str">
        <f>IF('Résultats des tournois'!B92="","",B92+'K dynamique'!B92*((SQRT('Résultats des tournois'!B$2+1)/'Résultats des tournois'!B92)-(1/(1+10^((B92-B92)/400)))))</f>
        <v/>
      </c>
      <c r="D92" s="32" t="str">
        <f>IFERROR(__xludf.DUMMYFUNCTION("IF('Résultats des tournois'!C$2=0,"""",LET(
lastVal, INDEX(FILTER($B92:C92, ISNUMBER($B92:C92)), COUNTA(FILTER($B92:C92, ISNUMBER($B92:C92)))),
IFERROR(
IF('Résultats des tournois'!C92="""", INDEX(FILTER($C92:C92, ISNUMBER($C92:C92)), COUNTA(FILTER($C92:C"&amp;"92, ISNUMBER($C92:C92)))),
lastVal + 'K dynamique'!C92 * ((SQRT('Résultats des tournois'!C$2 + 1)/'Résultats des tournois'!C92) - (1 / (1 + 10^((C$103 - lastVal)/400)))))
)
))"),"")</f>
        <v/>
      </c>
      <c r="E92" s="32" t="str">
        <f>IFERROR(__xludf.DUMMYFUNCTION("IF('Résultats des tournois'!D$2=0,"""",LET(
lastVal, INDEX(FILTER($B92:D92, ISNUMBER($B92:D92)), COUNTA(FILTER($B92:D92, ISNUMBER($B92:D92)))),
IFERROR(
IF('Résultats des tournois'!D92="""", INDEX(FILTER($C92:D92, ISNUMBER($C92:D92)), COUNTA(FILTER($C92:D"&amp;"92, ISNUMBER($C92:D92)))),
lastVal + 'K dynamique'!D92 * ((SQRT('Résultats des tournois'!D$2 + 1)/'Résultats des tournois'!D92) - (1 / (1 + 10^((D$103 - lastVal)/400)))))
)
))"),"")</f>
        <v/>
      </c>
      <c r="F92" s="32" t="str">
        <f>IFERROR(__xludf.DUMMYFUNCTION("IF('Résultats des tournois'!E$2=0,"""",LET(
lastVal, INDEX(FILTER($B92:E92, ISNUMBER($B92:E92)), COUNTA(FILTER($B92:E92, ISNUMBER($B92:E92)))),
IFERROR(
IF('Résultats des tournois'!E92="""", INDEX(FILTER($C92:E92, ISNUMBER($C92:E92)), COUNTA(FILTER($C92:E"&amp;"92, ISNUMBER($C92:E92)))),
lastVal + 'K dynamique'!E92 * ((SQRT('Résultats des tournois'!E$2 + 1)/'Résultats des tournois'!E92) - (1 / (1 + 10^((E$103 - lastVal)/400)))))
)
))"),"")</f>
        <v/>
      </c>
      <c r="G92" s="32" t="str">
        <f>IFERROR(__xludf.DUMMYFUNCTION("IF('Résultats des tournois'!F$2=0,"""",LET(
lastVal, INDEX(FILTER($B92:F92, ISNUMBER($B92:F92)), COUNTA(FILTER($B92:F92, ISNUMBER($B92:F92)))),
IFERROR(
IF('Résultats des tournois'!F92="""", INDEX(FILTER($C92:F92, ISNUMBER($C92:F92)), COUNTA(FILTER($C92:F"&amp;"92, ISNUMBER($C92:F92)))),
lastVal + 'K dynamique'!F92 * ((SQRT('Résultats des tournois'!F$2 + 1)/'Résultats des tournois'!F92) - (1 / (1 + 10^((F$103 - lastVal)/400)))))
)
))"),"")</f>
        <v/>
      </c>
      <c r="H92" s="32" t="str">
        <f>IFERROR(__xludf.DUMMYFUNCTION("IF('Résultats des tournois'!G$2=0,"""",LET(
lastVal, INDEX(FILTER($B92:G92, ISNUMBER($B92:G92)), COUNTA(FILTER($B92:G92, ISNUMBER($B92:G92)))),
IFERROR(
IF('Résultats des tournois'!G92="""", INDEX(FILTER($C92:G92, ISNUMBER($C92:G92)), COUNTA(FILTER($C92:G"&amp;"92, ISNUMBER($C92:G92)))),
lastVal + 'K dynamique'!G92 * ((SQRT('Résultats des tournois'!G$2 + 1)/'Résultats des tournois'!G92) - (1 / (1 + 10^((G$103 - lastVal)/400)))))
)
))"),"")</f>
        <v/>
      </c>
      <c r="I92" s="32" t="str">
        <f>IFERROR(__xludf.DUMMYFUNCTION("IF('Résultats des tournois'!H$2=0,"""",LET(
lastVal, INDEX(FILTER($B92:H92, ISNUMBER($B92:H92)), COUNTA(FILTER($B92:H92, ISNUMBER($B92:H92)))),
IFERROR(
IF('Résultats des tournois'!H92="""", INDEX(FILTER($C92:H92, ISNUMBER($C92:H92)), COUNTA(FILTER($C92:H"&amp;"92, ISNUMBER($C92:H92)))),
lastVal + 'K dynamique'!H92 * ((SQRT('Résultats des tournois'!H$2 + 1)/'Résultats des tournois'!H92) - (1 / (1 + 10^((H$103 - lastVal)/400)))))
)
))"),"")</f>
        <v/>
      </c>
      <c r="J92" s="32" t="str">
        <f>IFERROR(__xludf.DUMMYFUNCTION("IF('Résultats des tournois'!I$2=0,"""",LET(
lastVal, INDEX(FILTER($B92:I92, ISNUMBER($B92:I92)), COUNTA(FILTER($B92:I92, ISNUMBER($B92:I92)))),
IFERROR(
IF('Résultats des tournois'!I92="""", INDEX(FILTER($C92:I92, ISNUMBER($C92:I92)), COUNTA(FILTER($C92:I"&amp;"92, ISNUMBER($C92:I92)))),
lastVal + 'K dynamique'!I92 * ((SQRT('Résultats des tournois'!I$2 + 1)/'Résultats des tournois'!I92) - (1 / (1 + 10^((I$103 - lastVal)/400)))))
)
))"),"")</f>
        <v/>
      </c>
      <c r="K92" s="32" t="str">
        <f>IFERROR(__xludf.DUMMYFUNCTION("IF('Résultats des tournois'!J$2=0,"""",LET(
lastVal, INDEX(FILTER($B92:J92, ISNUMBER($B92:J92)), COUNTA(FILTER($B92:J92, ISNUMBER($B92:J92)))),
IFERROR(
IF('Résultats des tournois'!J92="""", INDEX(FILTER($C92:J92, ISNUMBER($C92:J92)), COUNTA(FILTER($C92:J"&amp;"92, ISNUMBER($C92:J92)))),
lastVal + 'K dynamique'!J92 * ((SQRT('Résultats des tournois'!J$2 + 1)/'Résultats des tournois'!J92) - (1 / (1 + 10^((J$103 - lastVal)/400)))))
)
))"),"")</f>
        <v/>
      </c>
      <c r="L92" s="32" t="str">
        <f>IFERROR(__xludf.DUMMYFUNCTION("IF('Résultats des tournois'!K$2=0,"""",LET(
lastVal, INDEX(FILTER($B92:K92, ISNUMBER($B92:K92)), COUNTA(FILTER($B92:K92, ISNUMBER($B92:K92)))),
IFERROR(
IF('Résultats des tournois'!K92="""", INDEX(FILTER($C92:K92, ISNUMBER($C92:K92)), COUNTA(FILTER($C92:K"&amp;"92, ISNUMBER($C92:K92)))),
lastVal + 'K dynamique'!K92 * ((SQRT('Résultats des tournois'!K$2 + 1)/'Résultats des tournois'!K92) - (1 / (1 + 10^((K$103 - lastVal)/400)))))
)
))"),"")</f>
        <v/>
      </c>
      <c r="M92" s="32" t="str">
        <f>IFERROR(__xludf.DUMMYFUNCTION("IF('Résultats des tournois'!L$2=0,"""",LET(
lastVal, INDEX(FILTER($B92:L92, ISNUMBER($B92:L92)), COUNTA(FILTER($B92:L92, ISNUMBER($B92:L92)))),
IFERROR(
IF('Résultats des tournois'!L92="""", INDEX(FILTER($C92:L92, ISNUMBER($C92:L92)), COUNTA(FILTER($C92:L"&amp;"92, ISNUMBER($C92:L92)))),
lastVal + 'K dynamique'!L92 * ((SQRT('Résultats des tournois'!L$2 + 1)/'Résultats des tournois'!L92) - (1 / (1 + 10^((L$103 - lastVal)/400)))))
)
))"),"")</f>
        <v/>
      </c>
      <c r="N92" s="32" t="str">
        <f>IFERROR(__xludf.DUMMYFUNCTION("IF('Résultats des tournois'!M$2=0,"""",LET(
lastVal, INDEX(FILTER($B92:M92, ISNUMBER($B92:M92)), COUNTA(FILTER($B92:M92, ISNUMBER($B92:M92)))),
IFERROR(
IF('Résultats des tournois'!M92="""", INDEX(FILTER($C92:M92, ISNUMBER($C92:M92)), COUNTA(FILTER($C92:M"&amp;"92, ISNUMBER($C92:M92)))),
lastVal + 'K dynamique'!M92 * ((SQRT('Résultats des tournois'!M$2 + 1)/'Résultats des tournois'!M92) - (1 / (1 + 10^((M$103 - lastVal)/400)))))
)
))"),"")</f>
        <v/>
      </c>
      <c r="O92" s="32" t="str">
        <f>IFERROR(__xludf.DUMMYFUNCTION("IF('Résultats des tournois'!N$2=0,"""",LET(
lastVal, INDEX(FILTER($B92:N92, ISNUMBER($B92:N92)), COUNTA(FILTER($B92:N92, ISNUMBER($B92:N92)))),
IFERROR(
IF('Résultats des tournois'!N92="""", INDEX(FILTER($C92:N92, ISNUMBER($C92:N92)), COUNTA(FILTER($C92:N"&amp;"92, ISNUMBER($C92:N92)))),
lastVal + 'K dynamique'!N92 * ((SQRT('Résultats des tournois'!N$2 + 1)/'Résultats des tournois'!N92) - (1 / (1 + 10^((N$103 - lastVal)/400)))))
)
))"),"")</f>
        <v/>
      </c>
      <c r="P92" s="32" t="str">
        <f>IFERROR(__xludf.DUMMYFUNCTION("IF('Résultats des tournois'!O$2=0,"""",LET(
lastVal, INDEX(FILTER($B92:O92, ISNUMBER($B92:O92)), COUNTA(FILTER($B92:O92, ISNUMBER($B92:O92)))),
IFERROR(
IF('Résultats des tournois'!O92="""", INDEX(FILTER($C92:O92, ISNUMBER($C92:O92)), COUNTA(FILTER($C92:O"&amp;"92, ISNUMBER($C92:O92)))),
lastVal + 'K dynamique'!O92 * ((SQRT('Résultats des tournois'!O$2 + 1)/'Résultats des tournois'!O92) - (1 / (1 + 10^((O$103 - lastVal)/400)))))
)
))"),"")</f>
        <v/>
      </c>
      <c r="Q92" s="32" t="str">
        <f>IFERROR(__xludf.DUMMYFUNCTION("IF('Résultats des tournois'!P$2=0,"""",LET(
lastVal, INDEX(FILTER($B92:P92, ISNUMBER($B92:P92)), COUNTA(FILTER($B92:P92, ISNUMBER($B92:P92)))),
IFERROR(
IF('Résultats des tournois'!P92="""", INDEX(FILTER($C92:P92, ISNUMBER($C92:P92)), COUNTA(FILTER($C92:P"&amp;"92, ISNUMBER($C92:P92)))),
lastVal + 'K dynamique'!P92 * ((SQRT('Résultats des tournois'!P$2 + 1)/'Résultats des tournois'!P92) - (1 / (1 + 10^((P$103 - lastVal)/400)))))
)
))"),"")</f>
        <v/>
      </c>
      <c r="R92" s="32" t="str">
        <f>IFERROR(__xludf.DUMMYFUNCTION("IF('Résultats des tournois'!Q$2=0,"""",LET(
lastVal, INDEX(FILTER($B92:Q92, ISNUMBER($B92:Q92)), COUNTA(FILTER($B92:Q92, ISNUMBER($B92:Q92)))),
IFERROR(
IF('Résultats des tournois'!Q92="""", INDEX(FILTER($C92:Q92, ISNUMBER($C92:Q92)), COUNTA(FILTER($C92:Q"&amp;"92, ISNUMBER($C92:Q92)))),
lastVal + 'K dynamique'!Q92 * ((SQRT('Résultats des tournois'!Q$2 + 1)/'Résultats des tournois'!Q92) - (1 / (1 + 10^((Q$103 - lastVal)/400)))))
)
))"),"")</f>
        <v/>
      </c>
      <c r="S92" s="32" t="str">
        <f>IFERROR(__xludf.DUMMYFUNCTION("IF('Résultats des tournois'!R$2=0,"""",LET(
lastVal, INDEX(FILTER($B92:R92, ISNUMBER($B92:R92)), COUNTA(FILTER($B92:R92, ISNUMBER($B92:R92)))),
IFERROR(
IF('Résultats des tournois'!R92="""", INDEX(FILTER($C92:R92, ISNUMBER($C92:R92)), COUNTA(FILTER($C92:R"&amp;"92, ISNUMBER($C92:R92)))),
lastVal + 'K dynamique'!R92 * ((SQRT('Résultats des tournois'!R$2 + 1)/'Résultats des tournois'!R92) - (1 / (1 + 10^((R$103 - lastVal)/400)))))
)
))"),"")</f>
        <v/>
      </c>
      <c r="T92" s="32" t="str">
        <f>IFERROR(__xludf.DUMMYFUNCTION("IF('Résultats des tournois'!S$2=0,"""",LET(
lastVal, INDEX(FILTER($B92:S92, ISNUMBER($B92:S92)), COUNTA(FILTER($B92:S92, ISNUMBER($B92:S92)))),
IFERROR(
IF('Résultats des tournois'!S92="""", INDEX(FILTER($C92:S92, ISNUMBER($C92:S92)), COUNTA(FILTER($C92:S"&amp;"92, ISNUMBER($C92:S92)))),
lastVal + 'K dynamique'!S92 * ((SQRT('Résultats des tournois'!S$2 + 1)/'Résultats des tournois'!S92) - (1 / (1 + 10^((S$103 - lastVal)/400)))))
)
))"),"")</f>
        <v/>
      </c>
      <c r="U92" s="32" t="str">
        <f>IFERROR(__xludf.DUMMYFUNCTION("IF('Résultats des tournois'!T$2=0,"""",LET(
lastVal, INDEX(FILTER($B92:T92, ISNUMBER($B92:T92)), COUNTA(FILTER($B92:T92, ISNUMBER($B92:T92)))),
IFERROR(
IF('Résultats des tournois'!T92="""", INDEX(FILTER($C92:T92, ISNUMBER($C92:T92)), COUNTA(FILTER($C92:T"&amp;"92, ISNUMBER($C92:T92)))),
lastVal + 'K dynamique'!T92 * ((SQRT('Résultats des tournois'!T$2 + 1)/'Résultats des tournois'!T92) - (1 / (1 + 10^((T$103 - lastVal)/400)))))
)
))"),"")</f>
        <v/>
      </c>
      <c r="V92" s="32" t="str">
        <f>IFERROR(__xludf.DUMMYFUNCTION("IF('Résultats des tournois'!U$2=0,"""",LET(
lastVal, INDEX(FILTER($B92:U92, ISNUMBER($B92:U92)), COUNTA(FILTER($B92:U92, ISNUMBER($B92:U92)))),
IFERROR(
IF('Résultats des tournois'!U92="""", INDEX(FILTER($C92:U92, ISNUMBER($C92:U92)), COUNTA(FILTER($C92:U"&amp;"92, ISNUMBER($C92:U92)))),
lastVal + 'K dynamique'!U92 * ((SQRT('Résultats des tournois'!U$2 + 1)/'Résultats des tournois'!U92) - (1 / (1 + 10^((U$103 - lastVal)/400)))))
)
))"),"")</f>
        <v/>
      </c>
      <c r="W92" s="32" t="str">
        <f>IFERROR(__xludf.DUMMYFUNCTION("IF('Résultats des tournois'!V$2=0,"""",LET(
lastVal, INDEX(FILTER($B92:V92, ISNUMBER($B92:V92)), COUNTA(FILTER($B92:V92, ISNUMBER($B92:V92)))),
IFERROR(
IF('Résultats des tournois'!V92="""", INDEX(FILTER($C92:V92, ISNUMBER($C92:V92)), COUNTA(FILTER($C92:V"&amp;"92, ISNUMBER($C92:V92)))),
lastVal + 'K dynamique'!V92 * ((SQRT('Résultats des tournois'!V$2 + 1)/'Résultats des tournois'!V92) - (1 / (1 + 10^((V$103 - lastVal)/400)))))
)
))"),"")</f>
        <v/>
      </c>
      <c r="X92" s="32" t="str">
        <f>IFERROR(__xludf.DUMMYFUNCTION("IF('Résultats des tournois'!W$2=0,"""",LET(
lastVal, INDEX(FILTER($B92:W92, ISNUMBER($B92:W92)), COUNTA(FILTER($B92:W92, ISNUMBER($B92:W92)))),
IFERROR(
IF('Résultats des tournois'!W92="""", INDEX(FILTER($C92:W92, ISNUMBER($C92:W92)), COUNTA(FILTER($C92:W"&amp;"92, ISNUMBER($C92:W92)))),
lastVal + 'K dynamique'!W92 * ((SQRT('Résultats des tournois'!W$2 + 1)/'Résultats des tournois'!W92) - (1 / (1 + 10^((W$103 - lastVal)/400)))))
)
))"),"")</f>
        <v/>
      </c>
      <c r="Y92" s="32" t="str">
        <f>IFERROR(__xludf.DUMMYFUNCTION("IF('Résultats des tournois'!X$2=0,"""",LET(
lastVal, INDEX(FILTER($B92:X92, ISNUMBER($B92:X92)), COUNTA(FILTER($B92:X92, ISNUMBER($B92:X92)))),
IFERROR(
IF('Résultats des tournois'!X92="""", INDEX(FILTER($C92:X92, ISNUMBER($C92:X92)), COUNTA(FILTER($C92:X"&amp;"92, ISNUMBER($C92:X92)))),
lastVal + 'K dynamique'!X92 * ((SQRT('Résultats des tournois'!X$2 + 1)/'Résultats des tournois'!X92) - (1 / (1 + 10^((X$103 - lastVal)/400)))))
)
))"),"")</f>
        <v/>
      </c>
      <c r="Z92" s="32" t="str">
        <f>IFERROR(__xludf.DUMMYFUNCTION("IF('Résultats des tournois'!Y$2=0,"""",LET(
lastVal, INDEX(FILTER($B92:Y92, ISNUMBER($B92:Y92)), COUNTA(FILTER($B92:Y92, ISNUMBER($B92:Y92)))),
IFERROR(
IF('Résultats des tournois'!Y92="""", INDEX(FILTER($C92:Y92, ISNUMBER($C92:Y92)), COUNTA(FILTER($C92:Y"&amp;"92, ISNUMBER($C92:Y92)))),
lastVal + 'K dynamique'!Y92 * ((SQRT('Résultats des tournois'!Y$2 + 1)/'Résultats des tournois'!Y92) - (1 / (1 + 10^((Y$103 - lastVal)/400)))))
)
))"),"")</f>
        <v/>
      </c>
      <c r="AA92" s="32" t="str">
        <f>IFERROR(__xludf.DUMMYFUNCTION("IF('Résultats des tournois'!Z$2=0,"""",LET(
lastVal, INDEX(FILTER($B92:Z92, ISNUMBER($B92:Z92)), COUNTA(FILTER($B92:Z92, ISNUMBER($B92:Z92)))),
IFERROR(
IF('Résultats des tournois'!Z92="""", INDEX(FILTER($C92:Z92, ISNUMBER($C92:Z92)), COUNTA(FILTER($C92:Z"&amp;"92, ISNUMBER($C92:Z92)))),
lastVal + 'K dynamique'!Z92 * ((SQRT('Résultats des tournois'!Z$2 + 1)/'Résultats des tournois'!Z92) - (1 / (1 + 10^((Z$103 - lastVal)/400)))))
)
))"),"")</f>
        <v/>
      </c>
      <c r="AB92" s="32" t="str">
        <f>IFERROR(__xludf.DUMMYFUNCTION("IF('Résultats des tournois'!AA$2=0,"""",LET(
lastVal, INDEX(FILTER($B92:AA92, ISNUMBER($B92:AA92)), COUNTA(FILTER($B92:AA92, ISNUMBER($B92:AA92)))),
IFERROR(
IF('Résultats des tournois'!AA92="""", INDEX(FILTER($C92:AA92, ISNUMBER($C92:AA92)), COUNTA(FILTE"&amp;"R($C92:AA92, ISNUMBER($C92:AA92)))),
lastVal + 'K dynamique'!AA92 * ((SQRT('Résultats des tournois'!AA$2 + 1)/'Résultats des tournois'!AA92) - (1 / (1 + 10^((AA$103 - lastVal)/400)))))
)
))"),"")</f>
        <v/>
      </c>
      <c r="AC92" s="32" t="str">
        <f>IFERROR(__xludf.DUMMYFUNCTION("IF('Résultats des tournois'!AB$2=0,"""",LET(
lastVal, INDEX(FILTER($B92:AB92, ISNUMBER($B92:AB92)), COUNTA(FILTER($B92:AB92, ISNUMBER($B92:AB92)))),
IFERROR(
IF('Résultats des tournois'!AB92="""", INDEX(FILTER($C92:AB92, ISNUMBER($C92:AB92)), COUNTA(FILTE"&amp;"R($C92:AB92, ISNUMBER($C92:AB92)))),
lastVal + 'K dynamique'!AB92 * ((SQRT('Résultats des tournois'!AB$2 + 1)/'Résultats des tournois'!AB92) - (1 / (1 + 10^((AB$103 - lastVal)/400)))))
)
))"),"")</f>
        <v/>
      </c>
      <c r="AD92" s="32" t="str">
        <f>IFERROR(__xludf.DUMMYFUNCTION("IF('Résultats des tournois'!AC$2=0,"""",LET(
lastVal, INDEX(FILTER($B92:AC92, ISNUMBER($B92:AC92)), COUNTA(FILTER($B92:AC92, ISNUMBER($B92:AC92)))),
IFERROR(
IF('Résultats des tournois'!AC92="""", INDEX(FILTER($C92:AC92, ISNUMBER($C92:AC92)), COUNTA(FILTE"&amp;"R($C92:AC92, ISNUMBER($C92:AC92)))),
lastVal + 'K dynamique'!AC92 * ((SQRT('Résultats des tournois'!AC$2 + 1)/'Résultats des tournois'!AC92) - (1 / (1 + 10^((AC$103 - lastVal)/400)))))
)
))"),"")</f>
        <v/>
      </c>
      <c r="AE92" s="32" t="str">
        <f>IFERROR(__xludf.DUMMYFUNCTION("IF('Résultats des tournois'!AD$2=0,"""",LET(
lastVal, INDEX(FILTER($B92:AD92, ISNUMBER($B92:AD92)), COUNTA(FILTER($B92:AD92, ISNUMBER($B92:AD92)))),
IFERROR(
IF('Résultats des tournois'!AD92="""", INDEX(FILTER($C92:AD92, ISNUMBER($C92:AD92)), COUNTA(FILTE"&amp;"R($C92:AD92, ISNUMBER($C92:AD92)))),
lastVal + 'K dynamique'!AD92 * ((SQRT('Résultats des tournois'!AD$2 + 1)/'Résultats des tournois'!AD92) - (1 / (1 + 10^((AD$103 - lastVal)/400)))))
)
))"),"")</f>
        <v/>
      </c>
      <c r="AF92" s="32" t="str">
        <f>IFERROR(__xludf.DUMMYFUNCTION("IF('Résultats des tournois'!AE$2=0,"""",LET(
lastVal, INDEX(FILTER($B92:AE92, ISNUMBER($B92:AE92)), COUNTA(FILTER($B92:AE92, ISNUMBER($B92:AE92)))),
IFERROR(
IF('Résultats des tournois'!AE92="""", INDEX(FILTER($C92:AE92, ISNUMBER($C92:AE92)), COUNTA(FILTE"&amp;"R($C92:AE92, ISNUMBER($C92:AE92)))),
lastVal + 'K dynamique'!AE92 * ((SQRT('Résultats des tournois'!AE$2 + 1)/'Résultats des tournois'!AE92) - (1 / (1 + 10^((AE$103 - lastVal)/400)))))
)
))"),"")</f>
        <v/>
      </c>
      <c r="AG92" s="32" t="str">
        <f>IFERROR(__xludf.DUMMYFUNCTION("IF('Résultats des tournois'!AF$2=0,"""",LET(
lastVal, INDEX(FILTER($B92:AF92, ISNUMBER($B92:AF92)), COUNTA(FILTER($B92:AF92, ISNUMBER($B92:AF92)))),
IFERROR(
IF('Résultats des tournois'!AF92="""", INDEX(FILTER($C92:AF92, ISNUMBER($C92:AF92)), COUNTA(FILTE"&amp;"R($C92:AF92, ISNUMBER($C92:AF92)))),
lastVal + 'K dynamique'!AF92 * ((SQRT('Résultats des tournois'!AF$2 + 1)/'Résultats des tournois'!AF92) - (1 / (1 + 10^((AF$103 - lastVal)/400)))))
)
))"),"")</f>
        <v/>
      </c>
      <c r="AH92" s="32" t="str">
        <f>IFERROR(__xludf.DUMMYFUNCTION("IF('Résultats des tournois'!AG$2=0,"""",LET(
lastVal, INDEX(FILTER($B92:AG92, ISNUMBER($B92:AG92)), COUNTA(FILTER($B92:AG92, ISNUMBER($B92:AG92)))),
IFERROR(
IF('Résultats des tournois'!AG92="""", INDEX(FILTER($C92:AG92, ISNUMBER($C92:AG92)), COUNTA(FILTE"&amp;"R($C92:AG92, ISNUMBER($C92:AG92)))),
lastVal + 'K dynamique'!AG92 * ((SQRT('Résultats des tournois'!AG$2 + 1)/'Résultats des tournois'!AG92) - (1 / (1 + 10^((AG$103 - lastVal)/400)))))
)
))"),"")</f>
        <v/>
      </c>
      <c r="AI92" s="32" t="str">
        <f>IFERROR(__xludf.DUMMYFUNCTION("IF('Résultats des tournois'!AH$2=0,"""",LET(
lastVal, INDEX(FILTER($B92:AH92, ISNUMBER($B92:AH92)), COUNTA(FILTER($B92:AH92, ISNUMBER($B92:AH92)))),
IFERROR(
IF('Résultats des tournois'!AH92="""", INDEX(FILTER($C92:AH92, ISNUMBER($C92:AH92)), COUNTA(FILTE"&amp;"R($C92:AH92, ISNUMBER($C92:AH92)))),
lastVal + 'K dynamique'!AH92 * ((SQRT('Résultats des tournois'!AH$2 + 1)/'Résultats des tournois'!AH92) - (1 / (1 + 10^((AH$103 - lastVal)/400)))))
)
))"),"")</f>
        <v/>
      </c>
      <c r="AJ92" s="32" t="str">
        <f>IFERROR(__xludf.DUMMYFUNCTION("IF('Résultats des tournois'!AI$2=0,"""",LET(
lastVal, INDEX(FILTER($B92:AI92, ISNUMBER($B92:AI92)), COUNTA(FILTER($B92:AI92, ISNUMBER($B92:AI92)))),
IFERROR(
IF('Résultats des tournois'!AI92="""", INDEX(FILTER($C92:AI92, ISNUMBER($C92:AI92)), COUNTA(FILTE"&amp;"R($C92:AI92, ISNUMBER($C92:AI92)))),
lastVal + 'K dynamique'!AI92 * ((SQRT('Résultats des tournois'!AI$2 + 1)/'Résultats des tournois'!AI92) - (1 / (1 + 10^((AI$103 - lastVal)/400)))))
)
))"),"")</f>
        <v/>
      </c>
      <c r="AK92" s="32" t="str">
        <f>IFERROR(__xludf.DUMMYFUNCTION("IF('Résultats des tournois'!AJ$2=0,"""",LET(
lastVal, INDEX(FILTER($B92:AJ92, ISNUMBER($B92:AJ92)), COUNTA(FILTER($B92:AJ92, ISNUMBER($B92:AJ92)))),
IFERROR(
IF('Résultats des tournois'!AJ92="""", INDEX(FILTER($C92:AJ92, ISNUMBER($C92:AJ92)), COUNTA(FILTE"&amp;"R($C92:AJ92, ISNUMBER($C92:AJ92)))),
lastVal + 'K dynamique'!AJ92 * ((SQRT('Résultats des tournois'!AJ$2 + 1)/'Résultats des tournois'!AJ92) - (1 / (1 + 10^((AJ$103 - lastVal)/400)))))
)
))"),"")</f>
        <v/>
      </c>
      <c r="AL92" s="32" t="str">
        <f>IFERROR(__xludf.DUMMYFUNCTION("IF('Résultats des tournois'!AK$2=0,"""",LET(
lastVal, INDEX(FILTER($B92:AK92, ISNUMBER($B92:AK92)), COUNTA(FILTER($B92:AK92, ISNUMBER($B92:AK92)))),
IFERROR(
IF('Résultats des tournois'!AK92="""", INDEX(FILTER($C92:AK92, ISNUMBER($C92:AK92)), COUNTA(FILTE"&amp;"R($C92:AK92, ISNUMBER($C92:AK92)))),
lastVal + 'K dynamique'!AK92 * ((SQRT('Résultats des tournois'!AK$2 + 1)/'Résultats des tournois'!AK92) - (1 / (1 + 10^((AK$103 - lastVal)/400)))))
)
))"),"")</f>
        <v/>
      </c>
      <c r="AM92" s="32" t="str">
        <f>IFERROR(__xludf.DUMMYFUNCTION("IF('Résultats des tournois'!AL$2=0,"""",LET(
lastVal, INDEX(FILTER($B92:AL92, ISNUMBER($B92:AL92)), COUNTA(FILTER($B92:AL92, ISNUMBER($B92:AL92)))),
IFERROR(
IF('Résultats des tournois'!AL92="""", INDEX(FILTER($C92:AL92, ISNUMBER($C92:AL92)), COUNTA(FILTE"&amp;"R($C92:AL92, ISNUMBER($C92:AL92)))),
lastVal + 'K dynamique'!AL92 * ((SQRT('Résultats des tournois'!AL$2 + 1)/'Résultats des tournois'!AL92) - (1 / (1 + 10^((AL$103 - lastVal)/400)))))
)
))"),"")</f>
        <v/>
      </c>
      <c r="AN92" s="32" t="str">
        <f>IFERROR(__xludf.DUMMYFUNCTION("IF('Résultats des tournois'!AM$2=0,"""",LET(
lastVal, INDEX(FILTER($B92:AM92, ISNUMBER($B92:AM92)), COUNTA(FILTER($B92:AM92, ISNUMBER($B92:AM92)))),
IFERROR(
IF('Résultats des tournois'!AM92="""", INDEX(FILTER($C92:AM92, ISNUMBER($C92:AM92)), COUNTA(FILTE"&amp;"R($C92:AM92, ISNUMBER($C92:AM92)))),
lastVal + 'K dynamique'!AM92 * ((SQRT('Résultats des tournois'!AM$2 + 1)/'Résultats des tournois'!AM92) - (1 / (1 + 10^((AM$103 - lastVal)/400)))))
)
))"),"")</f>
        <v/>
      </c>
      <c r="AO92" s="32" t="str">
        <f>IFERROR(__xludf.DUMMYFUNCTION("IF('Résultats des tournois'!AN$2=0,"""",LET(
lastVal, INDEX(FILTER($B92:AN92, ISNUMBER($B92:AN92)), COUNTA(FILTER($B92:AN92, ISNUMBER($B92:AN92)))),
IFERROR(
IF('Résultats des tournois'!AN92="""", INDEX(FILTER($C92:AN92, ISNUMBER($C92:AN92)), COUNTA(FILTE"&amp;"R($C92:AN92, ISNUMBER($C92:AN92)))),
lastVal + 'K dynamique'!AN92 * ((SQRT('Résultats des tournois'!AN$2 + 1)/'Résultats des tournois'!AN92) - (1 / (1 + 10^((AN$103 - lastVal)/400)))))
)
))"),"")</f>
        <v/>
      </c>
      <c r="AP92" s="32" t="str">
        <f>IFERROR(__xludf.DUMMYFUNCTION("IF('Résultats des tournois'!AO$2=0,"""",LET(
lastVal, INDEX(FILTER($B92:AO92, ISNUMBER($B92:AO92)), COUNTA(FILTER($B92:AO92, ISNUMBER($B92:AO92)))),
IFERROR(
IF('Résultats des tournois'!AO92="""", INDEX(FILTER($C92:AO92, ISNUMBER($C92:AO92)), COUNTA(FILTE"&amp;"R($C92:AO92, ISNUMBER($C92:AO92)))),
lastVal + 'K dynamique'!AO92 * ((SQRT('Résultats des tournois'!AO$2 + 1)/'Résultats des tournois'!AO92) - (1 / (1 + 10^((AO$103 - lastVal)/400)))))
)
))"),"")</f>
        <v/>
      </c>
      <c r="AQ92" s="32" t="str">
        <f>IFERROR(__xludf.DUMMYFUNCTION("IF('Résultats des tournois'!AP$2=0,"""",LET(
lastVal, INDEX(FILTER($B92:AP92, ISNUMBER($B92:AP92)), COUNTA(FILTER($B92:AP92, ISNUMBER($B92:AP92)))),
IFERROR(
IF('Résultats des tournois'!AP92="""", INDEX(FILTER($C92:AP92, ISNUMBER($C92:AP92)), COUNTA(FILTE"&amp;"R($C92:AP92, ISNUMBER($C92:AP92)))),
lastVal + 'K dynamique'!AP92 * ((SQRT('Résultats des tournois'!AP$2 + 1)/'Résultats des tournois'!AP92) - (1 / (1 + 10^((AP$103 - lastVal)/400)))))
)
))"),"")</f>
        <v/>
      </c>
      <c r="AR92" s="32" t="str">
        <f>IFERROR(__xludf.DUMMYFUNCTION("IF('Résultats des tournois'!AQ$2=0,"""",LET(
lastVal, INDEX(FILTER($B92:AQ92, ISNUMBER($B92:AQ92)), COUNTA(FILTER($B92:AQ92, ISNUMBER($B92:AQ92)))),
IFERROR(
IF('Résultats des tournois'!AQ92="""", INDEX(FILTER($C92:AQ92, ISNUMBER($C92:AQ92)), COUNTA(FILTE"&amp;"R($C92:AQ92, ISNUMBER($C92:AQ92)))),
lastVal + 'K dynamique'!AQ92 * ((SQRT('Résultats des tournois'!AQ$2 + 1)/'Résultats des tournois'!AQ92) - (1 / (1 + 10^((AQ$103 - lastVal)/400)))))
)
))"),"")</f>
        <v/>
      </c>
      <c r="AS92" s="32" t="str">
        <f>IFERROR(__xludf.DUMMYFUNCTION("IF('Résultats des tournois'!AR$2=0,"""",LET(
lastVal, INDEX(FILTER($B92:AR92, ISNUMBER($B92:AR92)), COUNTA(FILTER($B92:AR92, ISNUMBER($B92:AR92)))),
IFERROR(
IF('Résultats des tournois'!AR92="""", INDEX(FILTER($C92:AR92, ISNUMBER($C92:AR92)), COUNTA(FILTE"&amp;"R($C92:AR92, ISNUMBER($C92:AR92)))),
lastVal + 'K dynamique'!AR92 * ((SQRT('Résultats des tournois'!AR$2 + 1)/'Résultats des tournois'!AR92) - (1 / (1 + 10^((AR$103 - lastVal)/400)))))
)
))"),"")</f>
        <v/>
      </c>
      <c r="AT92" s="32" t="str">
        <f>IFERROR(__xludf.DUMMYFUNCTION("IF('Résultats des tournois'!AS$2=0,"""",LET(
lastVal, INDEX(FILTER($B92:AS92, ISNUMBER($B92:AS92)), COUNTA(FILTER($B92:AS92, ISNUMBER($B92:AS92)))),
IFERROR(
IF('Résultats des tournois'!AS92="""", INDEX(FILTER($C92:AS92, ISNUMBER($C92:AS92)), COUNTA(FILTE"&amp;"R($C92:AS92, ISNUMBER($C92:AS92)))),
lastVal + 'K dynamique'!AS92 * ((SQRT('Résultats des tournois'!AS$2 + 1)/'Résultats des tournois'!AS92) - (1 / (1 + 10^((AS$103 - lastVal)/400)))))
)
))"),"")</f>
        <v/>
      </c>
      <c r="AU92" s="32" t="str">
        <f>IFERROR(__xludf.DUMMYFUNCTION("IF('Résultats des tournois'!AT$2=0,"""",LET(
lastVal, INDEX(FILTER($B92:AT92, ISNUMBER($B92:AT92)), COUNTA(FILTER($B92:AT92, ISNUMBER($B92:AT92)))),
IFERROR(
IF('Résultats des tournois'!AT92="""", INDEX(FILTER($C92:AT92, ISNUMBER($C92:AT92)), COUNTA(FILTE"&amp;"R($C92:AT92, ISNUMBER($C92:AT92)))),
lastVal + 'K dynamique'!AT92 * ((SQRT('Résultats des tournois'!AT$2 + 1)/'Résultats des tournois'!AT92) - (1 / (1 + 10^((AT$103 - lastVal)/400)))))
)
))"),"")</f>
        <v/>
      </c>
      <c r="AV92" s="32" t="str">
        <f>IFERROR(__xludf.DUMMYFUNCTION("IF('Résultats des tournois'!AU$2=0,"""",LET(
lastVal, INDEX(FILTER($B92:AU92, ISNUMBER($B92:AU92)), COUNTA(FILTER($B92:AU92, ISNUMBER($B92:AU92)))),
IFERROR(
IF('Résultats des tournois'!AU92="""", INDEX(FILTER($C92:AU92, ISNUMBER($C92:AU92)), COUNTA(FILTE"&amp;"R($C92:AU92, ISNUMBER($C92:AU92)))),
lastVal + 'K dynamique'!AU92 * ((SQRT('Résultats des tournois'!AU$2 + 1)/'Résultats des tournois'!AU92) - (1 / (1 + 10^((AU$103 - lastVal)/400)))))
)
))"),"")</f>
        <v/>
      </c>
      <c r="AW92" s="32" t="str">
        <f>IFERROR(__xludf.DUMMYFUNCTION("IF('Résultats des tournois'!AV$2=0,"""",LET(
lastVal, INDEX(FILTER($B92:AV92, ISNUMBER($B92:AV92)), COUNTA(FILTER($B92:AV92, ISNUMBER($B92:AV92)))),
IFERROR(
IF('Résultats des tournois'!AV92="""", INDEX(FILTER($C92:AV92, ISNUMBER($C92:AV92)), COUNTA(FILTE"&amp;"R($C92:AV92, ISNUMBER($C92:AV92)))),
lastVal + 'K dynamique'!AV92 * ((SQRT('Résultats des tournois'!AV$2 + 1)/'Résultats des tournois'!AV92) - (1 / (1 + 10^((AV$103 - lastVal)/400)))))
)
))"),"")</f>
        <v/>
      </c>
      <c r="AX92" s="32" t="str">
        <f>IFERROR(__xludf.DUMMYFUNCTION("IF('Résultats des tournois'!AW$2=0,"""",LET(
lastVal, INDEX(FILTER($B92:AW92, ISNUMBER($B92:AW92)), COUNTA(FILTER($B92:AW92, ISNUMBER($B92:AW92)))),
IFERROR(
IF('Résultats des tournois'!AW92="""", INDEX(FILTER($C92:AW92, ISNUMBER($C92:AW92)), COUNTA(FILTE"&amp;"R($C92:AW92, ISNUMBER($C92:AW92)))),
lastVal + 'K dynamique'!AW92 * ((SQRT('Résultats des tournois'!AW$2 + 1)/'Résultats des tournois'!AW92) - (1 / (1 + 10^((AW$103 - lastVal)/400)))))
)
))"),"")</f>
        <v/>
      </c>
      <c r="AY92" s="32" t="str">
        <f>IFERROR(__xludf.DUMMYFUNCTION("IF('Résultats des tournois'!AX$2=0,"""",LET(
lastVal, INDEX(FILTER($B92:AX92, ISNUMBER($B92:AX92)), COUNTA(FILTER($B92:AX92, ISNUMBER($B92:AX92)))),
IFERROR(
IF('Résultats des tournois'!AX92="""", INDEX(FILTER($C92:AX92, ISNUMBER($C92:AX92)), COUNTA(FILTE"&amp;"R($C92:AX92, ISNUMBER($C92:AX92)))),
lastVal + 'K dynamique'!AX92 * ((SQRT('Résultats des tournois'!AX$2 + 1)/'Résultats des tournois'!AX92) - (1 / (1 + 10^((AX$103 - lastVal)/400)))))
)
))"),"")</f>
        <v/>
      </c>
      <c r="AZ92" s="4" t="str">
        <f t="array" ref="AZ92">IF(MAX(($C92:AY92&lt;&gt;"")*COLUMN($C92:AY92))=0,"",INDEX($C92:AY92,1,MAX(($C92:AY92&lt;&gt;"")*COLUMN($C92:AY92))-COLUMN($C92)+1))</f>
        <v/>
      </c>
      <c r="BA92" s="33" t="str">
        <f t="shared" si="1"/>
        <v/>
      </c>
    </row>
    <row r="93" ht="14.25" customHeight="1">
      <c r="A93" s="32" t="str">
        <f>IF('Résultats des tournois'!A93="","",'Résultats des tournois'!A93)</f>
        <v/>
      </c>
      <c r="B93" s="32">
        <v>1500.0</v>
      </c>
      <c r="C93" s="32" t="str">
        <f>IF('Résultats des tournois'!B93="","",B93+'K dynamique'!B93*((SQRT('Résultats des tournois'!B$2+1)/'Résultats des tournois'!B93)-(1/(1+10^((B93-B93)/400)))))</f>
        <v/>
      </c>
      <c r="D93" s="32" t="str">
        <f>IFERROR(__xludf.DUMMYFUNCTION("IF('Résultats des tournois'!C$2=0,"""",LET(
lastVal, INDEX(FILTER($B93:C93, ISNUMBER($B93:C93)), COUNTA(FILTER($B93:C93, ISNUMBER($B93:C93)))),
IFERROR(
IF('Résultats des tournois'!C93="""", INDEX(FILTER($C93:C93, ISNUMBER($C93:C93)), COUNTA(FILTER($C93:C"&amp;"93, ISNUMBER($C93:C93)))),
lastVal + 'K dynamique'!C93 * ((SQRT('Résultats des tournois'!C$2 + 1)/'Résultats des tournois'!C93) - (1 / (1 + 10^((C$103 - lastVal)/400)))))
)
))"),"")</f>
        <v/>
      </c>
      <c r="E93" s="32" t="str">
        <f>IFERROR(__xludf.DUMMYFUNCTION("IF('Résultats des tournois'!D$2=0,"""",LET(
lastVal, INDEX(FILTER($B93:D93, ISNUMBER($B93:D93)), COUNTA(FILTER($B93:D93, ISNUMBER($B93:D93)))),
IFERROR(
IF('Résultats des tournois'!D93="""", INDEX(FILTER($C93:D93, ISNUMBER($C93:D93)), COUNTA(FILTER($C93:D"&amp;"93, ISNUMBER($C93:D93)))),
lastVal + 'K dynamique'!D93 * ((SQRT('Résultats des tournois'!D$2 + 1)/'Résultats des tournois'!D93) - (1 / (1 + 10^((D$103 - lastVal)/400)))))
)
))"),"")</f>
        <v/>
      </c>
      <c r="F93" s="32" t="str">
        <f>IFERROR(__xludf.DUMMYFUNCTION("IF('Résultats des tournois'!E$2=0,"""",LET(
lastVal, INDEX(FILTER($B93:E93, ISNUMBER($B93:E93)), COUNTA(FILTER($B93:E93, ISNUMBER($B93:E93)))),
IFERROR(
IF('Résultats des tournois'!E93="""", INDEX(FILTER($C93:E93, ISNUMBER($C93:E93)), COUNTA(FILTER($C93:E"&amp;"93, ISNUMBER($C93:E93)))),
lastVal + 'K dynamique'!E93 * ((SQRT('Résultats des tournois'!E$2 + 1)/'Résultats des tournois'!E93) - (1 / (1 + 10^((E$103 - lastVal)/400)))))
)
))"),"")</f>
        <v/>
      </c>
      <c r="G93" s="32" t="str">
        <f>IFERROR(__xludf.DUMMYFUNCTION("IF('Résultats des tournois'!F$2=0,"""",LET(
lastVal, INDEX(FILTER($B93:F93, ISNUMBER($B93:F93)), COUNTA(FILTER($B93:F93, ISNUMBER($B93:F93)))),
IFERROR(
IF('Résultats des tournois'!F93="""", INDEX(FILTER($C93:F93, ISNUMBER($C93:F93)), COUNTA(FILTER($C93:F"&amp;"93, ISNUMBER($C93:F93)))),
lastVal + 'K dynamique'!F93 * ((SQRT('Résultats des tournois'!F$2 + 1)/'Résultats des tournois'!F93) - (1 / (1 + 10^((F$103 - lastVal)/400)))))
)
))"),"")</f>
        <v/>
      </c>
      <c r="H93" s="32" t="str">
        <f>IFERROR(__xludf.DUMMYFUNCTION("IF('Résultats des tournois'!G$2=0,"""",LET(
lastVal, INDEX(FILTER($B93:G93, ISNUMBER($B93:G93)), COUNTA(FILTER($B93:G93, ISNUMBER($B93:G93)))),
IFERROR(
IF('Résultats des tournois'!G93="""", INDEX(FILTER($C93:G93, ISNUMBER($C93:G93)), COUNTA(FILTER($C93:G"&amp;"93, ISNUMBER($C93:G93)))),
lastVal + 'K dynamique'!G93 * ((SQRT('Résultats des tournois'!G$2 + 1)/'Résultats des tournois'!G93) - (1 / (1 + 10^((G$103 - lastVal)/400)))))
)
))"),"")</f>
        <v/>
      </c>
      <c r="I93" s="32" t="str">
        <f>IFERROR(__xludf.DUMMYFUNCTION("IF('Résultats des tournois'!H$2=0,"""",LET(
lastVal, INDEX(FILTER($B93:H93, ISNUMBER($B93:H93)), COUNTA(FILTER($B93:H93, ISNUMBER($B93:H93)))),
IFERROR(
IF('Résultats des tournois'!H93="""", INDEX(FILTER($C93:H93, ISNUMBER($C93:H93)), COUNTA(FILTER($C93:H"&amp;"93, ISNUMBER($C93:H93)))),
lastVal + 'K dynamique'!H93 * ((SQRT('Résultats des tournois'!H$2 + 1)/'Résultats des tournois'!H93) - (1 / (1 + 10^((H$103 - lastVal)/400)))))
)
))"),"")</f>
        <v/>
      </c>
      <c r="J93" s="32" t="str">
        <f>IFERROR(__xludf.DUMMYFUNCTION("IF('Résultats des tournois'!I$2=0,"""",LET(
lastVal, INDEX(FILTER($B93:I93, ISNUMBER($B93:I93)), COUNTA(FILTER($B93:I93, ISNUMBER($B93:I93)))),
IFERROR(
IF('Résultats des tournois'!I93="""", INDEX(FILTER($C93:I93, ISNUMBER($C93:I93)), COUNTA(FILTER($C93:I"&amp;"93, ISNUMBER($C93:I93)))),
lastVal + 'K dynamique'!I93 * ((SQRT('Résultats des tournois'!I$2 + 1)/'Résultats des tournois'!I93) - (1 / (1 + 10^((I$103 - lastVal)/400)))))
)
))"),"")</f>
        <v/>
      </c>
      <c r="K93" s="32" t="str">
        <f>IFERROR(__xludf.DUMMYFUNCTION("IF('Résultats des tournois'!J$2=0,"""",LET(
lastVal, INDEX(FILTER($B93:J93, ISNUMBER($B93:J93)), COUNTA(FILTER($B93:J93, ISNUMBER($B93:J93)))),
IFERROR(
IF('Résultats des tournois'!J93="""", INDEX(FILTER($C93:J93, ISNUMBER($C93:J93)), COUNTA(FILTER($C93:J"&amp;"93, ISNUMBER($C93:J93)))),
lastVal + 'K dynamique'!J93 * ((SQRT('Résultats des tournois'!J$2 + 1)/'Résultats des tournois'!J93) - (1 / (1 + 10^((J$103 - lastVal)/400)))))
)
))"),"")</f>
        <v/>
      </c>
      <c r="L93" s="32" t="str">
        <f>IFERROR(__xludf.DUMMYFUNCTION("IF('Résultats des tournois'!K$2=0,"""",LET(
lastVal, INDEX(FILTER($B93:K93, ISNUMBER($B93:K93)), COUNTA(FILTER($B93:K93, ISNUMBER($B93:K93)))),
IFERROR(
IF('Résultats des tournois'!K93="""", INDEX(FILTER($C93:K93, ISNUMBER($C93:K93)), COUNTA(FILTER($C93:K"&amp;"93, ISNUMBER($C93:K93)))),
lastVal + 'K dynamique'!K93 * ((SQRT('Résultats des tournois'!K$2 + 1)/'Résultats des tournois'!K93) - (1 / (1 + 10^((K$103 - lastVal)/400)))))
)
))"),"")</f>
        <v/>
      </c>
      <c r="M93" s="32" t="str">
        <f>IFERROR(__xludf.DUMMYFUNCTION("IF('Résultats des tournois'!L$2=0,"""",LET(
lastVal, INDEX(FILTER($B93:L93, ISNUMBER($B93:L93)), COUNTA(FILTER($B93:L93, ISNUMBER($B93:L93)))),
IFERROR(
IF('Résultats des tournois'!L93="""", INDEX(FILTER($C93:L93, ISNUMBER($C93:L93)), COUNTA(FILTER($C93:L"&amp;"93, ISNUMBER($C93:L93)))),
lastVal + 'K dynamique'!L93 * ((SQRT('Résultats des tournois'!L$2 + 1)/'Résultats des tournois'!L93) - (1 / (1 + 10^((L$103 - lastVal)/400)))))
)
))"),"")</f>
        <v/>
      </c>
      <c r="N93" s="32" t="str">
        <f>IFERROR(__xludf.DUMMYFUNCTION("IF('Résultats des tournois'!M$2=0,"""",LET(
lastVal, INDEX(FILTER($B93:M93, ISNUMBER($B93:M93)), COUNTA(FILTER($B93:M93, ISNUMBER($B93:M93)))),
IFERROR(
IF('Résultats des tournois'!M93="""", INDEX(FILTER($C93:M93, ISNUMBER($C93:M93)), COUNTA(FILTER($C93:M"&amp;"93, ISNUMBER($C93:M93)))),
lastVal + 'K dynamique'!M93 * ((SQRT('Résultats des tournois'!M$2 + 1)/'Résultats des tournois'!M93) - (1 / (1 + 10^((M$103 - lastVal)/400)))))
)
))"),"")</f>
        <v/>
      </c>
      <c r="O93" s="32" t="str">
        <f>IFERROR(__xludf.DUMMYFUNCTION("IF('Résultats des tournois'!N$2=0,"""",LET(
lastVal, INDEX(FILTER($B93:N93, ISNUMBER($B93:N93)), COUNTA(FILTER($B93:N93, ISNUMBER($B93:N93)))),
IFERROR(
IF('Résultats des tournois'!N93="""", INDEX(FILTER($C93:N93, ISNUMBER($C93:N93)), COUNTA(FILTER($C93:N"&amp;"93, ISNUMBER($C93:N93)))),
lastVal + 'K dynamique'!N93 * ((SQRT('Résultats des tournois'!N$2 + 1)/'Résultats des tournois'!N93) - (1 / (1 + 10^((N$103 - lastVal)/400)))))
)
))"),"")</f>
        <v/>
      </c>
      <c r="P93" s="32" t="str">
        <f>IFERROR(__xludf.DUMMYFUNCTION("IF('Résultats des tournois'!O$2=0,"""",LET(
lastVal, INDEX(FILTER($B93:O93, ISNUMBER($B93:O93)), COUNTA(FILTER($B93:O93, ISNUMBER($B93:O93)))),
IFERROR(
IF('Résultats des tournois'!O93="""", INDEX(FILTER($C93:O93, ISNUMBER($C93:O93)), COUNTA(FILTER($C93:O"&amp;"93, ISNUMBER($C93:O93)))),
lastVal + 'K dynamique'!O93 * ((SQRT('Résultats des tournois'!O$2 + 1)/'Résultats des tournois'!O93) - (1 / (1 + 10^((O$103 - lastVal)/400)))))
)
))"),"")</f>
        <v/>
      </c>
      <c r="Q93" s="32" t="str">
        <f>IFERROR(__xludf.DUMMYFUNCTION("IF('Résultats des tournois'!P$2=0,"""",LET(
lastVal, INDEX(FILTER($B93:P93, ISNUMBER($B93:P93)), COUNTA(FILTER($B93:P93, ISNUMBER($B93:P93)))),
IFERROR(
IF('Résultats des tournois'!P93="""", INDEX(FILTER($C93:P93, ISNUMBER($C93:P93)), COUNTA(FILTER($C93:P"&amp;"93, ISNUMBER($C93:P93)))),
lastVal + 'K dynamique'!P93 * ((SQRT('Résultats des tournois'!P$2 + 1)/'Résultats des tournois'!P93) - (1 / (1 + 10^((P$103 - lastVal)/400)))))
)
))"),"")</f>
        <v/>
      </c>
      <c r="R93" s="32" t="str">
        <f>IFERROR(__xludf.DUMMYFUNCTION("IF('Résultats des tournois'!Q$2=0,"""",LET(
lastVal, INDEX(FILTER($B93:Q93, ISNUMBER($B93:Q93)), COUNTA(FILTER($B93:Q93, ISNUMBER($B93:Q93)))),
IFERROR(
IF('Résultats des tournois'!Q93="""", INDEX(FILTER($C93:Q93, ISNUMBER($C93:Q93)), COUNTA(FILTER($C93:Q"&amp;"93, ISNUMBER($C93:Q93)))),
lastVal + 'K dynamique'!Q93 * ((SQRT('Résultats des tournois'!Q$2 + 1)/'Résultats des tournois'!Q93) - (1 / (1 + 10^((Q$103 - lastVal)/400)))))
)
))"),"")</f>
        <v/>
      </c>
      <c r="S93" s="32" t="str">
        <f>IFERROR(__xludf.DUMMYFUNCTION("IF('Résultats des tournois'!R$2=0,"""",LET(
lastVal, INDEX(FILTER($B93:R93, ISNUMBER($B93:R93)), COUNTA(FILTER($B93:R93, ISNUMBER($B93:R93)))),
IFERROR(
IF('Résultats des tournois'!R93="""", INDEX(FILTER($C93:R93, ISNUMBER($C93:R93)), COUNTA(FILTER($C93:R"&amp;"93, ISNUMBER($C93:R93)))),
lastVal + 'K dynamique'!R93 * ((SQRT('Résultats des tournois'!R$2 + 1)/'Résultats des tournois'!R93) - (1 / (1 + 10^((R$103 - lastVal)/400)))))
)
))"),"")</f>
        <v/>
      </c>
      <c r="T93" s="32" t="str">
        <f>IFERROR(__xludf.DUMMYFUNCTION("IF('Résultats des tournois'!S$2=0,"""",LET(
lastVal, INDEX(FILTER($B93:S93, ISNUMBER($B93:S93)), COUNTA(FILTER($B93:S93, ISNUMBER($B93:S93)))),
IFERROR(
IF('Résultats des tournois'!S93="""", INDEX(FILTER($C93:S93, ISNUMBER($C93:S93)), COUNTA(FILTER($C93:S"&amp;"93, ISNUMBER($C93:S93)))),
lastVal + 'K dynamique'!S93 * ((SQRT('Résultats des tournois'!S$2 + 1)/'Résultats des tournois'!S93) - (1 / (1 + 10^((S$103 - lastVal)/400)))))
)
))"),"")</f>
        <v/>
      </c>
      <c r="U93" s="32" t="str">
        <f>IFERROR(__xludf.DUMMYFUNCTION("IF('Résultats des tournois'!T$2=0,"""",LET(
lastVal, INDEX(FILTER($B93:T93, ISNUMBER($B93:T93)), COUNTA(FILTER($B93:T93, ISNUMBER($B93:T93)))),
IFERROR(
IF('Résultats des tournois'!T93="""", INDEX(FILTER($C93:T93, ISNUMBER($C93:T93)), COUNTA(FILTER($C93:T"&amp;"93, ISNUMBER($C93:T93)))),
lastVal + 'K dynamique'!T93 * ((SQRT('Résultats des tournois'!T$2 + 1)/'Résultats des tournois'!T93) - (1 / (1 + 10^((T$103 - lastVal)/400)))))
)
))"),"")</f>
        <v/>
      </c>
      <c r="V93" s="32" t="str">
        <f>IFERROR(__xludf.DUMMYFUNCTION("IF('Résultats des tournois'!U$2=0,"""",LET(
lastVal, INDEX(FILTER($B93:U93, ISNUMBER($B93:U93)), COUNTA(FILTER($B93:U93, ISNUMBER($B93:U93)))),
IFERROR(
IF('Résultats des tournois'!U93="""", INDEX(FILTER($C93:U93, ISNUMBER($C93:U93)), COUNTA(FILTER($C93:U"&amp;"93, ISNUMBER($C93:U93)))),
lastVal + 'K dynamique'!U93 * ((SQRT('Résultats des tournois'!U$2 + 1)/'Résultats des tournois'!U93) - (1 / (1 + 10^((U$103 - lastVal)/400)))))
)
))"),"")</f>
        <v/>
      </c>
      <c r="W93" s="32" t="str">
        <f>IFERROR(__xludf.DUMMYFUNCTION("IF('Résultats des tournois'!V$2=0,"""",LET(
lastVal, INDEX(FILTER($B93:V93, ISNUMBER($B93:V93)), COUNTA(FILTER($B93:V93, ISNUMBER($B93:V93)))),
IFERROR(
IF('Résultats des tournois'!V93="""", INDEX(FILTER($C93:V93, ISNUMBER($C93:V93)), COUNTA(FILTER($C93:V"&amp;"93, ISNUMBER($C93:V93)))),
lastVal + 'K dynamique'!V93 * ((SQRT('Résultats des tournois'!V$2 + 1)/'Résultats des tournois'!V93) - (1 / (1 + 10^((V$103 - lastVal)/400)))))
)
))"),"")</f>
        <v/>
      </c>
      <c r="X93" s="32" t="str">
        <f>IFERROR(__xludf.DUMMYFUNCTION("IF('Résultats des tournois'!W$2=0,"""",LET(
lastVal, INDEX(FILTER($B93:W93, ISNUMBER($B93:W93)), COUNTA(FILTER($B93:W93, ISNUMBER($B93:W93)))),
IFERROR(
IF('Résultats des tournois'!W93="""", INDEX(FILTER($C93:W93, ISNUMBER($C93:W93)), COUNTA(FILTER($C93:W"&amp;"93, ISNUMBER($C93:W93)))),
lastVal + 'K dynamique'!W93 * ((SQRT('Résultats des tournois'!W$2 + 1)/'Résultats des tournois'!W93) - (1 / (1 + 10^((W$103 - lastVal)/400)))))
)
))"),"")</f>
        <v/>
      </c>
      <c r="Y93" s="32" t="str">
        <f>IFERROR(__xludf.DUMMYFUNCTION("IF('Résultats des tournois'!X$2=0,"""",LET(
lastVal, INDEX(FILTER($B93:X93, ISNUMBER($B93:X93)), COUNTA(FILTER($B93:X93, ISNUMBER($B93:X93)))),
IFERROR(
IF('Résultats des tournois'!X93="""", INDEX(FILTER($C93:X93, ISNUMBER($C93:X93)), COUNTA(FILTER($C93:X"&amp;"93, ISNUMBER($C93:X93)))),
lastVal + 'K dynamique'!X93 * ((SQRT('Résultats des tournois'!X$2 + 1)/'Résultats des tournois'!X93) - (1 / (1 + 10^((X$103 - lastVal)/400)))))
)
))"),"")</f>
        <v/>
      </c>
      <c r="Z93" s="32" t="str">
        <f>IFERROR(__xludf.DUMMYFUNCTION("IF('Résultats des tournois'!Y$2=0,"""",LET(
lastVal, INDEX(FILTER($B93:Y93, ISNUMBER($B93:Y93)), COUNTA(FILTER($B93:Y93, ISNUMBER($B93:Y93)))),
IFERROR(
IF('Résultats des tournois'!Y93="""", INDEX(FILTER($C93:Y93, ISNUMBER($C93:Y93)), COUNTA(FILTER($C93:Y"&amp;"93, ISNUMBER($C93:Y93)))),
lastVal + 'K dynamique'!Y93 * ((SQRT('Résultats des tournois'!Y$2 + 1)/'Résultats des tournois'!Y93) - (1 / (1 + 10^((Y$103 - lastVal)/400)))))
)
))"),"")</f>
        <v/>
      </c>
      <c r="AA93" s="32" t="str">
        <f>IFERROR(__xludf.DUMMYFUNCTION("IF('Résultats des tournois'!Z$2=0,"""",LET(
lastVal, INDEX(FILTER($B93:Z93, ISNUMBER($B93:Z93)), COUNTA(FILTER($B93:Z93, ISNUMBER($B93:Z93)))),
IFERROR(
IF('Résultats des tournois'!Z93="""", INDEX(FILTER($C93:Z93, ISNUMBER($C93:Z93)), COUNTA(FILTER($C93:Z"&amp;"93, ISNUMBER($C93:Z93)))),
lastVal + 'K dynamique'!Z93 * ((SQRT('Résultats des tournois'!Z$2 + 1)/'Résultats des tournois'!Z93) - (1 / (1 + 10^((Z$103 - lastVal)/400)))))
)
))"),"")</f>
        <v/>
      </c>
      <c r="AB93" s="32" t="str">
        <f>IFERROR(__xludf.DUMMYFUNCTION("IF('Résultats des tournois'!AA$2=0,"""",LET(
lastVal, INDEX(FILTER($B93:AA93, ISNUMBER($B93:AA93)), COUNTA(FILTER($B93:AA93, ISNUMBER($B93:AA93)))),
IFERROR(
IF('Résultats des tournois'!AA93="""", INDEX(FILTER($C93:AA93, ISNUMBER($C93:AA93)), COUNTA(FILTE"&amp;"R($C93:AA93, ISNUMBER($C93:AA93)))),
lastVal + 'K dynamique'!AA93 * ((SQRT('Résultats des tournois'!AA$2 + 1)/'Résultats des tournois'!AA93) - (1 / (1 + 10^((AA$103 - lastVal)/400)))))
)
))"),"")</f>
        <v/>
      </c>
      <c r="AC93" s="32" t="str">
        <f>IFERROR(__xludf.DUMMYFUNCTION("IF('Résultats des tournois'!AB$2=0,"""",LET(
lastVal, INDEX(FILTER($B93:AB93, ISNUMBER($B93:AB93)), COUNTA(FILTER($B93:AB93, ISNUMBER($B93:AB93)))),
IFERROR(
IF('Résultats des tournois'!AB93="""", INDEX(FILTER($C93:AB93, ISNUMBER($C93:AB93)), COUNTA(FILTE"&amp;"R($C93:AB93, ISNUMBER($C93:AB93)))),
lastVal + 'K dynamique'!AB93 * ((SQRT('Résultats des tournois'!AB$2 + 1)/'Résultats des tournois'!AB93) - (1 / (1 + 10^((AB$103 - lastVal)/400)))))
)
))"),"")</f>
        <v/>
      </c>
      <c r="AD93" s="32" t="str">
        <f>IFERROR(__xludf.DUMMYFUNCTION("IF('Résultats des tournois'!AC$2=0,"""",LET(
lastVal, INDEX(FILTER($B93:AC93, ISNUMBER($B93:AC93)), COUNTA(FILTER($B93:AC93, ISNUMBER($B93:AC93)))),
IFERROR(
IF('Résultats des tournois'!AC93="""", INDEX(FILTER($C93:AC93, ISNUMBER($C93:AC93)), COUNTA(FILTE"&amp;"R($C93:AC93, ISNUMBER($C93:AC93)))),
lastVal + 'K dynamique'!AC93 * ((SQRT('Résultats des tournois'!AC$2 + 1)/'Résultats des tournois'!AC93) - (1 / (1 + 10^((AC$103 - lastVal)/400)))))
)
))"),"")</f>
        <v/>
      </c>
      <c r="AE93" s="32" t="str">
        <f>IFERROR(__xludf.DUMMYFUNCTION("IF('Résultats des tournois'!AD$2=0,"""",LET(
lastVal, INDEX(FILTER($B93:AD93, ISNUMBER($B93:AD93)), COUNTA(FILTER($B93:AD93, ISNUMBER($B93:AD93)))),
IFERROR(
IF('Résultats des tournois'!AD93="""", INDEX(FILTER($C93:AD93, ISNUMBER($C93:AD93)), COUNTA(FILTE"&amp;"R($C93:AD93, ISNUMBER($C93:AD93)))),
lastVal + 'K dynamique'!AD93 * ((SQRT('Résultats des tournois'!AD$2 + 1)/'Résultats des tournois'!AD93) - (1 / (1 + 10^((AD$103 - lastVal)/400)))))
)
))"),"")</f>
        <v/>
      </c>
      <c r="AF93" s="32" t="str">
        <f>IFERROR(__xludf.DUMMYFUNCTION("IF('Résultats des tournois'!AE$2=0,"""",LET(
lastVal, INDEX(FILTER($B93:AE93, ISNUMBER($B93:AE93)), COUNTA(FILTER($B93:AE93, ISNUMBER($B93:AE93)))),
IFERROR(
IF('Résultats des tournois'!AE93="""", INDEX(FILTER($C93:AE93, ISNUMBER($C93:AE93)), COUNTA(FILTE"&amp;"R($C93:AE93, ISNUMBER($C93:AE93)))),
lastVal + 'K dynamique'!AE93 * ((SQRT('Résultats des tournois'!AE$2 + 1)/'Résultats des tournois'!AE93) - (1 / (1 + 10^((AE$103 - lastVal)/400)))))
)
))"),"")</f>
        <v/>
      </c>
      <c r="AG93" s="32" t="str">
        <f>IFERROR(__xludf.DUMMYFUNCTION("IF('Résultats des tournois'!AF$2=0,"""",LET(
lastVal, INDEX(FILTER($B93:AF93, ISNUMBER($B93:AF93)), COUNTA(FILTER($B93:AF93, ISNUMBER($B93:AF93)))),
IFERROR(
IF('Résultats des tournois'!AF93="""", INDEX(FILTER($C93:AF93, ISNUMBER($C93:AF93)), COUNTA(FILTE"&amp;"R($C93:AF93, ISNUMBER($C93:AF93)))),
lastVal + 'K dynamique'!AF93 * ((SQRT('Résultats des tournois'!AF$2 + 1)/'Résultats des tournois'!AF93) - (1 / (1 + 10^((AF$103 - lastVal)/400)))))
)
))"),"")</f>
        <v/>
      </c>
      <c r="AH93" s="32" t="str">
        <f>IFERROR(__xludf.DUMMYFUNCTION("IF('Résultats des tournois'!AG$2=0,"""",LET(
lastVal, INDEX(FILTER($B93:AG93, ISNUMBER($B93:AG93)), COUNTA(FILTER($B93:AG93, ISNUMBER($B93:AG93)))),
IFERROR(
IF('Résultats des tournois'!AG93="""", INDEX(FILTER($C93:AG93, ISNUMBER($C93:AG93)), COUNTA(FILTE"&amp;"R($C93:AG93, ISNUMBER($C93:AG93)))),
lastVal + 'K dynamique'!AG93 * ((SQRT('Résultats des tournois'!AG$2 + 1)/'Résultats des tournois'!AG93) - (1 / (1 + 10^((AG$103 - lastVal)/400)))))
)
))"),"")</f>
        <v/>
      </c>
      <c r="AI93" s="32" t="str">
        <f>IFERROR(__xludf.DUMMYFUNCTION("IF('Résultats des tournois'!AH$2=0,"""",LET(
lastVal, INDEX(FILTER($B93:AH93, ISNUMBER($B93:AH93)), COUNTA(FILTER($B93:AH93, ISNUMBER($B93:AH93)))),
IFERROR(
IF('Résultats des tournois'!AH93="""", INDEX(FILTER($C93:AH93, ISNUMBER($C93:AH93)), COUNTA(FILTE"&amp;"R($C93:AH93, ISNUMBER($C93:AH93)))),
lastVal + 'K dynamique'!AH93 * ((SQRT('Résultats des tournois'!AH$2 + 1)/'Résultats des tournois'!AH93) - (1 / (1 + 10^((AH$103 - lastVal)/400)))))
)
))"),"")</f>
        <v/>
      </c>
      <c r="AJ93" s="32" t="str">
        <f>IFERROR(__xludf.DUMMYFUNCTION("IF('Résultats des tournois'!AI$2=0,"""",LET(
lastVal, INDEX(FILTER($B93:AI93, ISNUMBER($B93:AI93)), COUNTA(FILTER($B93:AI93, ISNUMBER($B93:AI93)))),
IFERROR(
IF('Résultats des tournois'!AI93="""", INDEX(FILTER($C93:AI93, ISNUMBER($C93:AI93)), COUNTA(FILTE"&amp;"R($C93:AI93, ISNUMBER($C93:AI93)))),
lastVal + 'K dynamique'!AI93 * ((SQRT('Résultats des tournois'!AI$2 + 1)/'Résultats des tournois'!AI93) - (1 / (1 + 10^((AI$103 - lastVal)/400)))))
)
))"),"")</f>
        <v/>
      </c>
      <c r="AK93" s="32" t="str">
        <f>IFERROR(__xludf.DUMMYFUNCTION("IF('Résultats des tournois'!AJ$2=0,"""",LET(
lastVal, INDEX(FILTER($B93:AJ93, ISNUMBER($B93:AJ93)), COUNTA(FILTER($B93:AJ93, ISNUMBER($B93:AJ93)))),
IFERROR(
IF('Résultats des tournois'!AJ93="""", INDEX(FILTER($C93:AJ93, ISNUMBER($C93:AJ93)), COUNTA(FILTE"&amp;"R($C93:AJ93, ISNUMBER($C93:AJ93)))),
lastVal + 'K dynamique'!AJ93 * ((SQRT('Résultats des tournois'!AJ$2 + 1)/'Résultats des tournois'!AJ93) - (1 / (1 + 10^((AJ$103 - lastVal)/400)))))
)
))"),"")</f>
        <v/>
      </c>
      <c r="AL93" s="32" t="str">
        <f>IFERROR(__xludf.DUMMYFUNCTION("IF('Résultats des tournois'!AK$2=0,"""",LET(
lastVal, INDEX(FILTER($B93:AK93, ISNUMBER($B93:AK93)), COUNTA(FILTER($B93:AK93, ISNUMBER($B93:AK93)))),
IFERROR(
IF('Résultats des tournois'!AK93="""", INDEX(FILTER($C93:AK93, ISNUMBER($C93:AK93)), COUNTA(FILTE"&amp;"R($C93:AK93, ISNUMBER($C93:AK93)))),
lastVal + 'K dynamique'!AK93 * ((SQRT('Résultats des tournois'!AK$2 + 1)/'Résultats des tournois'!AK93) - (1 / (1 + 10^((AK$103 - lastVal)/400)))))
)
))"),"")</f>
        <v/>
      </c>
      <c r="AM93" s="32" t="str">
        <f>IFERROR(__xludf.DUMMYFUNCTION("IF('Résultats des tournois'!AL$2=0,"""",LET(
lastVal, INDEX(FILTER($B93:AL93, ISNUMBER($B93:AL93)), COUNTA(FILTER($B93:AL93, ISNUMBER($B93:AL93)))),
IFERROR(
IF('Résultats des tournois'!AL93="""", INDEX(FILTER($C93:AL93, ISNUMBER($C93:AL93)), COUNTA(FILTE"&amp;"R($C93:AL93, ISNUMBER($C93:AL93)))),
lastVal + 'K dynamique'!AL93 * ((SQRT('Résultats des tournois'!AL$2 + 1)/'Résultats des tournois'!AL93) - (1 / (1 + 10^((AL$103 - lastVal)/400)))))
)
))"),"")</f>
        <v/>
      </c>
      <c r="AN93" s="32" t="str">
        <f>IFERROR(__xludf.DUMMYFUNCTION("IF('Résultats des tournois'!AM$2=0,"""",LET(
lastVal, INDEX(FILTER($B93:AM93, ISNUMBER($B93:AM93)), COUNTA(FILTER($B93:AM93, ISNUMBER($B93:AM93)))),
IFERROR(
IF('Résultats des tournois'!AM93="""", INDEX(FILTER($C93:AM93, ISNUMBER($C93:AM93)), COUNTA(FILTE"&amp;"R($C93:AM93, ISNUMBER($C93:AM93)))),
lastVal + 'K dynamique'!AM93 * ((SQRT('Résultats des tournois'!AM$2 + 1)/'Résultats des tournois'!AM93) - (1 / (1 + 10^((AM$103 - lastVal)/400)))))
)
))"),"")</f>
        <v/>
      </c>
      <c r="AO93" s="32" t="str">
        <f>IFERROR(__xludf.DUMMYFUNCTION("IF('Résultats des tournois'!AN$2=0,"""",LET(
lastVal, INDEX(FILTER($B93:AN93, ISNUMBER($B93:AN93)), COUNTA(FILTER($B93:AN93, ISNUMBER($B93:AN93)))),
IFERROR(
IF('Résultats des tournois'!AN93="""", INDEX(FILTER($C93:AN93, ISNUMBER($C93:AN93)), COUNTA(FILTE"&amp;"R($C93:AN93, ISNUMBER($C93:AN93)))),
lastVal + 'K dynamique'!AN93 * ((SQRT('Résultats des tournois'!AN$2 + 1)/'Résultats des tournois'!AN93) - (1 / (1 + 10^((AN$103 - lastVal)/400)))))
)
))"),"")</f>
        <v/>
      </c>
      <c r="AP93" s="32" t="str">
        <f>IFERROR(__xludf.DUMMYFUNCTION("IF('Résultats des tournois'!AO$2=0,"""",LET(
lastVal, INDEX(FILTER($B93:AO93, ISNUMBER($B93:AO93)), COUNTA(FILTER($B93:AO93, ISNUMBER($B93:AO93)))),
IFERROR(
IF('Résultats des tournois'!AO93="""", INDEX(FILTER($C93:AO93, ISNUMBER($C93:AO93)), COUNTA(FILTE"&amp;"R($C93:AO93, ISNUMBER($C93:AO93)))),
lastVal + 'K dynamique'!AO93 * ((SQRT('Résultats des tournois'!AO$2 + 1)/'Résultats des tournois'!AO93) - (1 / (1 + 10^((AO$103 - lastVal)/400)))))
)
))"),"")</f>
        <v/>
      </c>
      <c r="AQ93" s="32" t="str">
        <f>IFERROR(__xludf.DUMMYFUNCTION("IF('Résultats des tournois'!AP$2=0,"""",LET(
lastVal, INDEX(FILTER($B93:AP93, ISNUMBER($B93:AP93)), COUNTA(FILTER($B93:AP93, ISNUMBER($B93:AP93)))),
IFERROR(
IF('Résultats des tournois'!AP93="""", INDEX(FILTER($C93:AP93, ISNUMBER($C93:AP93)), COUNTA(FILTE"&amp;"R($C93:AP93, ISNUMBER($C93:AP93)))),
lastVal + 'K dynamique'!AP93 * ((SQRT('Résultats des tournois'!AP$2 + 1)/'Résultats des tournois'!AP93) - (1 / (1 + 10^((AP$103 - lastVal)/400)))))
)
))"),"")</f>
        <v/>
      </c>
      <c r="AR93" s="32" t="str">
        <f>IFERROR(__xludf.DUMMYFUNCTION("IF('Résultats des tournois'!AQ$2=0,"""",LET(
lastVal, INDEX(FILTER($B93:AQ93, ISNUMBER($B93:AQ93)), COUNTA(FILTER($B93:AQ93, ISNUMBER($B93:AQ93)))),
IFERROR(
IF('Résultats des tournois'!AQ93="""", INDEX(FILTER($C93:AQ93, ISNUMBER($C93:AQ93)), COUNTA(FILTE"&amp;"R($C93:AQ93, ISNUMBER($C93:AQ93)))),
lastVal + 'K dynamique'!AQ93 * ((SQRT('Résultats des tournois'!AQ$2 + 1)/'Résultats des tournois'!AQ93) - (1 / (1 + 10^((AQ$103 - lastVal)/400)))))
)
))"),"")</f>
        <v/>
      </c>
      <c r="AS93" s="32" t="str">
        <f>IFERROR(__xludf.DUMMYFUNCTION("IF('Résultats des tournois'!AR$2=0,"""",LET(
lastVal, INDEX(FILTER($B93:AR93, ISNUMBER($B93:AR93)), COUNTA(FILTER($B93:AR93, ISNUMBER($B93:AR93)))),
IFERROR(
IF('Résultats des tournois'!AR93="""", INDEX(FILTER($C93:AR93, ISNUMBER($C93:AR93)), COUNTA(FILTE"&amp;"R($C93:AR93, ISNUMBER($C93:AR93)))),
lastVal + 'K dynamique'!AR93 * ((SQRT('Résultats des tournois'!AR$2 + 1)/'Résultats des tournois'!AR93) - (1 / (1 + 10^((AR$103 - lastVal)/400)))))
)
))"),"")</f>
        <v/>
      </c>
      <c r="AT93" s="32" t="str">
        <f>IFERROR(__xludf.DUMMYFUNCTION("IF('Résultats des tournois'!AS$2=0,"""",LET(
lastVal, INDEX(FILTER($B93:AS93, ISNUMBER($B93:AS93)), COUNTA(FILTER($B93:AS93, ISNUMBER($B93:AS93)))),
IFERROR(
IF('Résultats des tournois'!AS93="""", INDEX(FILTER($C93:AS93, ISNUMBER($C93:AS93)), COUNTA(FILTE"&amp;"R($C93:AS93, ISNUMBER($C93:AS93)))),
lastVal + 'K dynamique'!AS93 * ((SQRT('Résultats des tournois'!AS$2 + 1)/'Résultats des tournois'!AS93) - (1 / (1 + 10^((AS$103 - lastVal)/400)))))
)
))"),"")</f>
        <v/>
      </c>
      <c r="AU93" s="32" t="str">
        <f>IFERROR(__xludf.DUMMYFUNCTION("IF('Résultats des tournois'!AT$2=0,"""",LET(
lastVal, INDEX(FILTER($B93:AT93, ISNUMBER($B93:AT93)), COUNTA(FILTER($B93:AT93, ISNUMBER($B93:AT93)))),
IFERROR(
IF('Résultats des tournois'!AT93="""", INDEX(FILTER($C93:AT93, ISNUMBER($C93:AT93)), COUNTA(FILTE"&amp;"R($C93:AT93, ISNUMBER($C93:AT93)))),
lastVal + 'K dynamique'!AT93 * ((SQRT('Résultats des tournois'!AT$2 + 1)/'Résultats des tournois'!AT93) - (1 / (1 + 10^((AT$103 - lastVal)/400)))))
)
))"),"")</f>
        <v/>
      </c>
      <c r="AV93" s="32" t="str">
        <f>IFERROR(__xludf.DUMMYFUNCTION("IF('Résultats des tournois'!AU$2=0,"""",LET(
lastVal, INDEX(FILTER($B93:AU93, ISNUMBER($B93:AU93)), COUNTA(FILTER($B93:AU93, ISNUMBER($B93:AU93)))),
IFERROR(
IF('Résultats des tournois'!AU93="""", INDEX(FILTER($C93:AU93, ISNUMBER($C93:AU93)), COUNTA(FILTE"&amp;"R($C93:AU93, ISNUMBER($C93:AU93)))),
lastVal + 'K dynamique'!AU93 * ((SQRT('Résultats des tournois'!AU$2 + 1)/'Résultats des tournois'!AU93) - (1 / (1 + 10^((AU$103 - lastVal)/400)))))
)
))"),"")</f>
        <v/>
      </c>
      <c r="AW93" s="32" t="str">
        <f>IFERROR(__xludf.DUMMYFUNCTION("IF('Résultats des tournois'!AV$2=0,"""",LET(
lastVal, INDEX(FILTER($B93:AV93, ISNUMBER($B93:AV93)), COUNTA(FILTER($B93:AV93, ISNUMBER($B93:AV93)))),
IFERROR(
IF('Résultats des tournois'!AV93="""", INDEX(FILTER($C93:AV93, ISNUMBER($C93:AV93)), COUNTA(FILTE"&amp;"R($C93:AV93, ISNUMBER($C93:AV93)))),
lastVal + 'K dynamique'!AV93 * ((SQRT('Résultats des tournois'!AV$2 + 1)/'Résultats des tournois'!AV93) - (1 / (1 + 10^((AV$103 - lastVal)/400)))))
)
))"),"")</f>
        <v/>
      </c>
      <c r="AX93" s="32" t="str">
        <f>IFERROR(__xludf.DUMMYFUNCTION("IF('Résultats des tournois'!AW$2=0,"""",LET(
lastVal, INDEX(FILTER($B93:AW93, ISNUMBER($B93:AW93)), COUNTA(FILTER($B93:AW93, ISNUMBER($B93:AW93)))),
IFERROR(
IF('Résultats des tournois'!AW93="""", INDEX(FILTER($C93:AW93, ISNUMBER($C93:AW93)), COUNTA(FILTE"&amp;"R($C93:AW93, ISNUMBER($C93:AW93)))),
lastVal + 'K dynamique'!AW93 * ((SQRT('Résultats des tournois'!AW$2 + 1)/'Résultats des tournois'!AW93) - (1 / (1 + 10^((AW$103 - lastVal)/400)))))
)
))"),"")</f>
        <v/>
      </c>
      <c r="AY93" s="32" t="str">
        <f>IFERROR(__xludf.DUMMYFUNCTION("IF('Résultats des tournois'!AX$2=0,"""",LET(
lastVal, INDEX(FILTER($B93:AX93, ISNUMBER($B93:AX93)), COUNTA(FILTER($B93:AX93, ISNUMBER($B93:AX93)))),
IFERROR(
IF('Résultats des tournois'!AX93="""", INDEX(FILTER($C93:AX93, ISNUMBER($C93:AX93)), COUNTA(FILTE"&amp;"R($C93:AX93, ISNUMBER($C93:AX93)))),
lastVal + 'K dynamique'!AX93 * ((SQRT('Résultats des tournois'!AX$2 + 1)/'Résultats des tournois'!AX93) - (1 / (1 + 10^((AX$103 - lastVal)/400)))))
)
))"),"")</f>
        <v/>
      </c>
      <c r="AZ93" s="4" t="str">
        <f t="array" ref="AZ93">IF(MAX(($C93:AY93&lt;&gt;"")*COLUMN($C93:AY93))=0,"",INDEX($C93:AY93,1,MAX(($C93:AY93&lt;&gt;"")*COLUMN($C93:AY93))-COLUMN($C93)+1))</f>
        <v/>
      </c>
      <c r="BA93" s="33" t="str">
        <f t="shared" si="1"/>
        <v/>
      </c>
    </row>
    <row r="94" ht="14.25" customHeight="1">
      <c r="A94" s="32" t="str">
        <f>IF('Résultats des tournois'!A94="","",'Résultats des tournois'!A94)</f>
        <v/>
      </c>
      <c r="B94" s="32">
        <v>1500.0</v>
      </c>
      <c r="C94" s="32" t="str">
        <f>IF('Résultats des tournois'!B94="","",B94+'K dynamique'!B94*((SQRT('Résultats des tournois'!B$2+1)/'Résultats des tournois'!B94)-(1/(1+10^((B94-B94)/400)))))</f>
        <v/>
      </c>
      <c r="D94" s="32" t="str">
        <f>IFERROR(__xludf.DUMMYFUNCTION("IF('Résultats des tournois'!C$2=0,"""",LET(
lastVal, INDEX(FILTER($B94:C94, ISNUMBER($B94:C94)), COUNTA(FILTER($B94:C94, ISNUMBER($B94:C94)))),
IFERROR(
IF('Résultats des tournois'!C94="""", INDEX(FILTER($C94:C94, ISNUMBER($C94:C94)), COUNTA(FILTER($C94:C"&amp;"94, ISNUMBER($C94:C94)))),
lastVal + 'K dynamique'!C94 * ((SQRT('Résultats des tournois'!C$2 + 1)/'Résultats des tournois'!C94) - (1 / (1 + 10^((C$103 - lastVal)/400)))))
)
))"),"")</f>
        <v/>
      </c>
      <c r="E94" s="32" t="str">
        <f>IFERROR(__xludf.DUMMYFUNCTION("IF('Résultats des tournois'!D$2=0,"""",LET(
lastVal, INDEX(FILTER($B94:D94, ISNUMBER($B94:D94)), COUNTA(FILTER($B94:D94, ISNUMBER($B94:D94)))),
IFERROR(
IF('Résultats des tournois'!D94="""", INDEX(FILTER($C94:D94, ISNUMBER($C94:D94)), COUNTA(FILTER($C94:D"&amp;"94, ISNUMBER($C94:D94)))),
lastVal + 'K dynamique'!D94 * ((SQRT('Résultats des tournois'!D$2 + 1)/'Résultats des tournois'!D94) - (1 / (1 + 10^((D$103 - lastVal)/400)))))
)
))"),"")</f>
        <v/>
      </c>
      <c r="F94" s="32" t="str">
        <f>IFERROR(__xludf.DUMMYFUNCTION("IF('Résultats des tournois'!E$2=0,"""",LET(
lastVal, INDEX(FILTER($B94:E94, ISNUMBER($B94:E94)), COUNTA(FILTER($B94:E94, ISNUMBER($B94:E94)))),
IFERROR(
IF('Résultats des tournois'!E94="""", INDEX(FILTER($C94:E94, ISNUMBER($C94:E94)), COUNTA(FILTER($C94:E"&amp;"94, ISNUMBER($C94:E94)))),
lastVal + 'K dynamique'!E94 * ((SQRT('Résultats des tournois'!E$2 + 1)/'Résultats des tournois'!E94) - (1 / (1 + 10^((E$103 - lastVal)/400)))))
)
))"),"")</f>
        <v/>
      </c>
      <c r="G94" s="32" t="str">
        <f>IFERROR(__xludf.DUMMYFUNCTION("IF('Résultats des tournois'!F$2=0,"""",LET(
lastVal, INDEX(FILTER($B94:F94, ISNUMBER($B94:F94)), COUNTA(FILTER($B94:F94, ISNUMBER($B94:F94)))),
IFERROR(
IF('Résultats des tournois'!F94="""", INDEX(FILTER($C94:F94, ISNUMBER($C94:F94)), COUNTA(FILTER($C94:F"&amp;"94, ISNUMBER($C94:F94)))),
lastVal + 'K dynamique'!F94 * ((SQRT('Résultats des tournois'!F$2 + 1)/'Résultats des tournois'!F94) - (1 / (1 + 10^((F$103 - lastVal)/400)))))
)
))"),"")</f>
        <v/>
      </c>
      <c r="H94" s="32" t="str">
        <f>IFERROR(__xludf.DUMMYFUNCTION("IF('Résultats des tournois'!G$2=0,"""",LET(
lastVal, INDEX(FILTER($B94:G94, ISNUMBER($B94:G94)), COUNTA(FILTER($B94:G94, ISNUMBER($B94:G94)))),
IFERROR(
IF('Résultats des tournois'!G94="""", INDEX(FILTER($C94:G94, ISNUMBER($C94:G94)), COUNTA(FILTER($C94:G"&amp;"94, ISNUMBER($C94:G94)))),
lastVal + 'K dynamique'!G94 * ((SQRT('Résultats des tournois'!G$2 + 1)/'Résultats des tournois'!G94) - (1 / (1 + 10^((G$103 - lastVal)/400)))))
)
))"),"")</f>
        <v/>
      </c>
      <c r="I94" s="32" t="str">
        <f>IFERROR(__xludf.DUMMYFUNCTION("IF('Résultats des tournois'!H$2=0,"""",LET(
lastVal, INDEX(FILTER($B94:H94, ISNUMBER($B94:H94)), COUNTA(FILTER($B94:H94, ISNUMBER($B94:H94)))),
IFERROR(
IF('Résultats des tournois'!H94="""", INDEX(FILTER($C94:H94, ISNUMBER($C94:H94)), COUNTA(FILTER($C94:H"&amp;"94, ISNUMBER($C94:H94)))),
lastVal + 'K dynamique'!H94 * ((SQRT('Résultats des tournois'!H$2 + 1)/'Résultats des tournois'!H94) - (1 / (1 + 10^((H$103 - lastVal)/400)))))
)
))"),"")</f>
        <v/>
      </c>
      <c r="J94" s="32" t="str">
        <f>IFERROR(__xludf.DUMMYFUNCTION("IF('Résultats des tournois'!I$2=0,"""",LET(
lastVal, INDEX(FILTER($B94:I94, ISNUMBER($B94:I94)), COUNTA(FILTER($B94:I94, ISNUMBER($B94:I94)))),
IFERROR(
IF('Résultats des tournois'!I94="""", INDEX(FILTER($C94:I94, ISNUMBER($C94:I94)), COUNTA(FILTER($C94:I"&amp;"94, ISNUMBER($C94:I94)))),
lastVal + 'K dynamique'!I94 * ((SQRT('Résultats des tournois'!I$2 + 1)/'Résultats des tournois'!I94) - (1 / (1 + 10^((I$103 - lastVal)/400)))))
)
))"),"")</f>
        <v/>
      </c>
      <c r="K94" s="32" t="str">
        <f>IFERROR(__xludf.DUMMYFUNCTION("IF('Résultats des tournois'!J$2=0,"""",LET(
lastVal, INDEX(FILTER($B94:J94, ISNUMBER($B94:J94)), COUNTA(FILTER($B94:J94, ISNUMBER($B94:J94)))),
IFERROR(
IF('Résultats des tournois'!J94="""", INDEX(FILTER($C94:J94, ISNUMBER($C94:J94)), COUNTA(FILTER($C94:J"&amp;"94, ISNUMBER($C94:J94)))),
lastVal + 'K dynamique'!J94 * ((SQRT('Résultats des tournois'!J$2 + 1)/'Résultats des tournois'!J94) - (1 / (1 + 10^((J$103 - lastVal)/400)))))
)
))"),"")</f>
        <v/>
      </c>
      <c r="L94" s="32" t="str">
        <f>IFERROR(__xludf.DUMMYFUNCTION("IF('Résultats des tournois'!K$2=0,"""",LET(
lastVal, INDEX(FILTER($B94:K94, ISNUMBER($B94:K94)), COUNTA(FILTER($B94:K94, ISNUMBER($B94:K94)))),
IFERROR(
IF('Résultats des tournois'!K94="""", INDEX(FILTER($C94:K94, ISNUMBER($C94:K94)), COUNTA(FILTER($C94:K"&amp;"94, ISNUMBER($C94:K94)))),
lastVal + 'K dynamique'!K94 * ((SQRT('Résultats des tournois'!K$2 + 1)/'Résultats des tournois'!K94) - (1 / (1 + 10^((K$103 - lastVal)/400)))))
)
))"),"")</f>
        <v/>
      </c>
      <c r="M94" s="32" t="str">
        <f>IFERROR(__xludf.DUMMYFUNCTION("IF('Résultats des tournois'!L$2=0,"""",LET(
lastVal, INDEX(FILTER($B94:L94, ISNUMBER($B94:L94)), COUNTA(FILTER($B94:L94, ISNUMBER($B94:L94)))),
IFERROR(
IF('Résultats des tournois'!L94="""", INDEX(FILTER($C94:L94, ISNUMBER($C94:L94)), COUNTA(FILTER($C94:L"&amp;"94, ISNUMBER($C94:L94)))),
lastVal + 'K dynamique'!L94 * ((SQRT('Résultats des tournois'!L$2 + 1)/'Résultats des tournois'!L94) - (1 / (1 + 10^((L$103 - lastVal)/400)))))
)
))"),"")</f>
        <v/>
      </c>
      <c r="N94" s="32" t="str">
        <f>IFERROR(__xludf.DUMMYFUNCTION("IF('Résultats des tournois'!M$2=0,"""",LET(
lastVal, INDEX(FILTER($B94:M94, ISNUMBER($B94:M94)), COUNTA(FILTER($B94:M94, ISNUMBER($B94:M94)))),
IFERROR(
IF('Résultats des tournois'!M94="""", INDEX(FILTER($C94:M94, ISNUMBER($C94:M94)), COUNTA(FILTER($C94:M"&amp;"94, ISNUMBER($C94:M94)))),
lastVal + 'K dynamique'!M94 * ((SQRT('Résultats des tournois'!M$2 + 1)/'Résultats des tournois'!M94) - (1 / (1 + 10^((M$103 - lastVal)/400)))))
)
))"),"")</f>
        <v/>
      </c>
      <c r="O94" s="32" t="str">
        <f>IFERROR(__xludf.DUMMYFUNCTION("IF('Résultats des tournois'!N$2=0,"""",LET(
lastVal, INDEX(FILTER($B94:N94, ISNUMBER($B94:N94)), COUNTA(FILTER($B94:N94, ISNUMBER($B94:N94)))),
IFERROR(
IF('Résultats des tournois'!N94="""", INDEX(FILTER($C94:N94, ISNUMBER($C94:N94)), COUNTA(FILTER($C94:N"&amp;"94, ISNUMBER($C94:N94)))),
lastVal + 'K dynamique'!N94 * ((SQRT('Résultats des tournois'!N$2 + 1)/'Résultats des tournois'!N94) - (1 / (1 + 10^((N$103 - lastVal)/400)))))
)
))"),"")</f>
        <v/>
      </c>
      <c r="P94" s="32" t="str">
        <f>IFERROR(__xludf.DUMMYFUNCTION("IF('Résultats des tournois'!O$2=0,"""",LET(
lastVal, INDEX(FILTER($B94:O94, ISNUMBER($B94:O94)), COUNTA(FILTER($B94:O94, ISNUMBER($B94:O94)))),
IFERROR(
IF('Résultats des tournois'!O94="""", INDEX(FILTER($C94:O94, ISNUMBER($C94:O94)), COUNTA(FILTER($C94:O"&amp;"94, ISNUMBER($C94:O94)))),
lastVal + 'K dynamique'!O94 * ((SQRT('Résultats des tournois'!O$2 + 1)/'Résultats des tournois'!O94) - (1 / (1 + 10^((O$103 - lastVal)/400)))))
)
))"),"")</f>
        <v/>
      </c>
      <c r="Q94" s="32" t="str">
        <f>IFERROR(__xludf.DUMMYFUNCTION("IF('Résultats des tournois'!P$2=0,"""",LET(
lastVal, INDEX(FILTER($B94:P94, ISNUMBER($B94:P94)), COUNTA(FILTER($B94:P94, ISNUMBER($B94:P94)))),
IFERROR(
IF('Résultats des tournois'!P94="""", INDEX(FILTER($C94:P94, ISNUMBER($C94:P94)), COUNTA(FILTER($C94:P"&amp;"94, ISNUMBER($C94:P94)))),
lastVal + 'K dynamique'!P94 * ((SQRT('Résultats des tournois'!P$2 + 1)/'Résultats des tournois'!P94) - (1 / (1 + 10^((P$103 - lastVal)/400)))))
)
))"),"")</f>
        <v/>
      </c>
      <c r="R94" s="32" t="str">
        <f>IFERROR(__xludf.DUMMYFUNCTION("IF('Résultats des tournois'!Q$2=0,"""",LET(
lastVal, INDEX(FILTER($B94:Q94, ISNUMBER($B94:Q94)), COUNTA(FILTER($B94:Q94, ISNUMBER($B94:Q94)))),
IFERROR(
IF('Résultats des tournois'!Q94="""", INDEX(FILTER($C94:Q94, ISNUMBER($C94:Q94)), COUNTA(FILTER($C94:Q"&amp;"94, ISNUMBER($C94:Q94)))),
lastVal + 'K dynamique'!Q94 * ((SQRT('Résultats des tournois'!Q$2 + 1)/'Résultats des tournois'!Q94) - (1 / (1 + 10^((Q$103 - lastVal)/400)))))
)
))"),"")</f>
        <v/>
      </c>
      <c r="S94" s="32" t="str">
        <f>IFERROR(__xludf.DUMMYFUNCTION("IF('Résultats des tournois'!R$2=0,"""",LET(
lastVal, INDEX(FILTER($B94:R94, ISNUMBER($B94:R94)), COUNTA(FILTER($B94:R94, ISNUMBER($B94:R94)))),
IFERROR(
IF('Résultats des tournois'!R94="""", INDEX(FILTER($C94:R94, ISNUMBER($C94:R94)), COUNTA(FILTER($C94:R"&amp;"94, ISNUMBER($C94:R94)))),
lastVal + 'K dynamique'!R94 * ((SQRT('Résultats des tournois'!R$2 + 1)/'Résultats des tournois'!R94) - (1 / (1 + 10^((R$103 - lastVal)/400)))))
)
))"),"")</f>
        <v/>
      </c>
      <c r="T94" s="32" t="str">
        <f>IFERROR(__xludf.DUMMYFUNCTION("IF('Résultats des tournois'!S$2=0,"""",LET(
lastVal, INDEX(FILTER($B94:S94, ISNUMBER($B94:S94)), COUNTA(FILTER($B94:S94, ISNUMBER($B94:S94)))),
IFERROR(
IF('Résultats des tournois'!S94="""", INDEX(FILTER($C94:S94, ISNUMBER($C94:S94)), COUNTA(FILTER($C94:S"&amp;"94, ISNUMBER($C94:S94)))),
lastVal + 'K dynamique'!S94 * ((SQRT('Résultats des tournois'!S$2 + 1)/'Résultats des tournois'!S94) - (1 / (1 + 10^((S$103 - lastVal)/400)))))
)
))"),"")</f>
        <v/>
      </c>
      <c r="U94" s="32" t="str">
        <f>IFERROR(__xludf.DUMMYFUNCTION("IF('Résultats des tournois'!T$2=0,"""",LET(
lastVal, INDEX(FILTER($B94:T94, ISNUMBER($B94:T94)), COUNTA(FILTER($B94:T94, ISNUMBER($B94:T94)))),
IFERROR(
IF('Résultats des tournois'!T94="""", INDEX(FILTER($C94:T94, ISNUMBER($C94:T94)), COUNTA(FILTER($C94:T"&amp;"94, ISNUMBER($C94:T94)))),
lastVal + 'K dynamique'!T94 * ((SQRT('Résultats des tournois'!T$2 + 1)/'Résultats des tournois'!T94) - (1 / (1 + 10^((T$103 - lastVal)/400)))))
)
))"),"")</f>
        <v/>
      </c>
      <c r="V94" s="32" t="str">
        <f>IFERROR(__xludf.DUMMYFUNCTION("IF('Résultats des tournois'!U$2=0,"""",LET(
lastVal, INDEX(FILTER($B94:U94, ISNUMBER($B94:U94)), COUNTA(FILTER($B94:U94, ISNUMBER($B94:U94)))),
IFERROR(
IF('Résultats des tournois'!U94="""", INDEX(FILTER($C94:U94, ISNUMBER($C94:U94)), COUNTA(FILTER($C94:U"&amp;"94, ISNUMBER($C94:U94)))),
lastVal + 'K dynamique'!U94 * ((SQRT('Résultats des tournois'!U$2 + 1)/'Résultats des tournois'!U94) - (1 / (1 + 10^((U$103 - lastVal)/400)))))
)
))"),"")</f>
        <v/>
      </c>
      <c r="W94" s="32" t="str">
        <f>IFERROR(__xludf.DUMMYFUNCTION("IF('Résultats des tournois'!V$2=0,"""",LET(
lastVal, INDEX(FILTER($B94:V94, ISNUMBER($B94:V94)), COUNTA(FILTER($B94:V94, ISNUMBER($B94:V94)))),
IFERROR(
IF('Résultats des tournois'!V94="""", INDEX(FILTER($C94:V94, ISNUMBER($C94:V94)), COUNTA(FILTER($C94:V"&amp;"94, ISNUMBER($C94:V94)))),
lastVal + 'K dynamique'!V94 * ((SQRT('Résultats des tournois'!V$2 + 1)/'Résultats des tournois'!V94) - (1 / (1 + 10^((V$103 - lastVal)/400)))))
)
))"),"")</f>
        <v/>
      </c>
      <c r="X94" s="32" t="str">
        <f>IFERROR(__xludf.DUMMYFUNCTION("IF('Résultats des tournois'!W$2=0,"""",LET(
lastVal, INDEX(FILTER($B94:W94, ISNUMBER($B94:W94)), COUNTA(FILTER($B94:W94, ISNUMBER($B94:W94)))),
IFERROR(
IF('Résultats des tournois'!W94="""", INDEX(FILTER($C94:W94, ISNUMBER($C94:W94)), COUNTA(FILTER($C94:W"&amp;"94, ISNUMBER($C94:W94)))),
lastVal + 'K dynamique'!W94 * ((SQRT('Résultats des tournois'!W$2 + 1)/'Résultats des tournois'!W94) - (1 / (1 + 10^((W$103 - lastVal)/400)))))
)
))"),"")</f>
        <v/>
      </c>
      <c r="Y94" s="32" t="str">
        <f>IFERROR(__xludf.DUMMYFUNCTION("IF('Résultats des tournois'!X$2=0,"""",LET(
lastVal, INDEX(FILTER($B94:X94, ISNUMBER($B94:X94)), COUNTA(FILTER($B94:X94, ISNUMBER($B94:X94)))),
IFERROR(
IF('Résultats des tournois'!X94="""", INDEX(FILTER($C94:X94, ISNUMBER($C94:X94)), COUNTA(FILTER($C94:X"&amp;"94, ISNUMBER($C94:X94)))),
lastVal + 'K dynamique'!X94 * ((SQRT('Résultats des tournois'!X$2 + 1)/'Résultats des tournois'!X94) - (1 / (1 + 10^((X$103 - lastVal)/400)))))
)
))"),"")</f>
        <v/>
      </c>
      <c r="Z94" s="32" t="str">
        <f>IFERROR(__xludf.DUMMYFUNCTION("IF('Résultats des tournois'!Y$2=0,"""",LET(
lastVal, INDEX(FILTER($B94:Y94, ISNUMBER($B94:Y94)), COUNTA(FILTER($B94:Y94, ISNUMBER($B94:Y94)))),
IFERROR(
IF('Résultats des tournois'!Y94="""", INDEX(FILTER($C94:Y94, ISNUMBER($C94:Y94)), COUNTA(FILTER($C94:Y"&amp;"94, ISNUMBER($C94:Y94)))),
lastVal + 'K dynamique'!Y94 * ((SQRT('Résultats des tournois'!Y$2 + 1)/'Résultats des tournois'!Y94) - (1 / (1 + 10^((Y$103 - lastVal)/400)))))
)
))"),"")</f>
        <v/>
      </c>
      <c r="AA94" s="32" t="str">
        <f>IFERROR(__xludf.DUMMYFUNCTION("IF('Résultats des tournois'!Z$2=0,"""",LET(
lastVal, INDEX(FILTER($B94:Z94, ISNUMBER($B94:Z94)), COUNTA(FILTER($B94:Z94, ISNUMBER($B94:Z94)))),
IFERROR(
IF('Résultats des tournois'!Z94="""", INDEX(FILTER($C94:Z94, ISNUMBER($C94:Z94)), COUNTA(FILTER($C94:Z"&amp;"94, ISNUMBER($C94:Z94)))),
lastVal + 'K dynamique'!Z94 * ((SQRT('Résultats des tournois'!Z$2 + 1)/'Résultats des tournois'!Z94) - (1 / (1 + 10^((Z$103 - lastVal)/400)))))
)
))"),"")</f>
        <v/>
      </c>
      <c r="AB94" s="32" t="str">
        <f>IFERROR(__xludf.DUMMYFUNCTION("IF('Résultats des tournois'!AA$2=0,"""",LET(
lastVal, INDEX(FILTER($B94:AA94, ISNUMBER($B94:AA94)), COUNTA(FILTER($B94:AA94, ISNUMBER($B94:AA94)))),
IFERROR(
IF('Résultats des tournois'!AA94="""", INDEX(FILTER($C94:AA94, ISNUMBER($C94:AA94)), COUNTA(FILTE"&amp;"R($C94:AA94, ISNUMBER($C94:AA94)))),
lastVal + 'K dynamique'!AA94 * ((SQRT('Résultats des tournois'!AA$2 + 1)/'Résultats des tournois'!AA94) - (1 / (1 + 10^((AA$103 - lastVal)/400)))))
)
))"),"")</f>
        <v/>
      </c>
      <c r="AC94" s="32" t="str">
        <f>IFERROR(__xludf.DUMMYFUNCTION("IF('Résultats des tournois'!AB$2=0,"""",LET(
lastVal, INDEX(FILTER($B94:AB94, ISNUMBER($B94:AB94)), COUNTA(FILTER($B94:AB94, ISNUMBER($B94:AB94)))),
IFERROR(
IF('Résultats des tournois'!AB94="""", INDEX(FILTER($C94:AB94, ISNUMBER($C94:AB94)), COUNTA(FILTE"&amp;"R($C94:AB94, ISNUMBER($C94:AB94)))),
lastVal + 'K dynamique'!AB94 * ((SQRT('Résultats des tournois'!AB$2 + 1)/'Résultats des tournois'!AB94) - (1 / (1 + 10^((AB$103 - lastVal)/400)))))
)
))"),"")</f>
        <v/>
      </c>
      <c r="AD94" s="32" t="str">
        <f>IFERROR(__xludf.DUMMYFUNCTION("IF('Résultats des tournois'!AC$2=0,"""",LET(
lastVal, INDEX(FILTER($B94:AC94, ISNUMBER($B94:AC94)), COUNTA(FILTER($B94:AC94, ISNUMBER($B94:AC94)))),
IFERROR(
IF('Résultats des tournois'!AC94="""", INDEX(FILTER($C94:AC94, ISNUMBER($C94:AC94)), COUNTA(FILTE"&amp;"R($C94:AC94, ISNUMBER($C94:AC94)))),
lastVal + 'K dynamique'!AC94 * ((SQRT('Résultats des tournois'!AC$2 + 1)/'Résultats des tournois'!AC94) - (1 / (1 + 10^((AC$103 - lastVal)/400)))))
)
))"),"")</f>
        <v/>
      </c>
      <c r="AE94" s="32" t="str">
        <f>IFERROR(__xludf.DUMMYFUNCTION("IF('Résultats des tournois'!AD$2=0,"""",LET(
lastVal, INDEX(FILTER($B94:AD94, ISNUMBER($B94:AD94)), COUNTA(FILTER($B94:AD94, ISNUMBER($B94:AD94)))),
IFERROR(
IF('Résultats des tournois'!AD94="""", INDEX(FILTER($C94:AD94, ISNUMBER($C94:AD94)), COUNTA(FILTE"&amp;"R($C94:AD94, ISNUMBER($C94:AD94)))),
lastVal + 'K dynamique'!AD94 * ((SQRT('Résultats des tournois'!AD$2 + 1)/'Résultats des tournois'!AD94) - (1 / (1 + 10^((AD$103 - lastVal)/400)))))
)
))"),"")</f>
        <v/>
      </c>
      <c r="AF94" s="32" t="str">
        <f>IFERROR(__xludf.DUMMYFUNCTION("IF('Résultats des tournois'!AE$2=0,"""",LET(
lastVal, INDEX(FILTER($B94:AE94, ISNUMBER($B94:AE94)), COUNTA(FILTER($B94:AE94, ISNUMBER($B94:AE94)))),
IFERROR(
IF('Résultats des tournois'!AE94="""", INDEX(FILTER($C94:AE94, ISNUMBER($C94:AE94)), COUNTA(FILTE"&amp;"R($C94:AE94, ISNUMBER($C94:AE94)))),
lastVal + 'K dynamique'!AE94 * ((SQRT('Résultats des tournois'!AE$2 + 1)/'Résultats des tournois'!AE94) - (1 / (1 + 10^((AE$103 - lastVal)/400)))))
)
))"),"")</f>
        <v/>
      </c>
      <c r="AG94" s="32" t="str">
        <f>IFERROR(__xludf.DUMMYFUNCTION("IF('Résultats des tournois'!AF$2=0,"""",LET(
lastVal, INDEX(FILTER($B94:AF94, ISNUMBER($B94:AF94)), COUNTA(FILTER($B94:AF94, ISNUMBER($B94:AF94)))),
IFERROR(
IF('Résultats des tournois'!AF94="""", INDEX(FILTER($C94:AF94, ISNUMBER($C94:AF94)), COUNTA(FILTE"&amp;"R($C94:AF94, ISNUMBER($C94:AF94)))),
lastVal + 'K dynamique'!AF94 * ((SQRT('Résultats des tournois'!AF$2 + 1)/'Résultats des tournois'!AF94) - (1 / (1 + 10^((AF$103 - lastVal)/400)))))
)
))"),"")</f>
        <v/>
      </c>
      <c r="AH94" s="32" t="str">
        <f>IFERROR(__xludf.DUMMYFUNCTION("IF('Résultats des tournois'!AG$2=0,"""",LET(
lastVal, INDEX(FILTER($B94:AG94, ISNUMBER($B94:AG94)), COUNTA(FILTER($B94:AG94, ISNUMBER($B94:AG94)))),
IFERROR(
IF('Résultats des tournois'!AG94="""", INDEX(FILTER($C94:AG94, ISNUMBER($C94:AG94)), COUNTA(FILTE"&amp;"R($C94:AG94, ISNUMBER($C94:AG94)))),
lastVal + 'K dynamique'!AG94 * ((SQRT('Résultats des tournois'!AG$2 + 1)/'Résultats des tournois'!AG94) - (1 / (1 + 10^((AG$103 - lastVal)/400)))))
)
))"),"")</f>
        <v/>
      </c>
      <c r="AI94" s="32" t="str">
        <f>IFERROR(__xludf.DUMMYFUNCTION("IF('Résultats des tournois'!AH$2=0,"""",LET(
lastVal, INDEX(FILTER($B94:AH94, ISNUMBER($B94:AH94)), COUNTA(FILTER($B94:AH94, ISNUMBER($B94:AH94)))),
IFERROR(
IF('Résultats des tournois'!AH94="""", INDEX(FILTER($C94:AH94, ISNUMBER($C94:AH94)), COUNTA(FILTE"&amp;"R($C94:AH94, ISNUMBER($C94:AH94)))),
lastVal + 'K dynamique'!AH94 * ((SQRT('Résultats des tournois'!AH$2 + 1)/'Résultats des tournois'!AH94) - (1 / (1 + 10^((AH$103 - lastVal)/400)))))
)
))"),"")</f>
        <v/>
      </c>
      <c r="AJ94" s="32" t="str">
        <f>IFERROR(__xludf.DUMMYFUNCTION("IF('Résultats des tournois'!AI$2=0,"""",LET(
lastVal, INDEX(FILTER($B94:AI94, ISNUMBER($B94:AI94)), COUNTA(FILTER($B94:AI94, ISNUMBER($B94:AI94)))),
IFERROR(
IF('Résultats des tournois'!AI94="""", INDEX(FILTER($C94:AI94, ISNUMBER($C94:AI94)), COUNTA(FILTE"&amp;"R($C94:AI94, ISNUMBER($C94:AI94)))),
lastVal + 'K dynamique'!AI94 * ((SQRT('Résultats des tournois'!AI$2 + 1)/'Résultats des tournois'!AI94) - (1 / (1 + 10^((AI$103 - lastVal)/400)))))
)
))"),"")</f>
        <v/>
      </c>
      <c r="AK94" s="32" t="str">
        <f>IFERROR(__xludf.DUMMYFUNCTION("IF('Résultats des tournois'!AJ$2=0,"""",LET(
lastVal, INDEX(FILTER($B94:AJ94, ISNUMBER($B94:AJ94)), COUNTA(FILTER($B94:AJ94, ISNUMBER($B94:AJ94)))),
IFERROR(
IF('Résultats des tournois'!AJ94="""", INDEX(FILTER($C94:AJ94, ISNUMBER($C94:AJ94)), COUNTA(FILTE"&amp;"R($C94:AJ94, ISNUMBER($C94:AJ94)))),
lastVal + 'K dynamique'!AJ94 * ((SQRT('Résultats des tournois'!AJ$2 + 1)/'Résultats des tournois'!AJ94) - (1 / (1 + 10^((AJ$103 - lastVal)/400)))))
)
))"),"")</f>
        <v/>
      </c>
      <c r="AL94" s="32" t="str">
        <f>IFERROR(__xludf.DUMMYFUNCTION("IF('Résultats des tournois'!AK$2=0,"""",LET(
lastVal, INDEX(FILTER($B94:AK94, ISNUMBER($B94:AK94)), COUNTA(FILTER($B94:AK94, ISNUMBER($B94:AK94)))),
IFERROR(
IF('Résultats des tournois'!AK94="""", INDEX(FILTER($C94:AK94, ISNUMBER($C94:AK94)), COUNTA(FILTE"&amp;"R($C94:AK94, ISNUMBER($C94:AK94)))),
lastVal + 'K dynamique'!AK94 * ((SQRT('Résultats des tournois'!AK$2 + 1)/'Résultats des tournois'!AK94) - (1 / (1 + 10^((AK$103 - lastVal)/400)))))
)
))"),"")</f>
        <v/>
      </c>
      <c r="AM94" s="32" t="str">
        <f>IFERROR(__xludf.DUMMYFUNCTION("IF('Résultats des tournois'!AL$2=0,"""",LET(
lastVal, INDEX(FILTER($B94:AL94, ISNUMBER($B94:AL94)), COUNTA(FILTER($B94:AL94, ISNUMBER($B94:AL94)))),
IFERROR(
IF('Résultats des tournois'!AL94="""", INDEX(FILTER($C94:AL94, ISNUMBER($C94:AL94)), COUNTA(FILTE"&amp;"R($C94:AL94, ISNUMBER($C94:AL94)))),
lastVal + 'K dynamique'!AL94 * ((SQRT('Résultats des tournois'!AL$2 + 1)/'Résultats des tournois'!AL94) - (1 / (1 + 10^((AL$103 - lastVal)/400)))))
)
))"),"")</f>
        <v/>
      </c>
      <c r="AN94" s="32" t="str">
        <f>IFERROR(__xludf.DUMMYFUNCTION("IF('Résultats des tournois'!AM$2=0,"""",LET(
lastVal, INDEX(FILTER($B94:AM94, ISNUMBER($B94:AM94)), COUNTA(FILTER($B94:AM94, ISNUMBER($B94:AM94)))),
IFERROR(
IF('Résultats des tournois'!AM94="""", INDEX(FILTER($C94:AM94, ISNUMBER($C94:AM94)), COUNTA(FILTE"&amp;"R($C94:AM94, ISNUMBER($C94:AM94)))),
lastVal + 'K dynamique'!AM94 * ((SQRT('Résultats des tournois'!AM$2 + 1)/'Résultats des tournois'!AM94) - (1 / (1 + 10^((AM$103 - lastVal)/400)))))
)
))"),"")</f>
        <v/>
      </c>
      <c r="AO94" s="32" t="str">
        <f>IFERROR(__xludf.DUMMYFUNCTION("IF('Résultats des tournois'!AN$2=0,"""",LET(
lastVal, INDEX(FILTER($B94:AN94, ISNUMBER($B94:AN94)), COUNTA(FILTER($B94:AN94, ISNUMBER($B94:AN94)))),
IFERROR(
IF('Résultats des tournois'!AN94="""", INDEX(FILTER($C94:AN94, ISNUMBER($C94:AN94)), COUNTA(FILTE"&amp;"R($C94:AN94, ISNUMBER($C94:AN94)))),
lastVal + 'K dynamique'!AN94 * ((SQRT('Résultats des tournois'!AN$2 + 1)/'Résultats des tournois'!AN94) - (1 / (1 + 10^((AN$103 - lastVal)/400)))))
)
))"),"")</f>
        <v/>
      </c>
      <c r="AP94" s="32" t="str">
        <f>IFERROR(__xludf.DUMMYFUNCTION("IF('Résultats des tournois'!AO$2=0,"""",LET(
lastVal, INDEX(FILTER($B94:AO94, ISNUMBER($B94:AO94)), COUNTA(FILTER($B94:AO94, ISNUMBER($B94:AO94)))),
IFERROR(
IF('Résultats des tournois'!AO94="""", INDEX(FILTER($C94:AO94, ISNUMBER($C94:AO94)), COUNTA(FILTE"&amp;"R($C94:AO94, ISNUMBER($C94:AO94)))),
lastVal + 'K dynamique'!AO94 * ((SQRT('Résultats des tournois'!AO$2 + 1)/'Résultats des tournois'!AO94) - (1 / (1 + 10^((AO$103 - lastVal)/400)))))
)
))"),"")</f>
        <v/>
      </c>
      <c r="AQ94" s="32" t="str">
        <f>IFERROR(__xludf.DUMMYFUNCTION("IF('Résultats des tournois'!AP$2=0,"""",LET(
lastVal, INDEX(FILTER($B94:AP94, ISNUMBER($B94:AP94)), COUNTA(FILTER($B94:AP94, ISNUMBER($B94:AP94)))),
IFERROR(
IF('Résultats des tournois'!AP94="""", INDEX(FILTER($C94:AP94, ISNUMBER($C94:AP94)), COUNTA(FILTE"&amp;"R($C94:AP94, ISNUMBER($C94:AP94)))),
lastVal + 'K dynamique'!AP94 * ((SQRT('Résultats des tournois'!AP$2 + 1)/'Résultats des tournois'!AP94) - (1 / (1 + 10^((AP$103 - lastVal)/400)))))
)
))"),"")</f>
        <v/>
      </c>
      <c r="AR94" s="32" t="str">
        <f>IFERROR(__xludf.DUMMYFUNCTION("IF('Résultats des tournois'!AQ$2=0,"""",LET(
lastVal, INDEX(FILTER($B94:AQ94, ISNUMBER($B94:AQ94)), COUNTA(FILTER($B94:AQ94, ISNUMBER($B94:AQ94)))),
IFERROR(
IF('Résultats des tournois'!AQ94="""", INDEX(FILTER($C94:AQ94, ISNUMBER($C94:AQ94)), COUNTA(FILTE"&amp;"R($C94:AQ94, ISNUMBER($C94:AQ94)))),
lastVal + 'K dynamique'!AQ94 * ((SQRT('Résultats des tournois'!AQ$2 + 1)/'Résultats des tournois'!AQ94) - (1 / (1 + 10^((AQ$103 - lastVal)/400)))))
)
))"),"")</f>
        <v/>
      </c>
      <c r="AS94" s="32" t="str">
        <f>IFERROR(__xludf.DUMMYFUNCTION("IF('Résultats des tournois'!AR$2=0,"""",LET(
lastVal, INDEX(FILTER($B94:AR94, ISNUMBER($B94:AR94)), COUNTA(FILTER($B94:AR94, ISNUMBER($B94:AR94)))),
IFERROR(
IF('Résultats des tournois'!AR94="""", INDEX(FILTER($C94:AR94, ISNUMBER($C94:AR94)), COUNTA(FILTE"&amp;"R($C94:AR94, ISNUMBER($C94:AR94)))),
lastVal + 'K dynamique'!AR94 * ((SQRT('Résultats des tournois'!AR$2 + 1)/'Résultats des tournois'!AR94) - (1 / (1 + 10^((AR$103 - lastVal)/400)))))
)
))"),"")</f>
        <v/>
      </c>
      <c r="AT94" s="32" t="str">
        <f>IFERROR(__xludf.DUMMYFUNCTION("IF('Résultats des tournois'!AS$2=0,"""",LET(
lastVal, INDEX(FILTER($B94:AS94, ISNUMBER($B94:AS94)), COUNTA(FILTER($B94:AS94, ISNUMBER($B94:AS94)))),
IFERROR(
IF('Résultats des tournois'!AS94="""", INDEX(FILTER($C94:AS94, ISNUMBER($C94:AS94)), COUNTA(FILTE"&amp;"R($C94:AS94, ISNUMBER($C94:AS94)))),
lastVal + 'K dynamique'!AS94 * ((SQRT('Résultats des tournois'!AS$2 + 1)/'Résultats des tournois'!AS94) - (1 / (1 + 10^((AS$103 - lastVal)/400)))))
)
))"),"")</f>
        <v/>
      </c>
      <c r="AU94" s="32" t="str">
        <f>IFERROR(__xludf.DUMMYFUNCTION("IF('Résultats des tournois'!AT$2=0,"""",LET(
lastVal, INDEX(FILTER($B94:AT94, ISNUMBER($B94:AT94)), COUNTA(FILTER($B94:AT94, ISNUMBER($B94:AT94)))),
IFERROR(
IF('Résultats des tournois'!AT94="""", INDEX(FILTER($C94:AT94, ISNUMBER($C94:AT94)), COUNTA(FILTE"&amp;"R($C94:AT94, ISNUMBER($C94:AT94)))),
lastVal + 'K dynamique'!AT94 * ((SQRT('Résultats des tournois'!AT$2 + 1)/'Résultats des tournois'!AT94) - (1 / (1 + 10^((AT$103 - lastVal)/400)))))
)
))"),"")</f>
        <v/>
      </c>
      <c r="AV94" s="32" t="str">
        <f>IFERROR(__xludf.DUMMYFUNCTION("IF('Résultats des tournois'!AU$2=0,"""",LET(
lastVal, INDEX(FILTER($B94:AU94, ISNUMBER($B94:AU94)), COUNTA(FILTER($B94:AU94, ISNUMBER($B94:AU94)))),
IFERROR(
IF('Résultats des tournois'!AU94="""", INDEX(FILTER($C94:AU94, ISNUMBER($C94:AU94)), COUNTA(FILTE"&amp;"R($C94:AU94, ISNUMBER($C94:AU94)))),
lastVal + 'K dynamique'!AU94 * ((SQRT('Résultats des tournois'!AU$2 + 1)/'Résultats des tournois'!AU94) - (1 / (1 + 10^((AU$103 - lastVal)/400)))))
)
))"),"")</f>
        <v/>
      </c>
      <c r="AW94" s="32" t="str">
        <f>IFERROR(__xludf.DUMMYFUNCTION("IF('Résultats des tournois'!AV$2=0,"""",LET(
lastVal, INDEX(FILTER($B94:AV94, ISNUMBER($B94:AV94)), COUNTA(FILTER($B94:AV94, ISNUMBER($B94:AV94)))),
IFERROR(
IF('Résultats des tournois'!AV94="""", INDEX(FILTER($C94:AV94, ISNUMBER($C94:AV94)), COUNTA(FILTE"&amp;"R($C94:AV94, ISNUMBER($C94:AV94)))),
lastVal + 'K dynamique'!AV94 * ((SQRT('Résultats des tournois'!AV$2 + 1)/'Résultats des tournois'!AV94) - (1 / (1 + 10^((AV$103 - lastVal)/400)))))
)
))"),"")</f>
        <v/>
      </c>
      <c r="AX94" s="32" t="str">
        <f>IFERROR(__xludf.DUMMYFUNCTION("IF('Résultats des tournois'!AW$2=0,"""",LET(
lastVal, INDEX(FILTER($B94:AW94, ISNUMBER($B94:AW94)), COUNTA(FILTER($B94:AW94, ISNUMBER($B94:AW94)))),
IFERROR(
IF('Résultats des tournois'!AW94="""", INDEX(FILTER($C94:AW94, ISNUMBER($C94:AW94)), COUNTA(FILTE"&amp;"R($C94:AW94, ISNUMBER($C94:AW94)))),
lastVal + 'K dynamique'!AW94 * ((SQRT('Résultats des tournois'!AW$2 + 1)/'Résultats des tournois'!AW94) - (1 / (1 + 10^((AW$103 - lastVal)/400)))))
)
))"),"")</f>
        <v/>
      </c>
      <c r="AY94" s="32" t="str">
        <f>IFERROR(__xludf.DUMMYFUNCTION("IF('Résultats des tournois'!AX$2=0,"""",LET(
lastVal, INDEX(FILTER($B94:AX94, ISNUMBER($B94:AX94)), COUNTA(FILTER($B94:AX94, ISNUMBER($B94:AX94)))),
IFERROR(
IF('Résultats des tournois'!AX94="""", INDEX(FILTER($C94:AX94, ISNUMBER($C94:AX94)), COUNTA(FILTE"&amp;"R($C94:AX94, ISNUMBER($C94:AX94)))),
lastVal + 'K dynamique'!AX94 * ((SQRT('Résultats des tournois'!AX$2 + 1)/'Résultats des tournois'!AX94) - (1 / (1 + 10^((AX$103 - lastVal)/400)))))
)
))"),"")</f>
        <v/>
      </c>
      <c r="AZ94" s="4" t="str">
        <f t="array" ref="AZ94">IF(MAX(($C94:AY94&lt;&gt;"")*COLUMN($C94:AY94))=0,"",INDEX($C94:AY94,1,MAX(($C94:AY94&lt;&gt;"")*COLUMN($C94:AY94))-COLUMN($C94)+1))</f>
        <v/>
      </c>
      <c r="BA94" s="33" t="str">
        <f t="shared" si="1"/>
        <v/>
      </c>
    </row>
    <row r="95" ht="14.25" customHeight="1">
      <c r="A95" s="32" t="str">
        <f>IF('Résultats des tournois'!A95="","",'Résultats des tournois'!A95)</f>
        <v/>
      </c>
      <c r="B95" s="32">
        <v>1500.0</v>
      </c>
      <c r="C95" s="32" t="str">
        <f>IF('Résultats des tournois'!B95="","",B95+'K dynamique'!B95*((SQRT('Résultats des tournois'!B$2+1)/'Résultats des tournois'!B95)-(1/(1+10^((B95-B95)/400)))))</f>
        <v/>
      </c>
      <c r="D95" s="32" t="str">
        <f>IFERROR(__xludf.DUMMYFUNCTION("IF('Résultats des tournois'!C$2=0,"""",LET(
lastVal, INDEX(FILTER($B95:C95, ISNUMBER($B95:C95)), COUNTA(FILTER($B95:C95, ISNUMBER($B95:C95)))),
IFERROR(
IF('Résultats des tournois'!C95="""", INDEX(FILTER($C95:C95, ISNUMBER($C95:C95)), COUNTA(FILTER($C95:C"&amp;"95, ISNUMBER($C95:C95)))),
lastVal + 'K dynamique'!C95 * ((SQRT('Résultats des tournois'!C$2 + 1)/'Résultats des tournois'!C95) - (1 / (1 + 10^((C$103 - lastVal)/400)))))
)
))"),"")</f>
        <v/>
      </c>
      <c r="E95" s="32" t="str">
        <f>IFERROR(__xludf.DUMMYFUNCTION("IF('Résultats des tournois'!D$2=0,"""",LET(
lastVal, INDEX(FILTER($B95:D95, ISNUMBER($B95:D95)), COUNTA(FILTER($B95:D95, ISNUMBER($B95:D95)))),
IFERROR(
IF('Résultats des tournois'!D95="""", INDEX(FILTER($C95:D95, ISNUMBER($C95:D95)), COUNTA(FILTER($C95:D"&amp;"95, ISNUMBER($C95:D95)))),
lastVal + 'K dynamique'!D95 * ((SQRT('Résultats des tournois'!D$2 + 1)/'Résultats des tournois'!D95) - (1 / (1 + 10^((D$103 - lastVal)/400)))))
)
))"),"")</f>
        <v/>
      </c>
      <c r="F95" s="32" t="str">
        <f>IFERROR(__xludf.DUMMYFUNCTION("IF('Résultats des tournois'!E$2=0,"""",LET(
lastVal, INDEX(FILTER($B95:E95, ISNUMBER($B95:E95)), COUNTA(FILTER($B95:E95, ISNUMBER($B95:E95)))),
IFERROR(
IF('Résultats des tournois'!E95="""", INDEX(FILTER($C95:E95, ISNUMBER($C95:E95)), COUNTA(FILTER($C95:E"&amp;"95, ISNUMBER($C95:E95)))),
lastVal + 'K dynamique'!E95 * ((SQRT('Résultats des tournois'!E$2 + 1)/'Résultats des tournois'!E95) - (1 / (1 + 10^((E$103 - lastVal)/400)))))
)
))"),"")</f>
        <v/>
      </c>
      <c r="G95" s="32" t="str">
        <f>IFERROR(__xludf.DUMMYFUNCTION("IF('Résultats des tournois'!F$2=0,"""",LET(
lastVal, INDEX(FILTER($B95:F95, ISNUMBER($B95:F95)), COUNTA(FILTER($B95:F95, ISNUMBER($B95:F95)))),
IFERROR(
IF('Résultats des tournois'!F95="""", INDEX(FILTER($C95:F95, ISNUMBER($C95:F95)), COUNTA(FILTER($C95:F"&amp;"95, ISNUMBER($C95:F95)))),
lastVal + 'K dynamique'!F95 * ((SQRT('Résultats des tournois'!F$2 + 1)/'Résultats des tournois'!F95) - (1 / (1 + 10^((F$103 - lastVal)/400)))))
)
))"),"")</f>
        <v/>
      </c>
      <c r="H95" s="32" t="str">
        <f>IFERROR(__xludf.DUMMYFUNCTION("IF('Résultats des tournois'!G$2=0,"""",LET(
lastVal, INDEX(FILTER($B95:G95, ISNUMBER($B95:G95)), COUNTA(FILTER($B95:G95, ISNUMBER($B95:G95)))),
IFERROR(
IF('Résultats des tournois'!G95="""", INDEX(FILTER($C95:G95, ISNUMBER($C95:G95)), COUNTA(FILTER($C95:G"&amp;"95, ISNUMBER($C95:G95)))),
lastVal + 'K dynamique'!G95 * ((SQRT('Résultats des tournois'!G$2 + 1)/'Résultats des tournois'!G95) - (1 / (1 + 10^((G$103 - lastVal)/400)))))
)
))"),"")</f>
        <v/>
      </c>
      <c r="I95" s="32" t="str">
        <f>IFERROR(__xludf.DUMMYFUNCTION("IF('Résultats des tournois'!H$2=0,"""",LET(
lastVal, INDEX(FILTER($B95:H95, ISNUMBER($B95:H95)), COUNTA(FILTER($B95:H95, ISNUMBER($B95:H95)))),
IFERROR(
IF('Résultats des tournois'!H95="""", INDEX(FILTER($C95:H95, ISNUMBER($C95:H95)), COUNTA(FILTER($C95:H"&amp;"95, ISNUMBER($C95:H95)))),
lastVal + 'K dynamique'!H95 * ((SQRT('Résultats des tournois'!H$2 + 1)/'Résultats des tournois'!H95) - (1 / (1 + 10^((H$103 - lastVal)/400)))))
)
))"),"")</f>
        <v/>
      </c>
      <c r="J95" s="32" t="str">
        <f>IFERROR(__xludf.DUMMYFUNCTION("IF('Résultats des tournois'!I$2=0,"""",LET(
lastVal, INDEX(FILTER($B95:I95, ISNUMBER($B95:I95)), COUNTA(FILTER($B95:I95, ISNUMBER($B95:I95)))),
IFERROR(
IF('Résultats des tournois'!I95="""", INDEX(FILTER($C95:I95, ISNUMBER($C95:I95)), COUNTA(FILTER($C95:I"&amp;"95, ISNUMBER($C95:I95)))),
lastVal + 'K dynamique'!I95 * ((SQRT('Résultats des tournois'!I$2 + 1)/'Résultats des tournois'!I95) - (1 / (1 + 10^((I$103 - lastVal)/400)))))
)
))"),"")</f>
        <v/>
      </c>
      <c r="K95" s="32" t="str">
        <f>IFERROR(__xludf.DUMMYFUNCTION("IF('Résultats des tournois'!J$2=0,"""",LET(
lastVal, INDEX(FILTER($B95:J95, ISNUMBER($B95:J95)), COUNTA(FILTER($B95:J95, ISNUMBER($B95:J95)))),
IFERROR(
IF('Résultats des tournois'!J95="""", INDEX(FILTER($C95:J95, ISNUMBER($C95:J95)), COUNTA(FILTER($C95:J"&amp;"95, ISNUMBER($C95:J95)))),
lastVal + 'K dynamique'!J95 * ((SQRT('Résultats des tournois'!J$2 + 1)/'Résultats des tournois'!J95) - (1 / (1 + 10^((J$103 - lastVal)/400)))))
)
))"),"")</f>
        <v/>
      </c>
      <c r="L95" s="32" t="str">
        <f>IFERROR(__xludf.DUMMYFUNCTION("IF('Résultats des tournois'!K$2=0,"""",LET(
lastVal, INDEX(FILTER($B95:K95, ISNUMBER($B95:K95)), COUNTA(FILTER($B95:K95, ISNUMBER($B95:K95)))),
IFERROR(
IF('Résultats des tournois'!K95="""", INDEX(FILTER($C95:K95, ISNUMBER($C95:K95)), COUNTA(FILTER($C95:K"&amp;"95, ISNUMBER($C95:K95)))),
lastVal + 'K dynamique'!K95 * ((SQRT('Résultats des tournois'!K$2 + 1)/'Résultats des tournois'!K95) - (1 / (1 + 10^((K$103 - lastVal)/400)))))
)
))"),"")</f>
        <v/>
      </c>
      <c r="M95" s="32" t="str">
        <f>IFERROR(__xludf.DUMMYFUNCTION("IF('Résultats des tournois'!L$2=0,"""",LET(
lastVal, INDEX(FILTER($B95:L95, ISNUMBER($B95:L95)), COUNTA(FILTER($B95:L95, ISNUMBER($B95:L95)))),
IFERROR(
IF('Résultats des tournois'!L95="""", INDEX(FILTER($C95:L95, ISNUMBER($C95:L95)), COUNTA(FILTER($C95:L"&amp;"95, ISNUMBER($C95:L95)))),
lastVal + 'K dynamique'!L95 * ((SQRT('Résultats des tournois'!L$2 + 1)/'Résultats des tournois'!L95) - (1 / (1 + 10^((L$103 - lastVal)/400)))))
)
))"),"")</f>
        <v/>
      </c>
      <c r="N95" s="32" t="str">
        <f>IFERROR(__xludf.DUMMYFUNCTION("IF('Résultats des tournois'!M$2=0,"""",LET(
lastVal, INDEX(FILTER($B95:M95, ISNUMBER($B95:M95)), COUNTA(FILTER($B95:M95, ISNUMBER($B95:M95)))),
IFERROR(
IF('Résultats des tournois'!M95="""", INDEX(FILTER($C95:M95, ISNUMBER($C95:M95)), COUNTA(FILTER($C95:M"&amp;"95, ISNUMBER($C95:M95)))),
lastVal + 'K dynamique'!M95 * ((SQRT('Résultats des tournois'!M$2 + 1)/'Résultats des tournois'!M95) - (1 / (1 + 10^((M$103 - lastVal)/400)))))
)
))"),"")</f>
        <v/>
      </c>
      <c r="O95" s="32" t="str">
        <f>IFERROR(__xludf.DUMMYFUNCTION("IF('Résultats des tournois'!N$2=0,"""",LET(
lastVal, INDEX(FILTER($B95:N95, ISNUMBER($B95:N95)), COUNTA(FILTER($B95:N95, ISNUMBER($B95:N95)))),
IFERROR(
IF('Résultats des tournois'!N95="""", INDEX(FILTER($C95:N95, ISNUMBER($C95:N95)), COUNTA(FILTER($C95:N"&amp;"95, ISNUMBER($C95:N95)))),
lastVal + 'K dynamique'!N95 * ((SQRT('Résultats des tournois'!N$2 + 1)/'Résultats des tournois'!N95) - (1 / (1 + 10^((N$103 - lastVal)/400)))))
)
))"),"")</f>
        <v/>
      </c>
      <c r="P95" s="32" t="str">
        <f>IFERROR(__xludf.DUMMYFUNCTION("IF('Résultats des tournois'!O$2=0,"""",LET(
lastVal, INDEX(FILTER($B95:O95, ISNUMBER($B95:O95)), COUNTA(FILTER($B95:O95, ISNUMBER($B95:O95)))),
IFERROR(
IF('Résultats des tournois'!O95="""", INDEX(FILTER($C95:O95, ISNUMBER($C95:O95)), COUNTA(FILTER($C95:O"&amp;"95, ISNUMBER($C95:O95)))),
lastVal + 'K dynamique'!O95 * ((SQRT('Résultats des tournois'!O$2 + 1)/'Résultats des tournois'!O95) - (1 / (1 + 10^((O$103 - lastVal)/400)))))
)
))"),"")</f>
        <v/>
      </c>
      <c r="Q95" s="32" t="str">
        <f>IFERROR(__xludf.DUMMYFUNCTION("IF('Résultats des tournois'!P$2=0,"""",LET(
lastVal, INDEX(FILTER($B95:P95, ISNUMBER($B95:P95)), COUNTA(FILTER($B95:P95, ISNUMBER($B95:P95)))),
IFERROR(
IF('Résultats des tournois'!P95="""", INDEX(FILTER($C95:P95, ISNUMBER($C95:P95)), COUNTA(FILTER($C95:P"&amp;"95, ISNUMBER($C95:P95)))),
lastVal + 'K dynamique'!P95 * ((SQRT('Résultats des tournois'!P$2 + 1)/'Résultats des tournois'!P95) - (1 / (1 + 10^((P$103 - lastVal)/400)))))
)
))"),"")</f>
        <v/>
      </c>
      <c r="R95" s="32" t="str">
        <f>IFERROR(__xludf.DUMMYFUNCTION("IF('Résultats des tournois'!Q$2=0,"""",LET(
lastVal, INDEX(FILTER($B95:Q95, ISNUMBER($B95:Q95)), COUNTA(FILTER($B95:Q95, ISNUMBER($B95:Q95)))),
IFERROR(
IF('Résultats des tournois'!Q95="""", INDEX(FILTER($C95:Q95, ISNUMBER($C95:Q95)), COUNTA(FILTER($C95:Q"&amp;"95, ISNUMBER($C95:Q95)))),
lastVal + 'K dynamique'!Q95 * ((SQRT('Résultats des tournois'!Q$2 + 1)/'Résultats des tournois'!Q95) - (1 / (1 + 10^((Q$103 - lastVal)/400)))))
)
))"),"")</f>
        <v/>
      </c>
      <c r="S95" s="32" t="str">
        <f>IFERROR(__xludf.DUMMYFUNCTION("IF('Résultats des tournois'!R$2=0,"""",LET(
lastVal, INDEX(FILTER($B95:R95, ISNUMBER($B95:R95)), COUNTA(FILTER($B95:R95, ISNUMBER($B95:R95)))),
IFERROR(
IF('Résultats des tournois'!R95="""", INDEX(FILTER($C95:R95, ISNUMBER($C95:R95)), COUNTA(FILTER($C95:R"&amp;"95, ISNUMBER($C95:R95)))),
lastVal + 'K dynamique'!R95 * ((SQRT('Résultats des tournois'!R$2 + 1)/'Résultats des tournois'!R95) - (1 / (1 + 10^((R$103 - lastVal)/400)))))
)
))"),"")</f>
        <v/>
      </c>
      <c r="T95" s="32" t="str">
        <f>IFERROR(__xludf.DUMMYFUNCTION("IF('Résultats des tournois'!S$2=0,"""",LET(
lastVal, INDEX(FILTER($B95:S95, ISNUMBER($B95:S95)), COUNTA(FILTER($B95:S95, ISNUMBER($B95:S95)))),
IFERROR(
IF('Résultats des tournois'!S95="""", INDEX(FILTER($C95:S95, ISNUMBER($C95:S95)), COUNTA(FILTER($C95:S"&amp;"95, ISNUMBER($C95:S95)))),
lastVal + 'K dynamique'!S95 * ((SQRT('Résultats des tournois'!S$2 + 1)/'Résultats des tournois'!S95) - (1 / (1 + 10^((S$103 - lastVal)/400)))))
)
))"),"")</f>
        <v/>
      </c>
      <c r="U95" s="32" t="str">
        <f>IFERROR(__xludf.DUMMYFUNCTION("IF('Résultats des tournois'!T$2=0,"""",LET(
lastVal, INDEX(FILTER($B95:T95, ISNUMBER($B95:T95)), COUNTA(FILTER($B95:T95, ISNUMBER($B95:T95)))),
IFERROR(
IF('Résultats des tournois'!T95="""", INDEX(FILTER($C95:T95, ISNUMBER($C95:T95)), COUNTA(FILTER($C95:T"&amp;"95, ISNUMBER($C95:T95)))),
lastVal + 'K dynamique'!T95 * ((SQRT('Résultats des tournois'!T$2 + 1)/'Résultats des tournois'!T95) - (1 / (1 + 10^((T$103 - lastVal)/400)))))
)
))"),"")</f>
        <v/>
      </c>
      <c r="V95" s="32" t="str">
        <f>IFERROR(__xludf.DUMMYFUNCTION("IF('Résultats des tournois'!U$2=0,"""",LET(
lastVal, INDEX(FILTER($B95:U95, ISNUMBER($B95:U95)), COUNTA(FILTER($B95:U95, ISNUMBER($B95:U95)))),
IFERROR(
IF('Résultats des tournois'!U95="""", INDEX(FILTER($C95:U95, ISNUMBER($C95:U95)), COUNTA(FILTER($C95:U"&amp;"95, ISNUMBER($C95:U95)))),
lastVal + 'K dynamique'!U95 * ((SQRT('Résultats des tournois'!U$2 + 1)/'Résultats des tournois'!U95) - (1 / (1 + 10^((U$103 - lastVal)/400)))))
)
))"),"")</f>
        <v/>
      </c>
      <c r="W95" s="32" t="str">
        <f>IFERROR(__xludf.DUMMYFUNCTION("IF('Résultats des tournois'!V$2=0,"""",LET(
lastVal, INDEX(FILTER($B95:V95, ISNUMBER($B95:V95)), COUNTA(FILTER($B95:V95, ISNUMBER($B95:V95)))),
IFERROR(
IF('Résultats des tournois'!V95="""", INDEX(FILTER($C95:V95, ISNUMBER($C95:V95)), COUNTA(FILTER($C95:V"&amp;"95, ISNUMBER($C95:V95)))),
lastVal + 'K dynamique'!V95 * ((SQRT('Résultats des tournois'!V$2 + 1)/'Résultats des tournois'!V95) - (1 / (1 + 10^((V$103 - lastVal)/400)))))
)
))"),"")</f>
        <v/>
      </c>
      <c r="X95" s="32" t="str">
        <f>IFERROR(__xludf.DUMMYFUNCTION("IF('Résultats des tournois'!W$2=0,"""",LET(
lastVal, INDEX(FILTER($B95:W95, ISNUMBER($B95:W95)), COUNTA(FILTER($B95:W95, ISNUMBER($B95:W95)))),
IFERROR(
IF('Résultats des tournois'!W95="""", INDEX(FILTER($C95:W95, ISNUMBER($C95:W95)), COUNTA(FILTER($C95:W"&amp;"95, ISNUMBER($C95:W95)))),
lastVal + 'K dynamique'!W95 * ((SQRT('Résultats des tournois'!W$2 + 1)/'Résultats des tournois'!W95) - (1 / (1 + 10^((W$103 - lastVal)/400)))))
)
))"),"")</f>
        <v/>
      </c>
      <c r="Y95" s="32" t="str">
        <f>IFERROR(__xludf.DUMMYFUNCTION("IF('Résultats des tournois'!X$2=0,"""",LET(
lastVal, INDEX(FILTER($B95:X95, ISNUMBER($B95:X95)), COUNTA(FILTER($B95:X95, ISNUMBER($B95:X95)))),
IFERROR(
IF('Résultats des tournois'!X95="""", INDEX(FILTER($C95:X95, ISNUMBER($C95:X95)), COUNTA(FILTER($C95:X"&amp;"95, ISNUMBER($C95:X95)))),
lastVal + 'K dynamique'!X95 * ((SQRT('Résultats des tournois'!X$2 + 1)/'Résultats des tournois'!X95) - (1 / (1 + 10^((X$103 - lastVal)/400)))))
)
))"),"")</f>
        <v/>
      </c>
      <c r="Z95" s="32" t="str">
        <f>IFERROR(__xludf.DUMMYFUNCTION("IF('Résultats des tournois'!Y$2=0,"""",LET(
lastVal, INDEX(FILTER($B95:Y95, ISNUMBER($B95:Y95)), COUNTA(FILTER($B95:Y95, ISNUMBER($B95:Y95)))),
IFERROR(
IF('Résultats des tournois'!Y95="""", INDEX(FILTER($C95:Y95, ISNUMBER($C95:Y95)), COUNTA(FILTER($C95:Y"&amp;"95, ISNUMBER($C95:Y95)))),
lastVal + 'K dynamique'!Y95 * ((SQRT('Résultats des tournois'!Y$2 + 1)/'Résultats des tournois'!Y95) - (1 / (1 + 10^((Y$103 - lastVal)/400)))))
)
))"),"")</f>
        <v/>
      </c>
      <c r="AA95" s="32" t="str">
        <f>IFERROR(__xludf.DUMMYFUNCTION("IF('Résultats des tournois'!Z$2=0,"""",LET(
lastVal, INDEX(FILTER($B95:Z95, ISNUMBER($B95:Z95)), COUNTA(FILTER($B95:Z95, ISNUMBER($B95:Z95)))),
IFERROR(
IF('Résultats des tournois'!Z95="""", INDEX(FILTER($C95:Z95, ISNUMBER($C95:Z95)), COUNTA(FILTER($C95:Z"&amp;"95, ISNUMBER($C95:Z95)))),
lastVal + 'K dynamique'!Z95 * ((SQRT('Résultats des tournois'!Z$2 + 1)/'Résultats des tournois'!Z95) - (1 / (1 + 10^((Z$103 - lastVal)/400)))))
)
))"),"")</f>
        <v/>
      </c>
      <c r="AB95" s="32" t="str">
        <f>IFERROR(__xludf.DUMMYFUNCTION("IF('Résultats des tournois'!AA$2=0,"""",LET(
lastVal, INDEX(FILTER($B95:AA95, ISNUMBER($B95:AA95)), COUNTA(FILTER($B95:AA95, ISNUMBER($B95:AA95)))),
IFERROR(
IF('Résultats des tournois'!AA95="""", INDEX(FILTER($C95:AA95, ISNUMBER($C95:AA95)), COUNTA(FILTE"&amp;"R($C95:AA95, ISNUMBER($C95:AA95)))),
lastVal + 'K dynamique'!AA95 * ((SQRT('Résultats des tournois'!AA$2 + 1)/'Résultats des tournois'!AA95) - (1 / (1 + 10^((AA$103 - lastVal)/400)))))
)
))"),"")</f>
        <v/>
      </c>
      <c r="AC95" s="32" t="str">
        <f>IFERROR(__xludf.DUMMYFUNCTION("IF('Résultats des tournois'!AB$2=0,"""",LET(
lastVal, INDEX(FILTER($B95:AB95, ISNUMBER($B95:AB95)), COUNTA(FILTER($B95:AB95, ISNUMBER($B95:AB95)))),
IFERROR(
IF('Résultats des tournois'!AB95="""", INDEX(FILTER($C95:AB95, ISNUMBER($C95:AB95)), COUNTA(FILTE"&amp;"R($C95:AB95, ISNUMBER($C95:AB95)))),
lastVal + 'K dynamique'!AB95 * ((SQRT('Résultats des tournois'!AB$2 + 1)/'Résultats des tournois'!AB95) - (1 / (1 + 10^((AB$103 - lastVal)/400)))))
)
))"),"")</f>
        <v/>
      </c>
      <c r="AD95" s="32" t="str">
        <f>IFERROR(__xludf.DUMMYFUNCTION("IF('Résultats des tournois'!AC$2=0,"""",LET(
lastVal, INDEX(FILTER($B95:AC95, ISNUMBER($B95:AC95)), COUNTA(FILTER($B95:AC95, ISNUMBER($B95:AC95)))),
IFERROR(
IF('Résultats des tournois'!AC95="""", INDEX(FILTER($C95:AC95, ISNUMBER($C95:AC95)), COUNTA(FILTE"&amp;"R($C95:AC95, ISNUMBER($C95:AC95)))),
lastVal + 'K dynamique'!AC95 * ((SQRT('Résultats des tournois'!AC$2 + 1)/'Résultats des tournois'!AC95) - (1 / (1 + 10^((AC$103 - lastVal)/400)))))
)
))"),"")</f>
        <v/>
      </c>
      <c r="AE95" s="32" t="str">
        <f>IFERROR(__xludf.DUMMYFUNCTION("IF('Résultats des tournois'!AD$2=0,"""",LET(
lastVal, INDEX(FILTER($B95:AD95, ISNUMBER($B95:AD95)), COUNTA(FILTER($B95:AD95, ISNUMBER($B95:AD95)))),
IFERROR(
IF('Résultats des tournois'!AD95="""", INDEX(FILTER($C95:AD95, ISNUMBER($C95:AD95)), COUNTA(FILTE"&amp;"R($C95:AD95, ISNUMBER($C95:AD95)))),
lastVal + 'K dynamique'!AD95 * ((SQRT('Résultats des tournois'!AD$2 + 1)/'Résultats des tournois'!AD95) - (1 / (1 + 10^((AD$103 - lastVal)/400)))))
)
))"),"")</f>
        <v/>
      </c>
      <c r="AF95" s="32" t="str">
        <f>IFERROR(__xludf.DUMMYFUNCTION("IF('Résultats des tournois'!AE$2=0,"""",LET(
lastVal, INDEX(FILTER($B95:AE95, ISNUMBER($B95:AE95)), COUNTA(FILTER($B95:AE95, ISNUMBER($B95:AE95)))),
IFERROR(
IF('Résultats des tournois'!AE95="""", INDEX(FILTER($C95:AE95, ISNUMBER($C95:AE95)), COUNTA(FILTE"&amp;"R($C95:AE95, ISNUMBER($C95:AE95)))),
lastVal + 'K dynamique'!AE95 * ((SQRT('Résultats des tournois'!AE$2 + 1)/'Résultats des tournois'!AE95) - (1 / (1 + 10^((AE$103 - lastVal)/400)))))
)
))"),"")</f>
        <v/>
      </c>
      <c r="AG95" s="32" t="str">
        <f>IFERROR(__xludf.DUMMYFUNCTION("IF('Résultats des tournois'!AF$2=0,"""",LET(
lastVal, INDEX(FILTER($B95:AF95, ISNUMBER($B95:AF95)), COUNTA(FILTER($B95:AF95, ISNUMBER($B95:AF95)))),
IFERROR(
IF('Résultats des tournois'!AF95="""", INDEX(FILTER($C95:AF95, ISNUMBER($C95:AF95)), COUNTA(FILTE"&amp;"R($C95:AF95, ISNUMBER($C95:AF95)))),
lastVal + 'K dynamique'!AF95 * ((SQRT('Résultats des tournois'!AF$2 + 1)/'Résultats des tournois'!AF95) - (1 / (1 + 10^((AF$103 - lastVal)/400)))))
)
))"),"")</f>
        <v/>
      </c>
      <c r="AH95" s="32" t="str">
        <f>IFERROR(__xludf.DUMMYFUNCTION("IF('Résultats des tournois'!AG$2=0,"""",LET(
lastVal, INDEX(FILTER($B95:AG95, ISNUMBER($B95:AG95)), COUNTA(FILTER($B95:AG95, ISNUMBER($B95:AG95)))),
IFERROR(
IF('Résultats des tournois'!AG95="""", INDEX(FILTER($C95:AG95, ISNUMBER($C95:AG95)), COUNTA(FILTE"&amp;"R($C95:AG95, ISNUMBER($C95:AG95)))),
lastVal + 'K dynamique'!AG95 * ((SQRT('Résultats des tournois'!AG$2 + 1)/'Résultats des tournois'!AG95) - (1 / (1 + 10^((AG$103 - lastVal)/400)))))
)
))"),"")</f>
        <v/>
      </c>
      <c r="AI95" s="32" t="str">
        <f>IFERROR(__xludf.DUMMYFUNCTION("IF('Résultats des tournois'!AH$2=0,"""",LET(
lastVal, INDEX(FILTER($B95:AH95, ISNUMBER($B95:AH95)), COUNTA(FILTER($B95:AH95, ISNUMBER($B95:AH95)))),
IFERROR(
IF('Résultats des tournois'!AH95="""", INDEX(FILTER($C95:AH95, ISNUMBER($C95:AH95)), COUNTA(FILTE"&amp;"R($C95:AH95, ISNUMBER($C95:AH95)))),
lastVal + 'K dynamique'!AH95 * ((SQRT('Résultats des tournois'!AH$2 + 1)/'Résultats des tournois'!AH95) - (1 / (1 + 10^((AH$103 - lastVal)/400)))))
)
))"),"")</f>
        <v/>
      </c>
      <c r="AJ95" s="32" t="str">
        <f>IFERROR(__xludf.DUMMYFUNCTION("IF('Résultats des tournois'!AI$2=0,"""",LET(
lastVal, INDEX(FILTER($B95:AI95, ISNUMBER($B95:AI95)), COUNTA(FILTER($B95:AI95, ISNUMBER($B95:AI95)))),
IFERROR(
IF('Résultats des tournois'!AI95="""", INDEX(FILTER($C95:AI95, ISNUMBER($C95:AI95)), COUNTA(FILTE"&amp;"R($C95:AI95, ISNUMBER($C95:AI95)))),
lastVal + 'K dynamique'!AI95 * ((SQRT('Résultats des tournois'!AI$2 + 1)/'Résultats des tournois'!AI95) - (1 / (1 + 10^((AI$103 - lastVal)/400)))))
)
))"),"")</f>
        <v/>
      </c>
      <c r="AK95" s="32" t="str">
        <f>IFERROR(__xludf.DUMMYFUNCTION("IF('Résultats des tournois'!AJ$2=0,"""",LET(
lastVal, INDEX(FILTER($B95:AJ95, ISNUMBER($B95:AJ95)), COUNTA(FILTER($B95:AJ95, ISNUMBER($B95:AJ95)))),
IFERROR(
IF('Résultats des tournois'!AJ95="""", INDEX(FILTER($C95:AJ95, ISNUMBER($C95:AJ95)), COUNTA(FILTE"&amp;"R($C95:AJ95, ISNUMBER($C95:AJ95)))),
lastVal + 'K dynamique'!AJ95 * ((SQRT('Résultats des tournois'!AJ$2 + 1)/'Résultats des tournois'!AJ95) - (1 / (1 + 10^((AJ$103 - lastVal)/400)))))
)
))"),"")</f>
        <v/>
      </c>
      <c r="AL95" s="32" t="str">
        <f>IFERROR(__xludf.DUMMYFUNCTION("IF('Résultats des tournois'!AK$2=0,"""",LET(
lastVal, INDEX(FILTER($B95:AK95, ISNUMBER($B95:AK95)), COUNTA(FILTER($B95:AK95, ISNUMBER($B95:AK95)))),
IFERROR(
IF('Résultats des tournois'!AK95="""", INDEX(FILTER($C95:AK95, ISNUMBER($C95:AK95)), COUNTA(FILTE"&amp;"R($C95:AK95, ISNUMBER($C95:AK95)))),
lastVal + 'K dynamique'!AK95 * ((SQRT('Résultats des tournois'!AK$2 + 1)/'Résultats des tournois'!AK95) - (1 / (1 + 10^((AK$103 - lastVal)/400)))))
)
))"),"")</f>
        <v/>
      </c>
      <c r="AM95" s="32" t="str">
        <f>IFERROR(__xludf.DUMMYFUNCTION("IF('Résultats des tournois'!AL$2=0,"""",LET(
lastVal, INDEX(FILTER($B95:AL95, ISNUMBER($B95:AL95)), COUNTA(FILTER($B95:AL95, ISNUMBER($B95:AL95)))),
IFERROR(
IF('Résultats des tournois'!AL95="""", INDEX(FILTER($C95:AL95, ISNUMBER($C95:AL95)), COUNTA(FILTE"&amp;"R($C95:AL95, ISNUMBER($C95:AL95)))),
lastVal + 'K dynamique'!AL95 * ((SQRT('Résultats des tournois'!AL$2 + 1)/'Résultats des tournois'!AL95) - (1 / (1 + 10^((AL$103 - lastVal)/400)))))
)
))"),"")</f>
        <v/>
      </c>
      <c r="AN95" s="32" t="str">
        <f>IFERROR(__xludf.DUMMYFUNCTION("IF('Résultats des tournois'!AM$2=0,"""",LET(
lastVal, INDEX(FILTER($B95:AM95, ISNUMBER($B95:AM95)), COUNTA(FILTER($B95:AM95, ISNUMBER($B95:AM95)))),
IFERROR(
IF('Résultats des tournois'!AM95="""", INDEX(FILTER($C95:AM95, ISNUMBER($C95:AM95)), COUNTA(FILTE"&amp;"R($C95:AM95, ISNUMBER($C95:AM95)))),
lastVal + 'K dynamique'!AM95 * ((SQRT('Résultats des tournois'!AM$2 + 1)/'Résultats des tournois'!AM95) - (1 / (1 + 10^((AM$103 - lastVal)/400)))))
)
))"),"")</f>
        <v/>
      </c>
      <c r="AO95" s="32" t="str">
        <f>IFERROR(__xludf.DUMMYFUNCTION("IF('Résultats des tournois'!AN$2=0,"""",LET(
lastVal, INDEX(FILTER($B95:AN95, ISNUMBER($B95:AN95)), COUNTA(FILTER($B95:AN95, ISNUMBER($B95:AN95)))),
IFERROR(
IF('Résultats des tournois'!AN95="""", INDEX(FILTER($C95:AN95, ISNUMBER($C95:AN95)), COUNTA(FILTE"&amp;"R($C95:AN95, ISNUMBER($C95:AN95)))),
lastVal + 'K dynamique'!AN95 * ((SQRT('Résultats des tournois'!AN$2 + 1)/'Résultats des tournois'!AN95) - (1 / (1 + 10^((AN$103 - lastVal)/400)))))
)
))"),"")</f>
        <v/>
      </c>
      <c r="AP95" s="32" t="str">
        <f>IFERROR(__xludf.DUMMYFUNCTION("IF('Résultats des tournois'!AO$2=0,"""",LET(
lastVal, INDEX(FILTER($B95:AO95, ISNUMBER($B95:AO95)), COUNTA(FILTER($B95:AO95, ISNUMBER($B95:AO95)))),
IFERROR(
IF('Résultats des tournois'!AO95="""", INDEX(FILTER($C95:AO95, ISNUMBER($C95:AO95)), COUNTA(FILTE"&amp;"R($C95:AO95, ISNUMBER($C95:AO95)))),
lastVal + 'K dynamique'!AO95 * ((SQRT('Résultats des tournois'!AO$2 + 1)/'Résultats des tournois'!AO95) - (1 / (1 + 10^((AO$103 - lastVal)/400)))))
)
))"),"")</f>
        <v/>
      </c>
      <c r="AQ95" s="32" t="str">
        <f>IFERROR(__xludf.DUMMYFUNCTION("IF('Résultats des tournois'!AP$2=0,"""",LET(
lastVal, INDEX(FILTER($B95:AP95, ISNUMBER($B95:AP95)), COUNTA(FILTER($B95:AP95, ISNUMBER($B95:AP95)))),
IFERROR(
IF('Résultats des tournois'!AP95="""", INDEX(FILTER($C95:AP95, ISNUMBER($C95:AP95)), COUNTA(FILTE"&amp;"R($C95:AP95, ISNUMBER($C95:AP95)))),
lastVal + 'K dynamique'!AP95 * ((SQRT('Résultats des tournois'!AP$2 + 1)/'Résultats des tournois'!AP95) - (1 / (1 + 10^((AP$103 - lastVal)/400)))))
)
))"),"")</f>
        <v/>
      </c>
      <c r="AR95" s="32" t="str">
        <f>IFERROR(__xludf.DUMMYFUNCTION("IF('Résultats des tournois'!AQ$2=0,"""",LET(
lastVal, INDEX(FILTER($B95:AQ95, ISNUMBER($B95:AQ95)), COUNTA(FILTER($B95:AQ95, ISNUMBER($B95:AQ95)))),
IFERROR(
IF('Résultats des tournois'!AQ95="""", INDEX(FILTER($C95:AQ95, ISNUMBER($C95:AQ95)), COUNTA(FILTE"&amp;"R($C95:AQ95, ISNUMBER($C95:AQ95)))),
lastVal + 'K dynamique'!AQ95 * ((SQRT('Résultats des tournois'!AQ$2 + 1)/'Résultats des tournois'!AQ95) - (1 / (1 + 10^((AQ$103 - lastVal)/400)))))
)
))"),"")</f>
        <v/>
      </c>
      <c r="AS95" s="32" t="str">
        <f>IFERROR(__xludf.DUMMYFUNCTION("IF('Résultats des tournois'!AR$2=0,"""",LET(
lastVal, INDEX(FILTER($B95:AR95, ISNUMBER($B95:AR95)), COUNTA(FILTER($B95:AR95, ISNUMBER($B95:AR95)))),
IFERROR(
IF('Résultats des tournois'!AR95="""", INDEX(FILTER($C95:AR95, ISNUMBER($C95:AR95)), COUNTA(FILTE"&amp;"R($C95:AR95, ISNUMBER($C95:AR95)))),
lastVal + 'K dynamique'!AR95 * ((SQRT('Résultats des tournois'!AR$2 + 1)/'Résultats des tournois'!AR95) - (1 / (1 + 10^((AR$103 - lastVal)/400)))))
)
))"),"")</f>
        <v/>
      </c>
      <c r="AT95" s="32" t="str">
        <f>IFERROR(__xludf.DUMMYFUNCTION("IF('Résultats des tournois'!AS$2=0,"""",LET(
lastVal, INDEX(FILTER($B95:AS95, ISNUMBER($B95:AS95)), COUNTA(FILTER($B95:AS95, ISNUMBER($B95:AS95)))),
IFERROR(
IF('Résultats des tournois'!AS95="""", INDEX(FILTER($C95:AS95, ISNUMBER($C95:AS95)), COUNTA(FILTE"&amp;"R($C95:AS95, ISNUMBER($C95:AS95)))),
lastVal + 'K dynamique'!AS95 * ((SQRT('Résultats des tournois'!AS$2 + 1)/'Résultats des tournois'!AS95) - (1 / (1 + 10^((AS$103 - lastVal)/400)))))
)
))"),"")</f>
        <v/>
      </c>
      <c r="AU95" s="32" t="str">
        <f>IFERROR(__xludf.DUMMYFUNCTION("IF('Résultats des tournois'!AT$2=0,"""",LET(
lastVal, INDEX(FILTER($B95:AT95, ISNUMBER($B95:AT95)), COUNTA(FILTER($B95:AT95, ISNUMBER($B95:AT95)))),
IFERROR(
IF('Résultats des tournois'!AT95="""", INDEX(FILTER($C95:AT95, ISNUMBER($C95:AT95)), COUNTA(FILTE"&amp;"R($C95:AT95, ISNUMBER($C95:AT95)))),
lastVal + 'K dynamique'!AT95 * ((SQRT('Résultats des tournois'!AT$2 + 1)/'Résultats des tournois'!AT95) - (1 / (1 + 10^((AT$103 - lastVal)/400)))))
)
))"),"")</f>
        <v/>
      </c>
      <c r="AV95" s="32" t="str">
        <f>IFERROR(__xludf.DUMMYFUNCTION("IF('Résultats des tournois'!AU$2=0,"""",LET(
lastVal, INDEX(FILTER($B95:AU95, ISNUMBER($B95:AU95)), COUNTA(FILTER($B95:AU95, ISNUMBER($B95:AU95)))),
IFERROR(
IF('Résultats des tournois'!AU95="""", INDEX(FILTER($C95:AU95, ISNUMBER($C95:AU95)), COUNTA(FILTE"&amp;"R($C95:AU95, ISNUMBER($C95:AU95)))),
lastVal + 'K dynamique'!AU95 * ((SQRT('Résultats des tournois'!AU$2 + 1)/'Résultats des tournois'!AU95) - (1 / (1 + 10^((AU$103 - lastVal)/400)))))
)
))"),"")</f>
        <v/>
      </c>
      <c r="AW95" s="32" t="str">
        <f>IFERROR(__xludf.DUMMYFUNCTION("IF('Résultats des tournois'!AV$2=0,"""",LET(
lastVal, INDEX(FILTER($B95:AV95, ISNUMBER($B95:AV95)), COUNTA(FILTER($B95:AV95, ISNUMBER($B95:AV95)))),
IFERROR(
IF('Résultats des tournois'!AV95="""", INDEX(FILTER($C95:AV95, ISNUMBER($C95:AV95)), COUNTA(FILTE"&amp;"R($C95:AV95, ISNUMBER($C95:AV95)))),
lastVal + 'K dynamique'!AV95 * ((SQRT('Résultats des tournois'!AV$2 + 1)/'Résultats des tournois'!AV95) - (1 / (1 + 10^((AV$103 - lastVal)/400)))))
)
))"),"")</f>
        <v/>
      </c>
      <c r="AX95" s="32" t="str">
        <f>IFERROR(__xludf.DUMMYFUNCTION("IF('Résultats des tournois'!AW$2=0,"""",LET(
lastVal, INDEX(FILTER($B95:AW95, ISNUMBER($B95:AW95)), COUNTA(FILTER($B95:AW95, ISNUMBER($B95:AW95)))),
IFERROR(
IF('Résultats des tournois'!AW95="""", INDEX(FILTER($C95:AW95, ISNUMBER($C95:AW95)), COUNTA(FILTE"&amp;"R($C95:AW95, ISNUMBER($C95:AW95)))),
lastVal + 'K dynamique'!AW95 * ((SQRT('Résultats des tournois'!AW$2 + 1)/'Résultats des tournois'!AW95) - (1 / (1 + 10^((AW$103 - lastVal)/400)))))
)
))"),"")</f>
        <v/>
      </c>
      <c r="AY95" s="32" t="str">
        <f>IFERROR(__xludf.DUMMYFUNCTION("IF('Résultats des tournois'!AX$2=0,"""",LET(
lastVal, INDEX(FILTER($B95:AX95, ISNUMBER($B95:AX95)), COUNTA(FILTER($B95:AX95, ISNUMBER($B95:AX95)))),
IFERROR(
IF('Résultats des tournois'!AX95="""", INDEX(FILTER($C95:AX95, ISNUMBER($C95:AX95)), COUNTA(FILTE"&amp;"R($C95:AX95, ISNUMBER($C95:AX95)))),
lastVal + 'K dynamique'!AX95 * ((SQRT('Résultats des tournois'!AX$2 + 1)/'Résultats des tournois'!AX95) - (1 / (1 + 10^((AX$103 - lastVal)/400)))))
)
))"),"")</f>
        <v/>
      </c>
      <c r="AZ95" s="4" t="str">
        <f t="array" ref="AZ95">IF(MAX(($C95:AY95&lt;&gt;"")*COLUMN($C95:AY95))=0,"",INDEX($C95:AY95,1,MAX(($C95:AY95&lt;&gt;"")*COLUMN($C95:AY95))-COLUMN($C95)+1))</f>
        <v/>
      </c>
      <c r="BA95" s="33" t="str">
        <f t="shared" si="1"/>
        <v/>
      </c>
    </row>
    <row r="96" ht="14.25" customHeight="1">
      <c r="A96" s="32" t="str">
        <f>IF('Résultats des tournois'!A96="","",'Résultats des tournois'!A96)</f>
        <v/>
      </c>
      <c r="B96" s="32">
        <v>1500.0</v>
      </c>
      <c r="C96" s="32" t="str">
        <f>IF('Résultats des tournois'!B96="","",B96+'K dynamique'!B96*((SQRT('Résultats des tournois'!B$2+1)/'Résultats des tournois'!B96)-(1/(1+10^((B96-B96)/400)))))</f>
        <v/>
      </c>
      <c r="D96" s="32" t="str">
        <f>IFERROR(__xludf.DUMMYFUNCTION("IF('Résultats des tournois'!C$2=0,"""",LET(
lastVal, INDEX(FILTER($B96:C96, ISNUMBER($B96:C96)), COUNTA(FILTER($B96:C96, ISNUMBER($B96:C96)))),
IFERROR(
IF('Résultats des tournois'!C96="""", INDEX(FILTER($C96:C96, ISNUMBER($C96:C96)), COUNTA(FILTER($C96:C"&amp;"96, ISNUMBER($C96:C96)))),
lastVal + 'K dynamique'!C96 * ((SQRT('Résultats des tournois'!C$2 + 1)/'Résultats des tournois'!C96) - (1 / (1 + 10^((C$103 - lastVal)/400)))))
)
))"),"")</f>
        <v/>
      </c>
      <c r="E96" s="32" t="str">
        <f>IFERROR(__xludf.DUMMYFUNCTION("IF('Résultats des tournois'!D$2=0,"""",LET(
lastVal, INDEX(FILTER($B96:D96, ISNUMBER($B96:D96)), COUNTA(FILTER($B96:D96, ISNUMBER($B96:D96)))),
IFERROR(
IF('Résultats des tournois'!D96="""", INDEX(FILTER($C96:D96, ISNUMBER($C96:D96)), COUNTA(FILTER($C96:D"&amp;"96, ISNUMBER($C96:D96)))),
lastVal + 'K dynamique'!D96 * ((SQRT('Résultats des tournois'!D$2 + 1)/'Résultats des tournois'!D96) - (1 / (1 + 10^((D$103 - lastVal)/400)))))
)
))"),"")</f>
        <v/>
      </c>
      <c r="F96" s="32" t="str">
        <f>IFERROR(__xludf.DUMMYFUNCTION("IF('Résultats des tournois'!E$2=0,"""",LET(
lastVal, INDEX(FILTER($B96:E96, ISNUMBER($B96:E96)), COUNTA(FILTER($B96:E96, ISNUMBER($B96:E96)))),
IFERROR(
IF('Résultats des tournois'!E96="""", INDEX(FILTER($C96:E96, ISNUMBER($C96:E96)), COUNTA(FILTER($C96:E"&amp;"96, ISNUMBER($C96:E96)))),
lastVal + 'K dynamique'!E96 * ((SQRT('Résultats des tournois'!E$2 + 1)/'Résultats des tournois'!E96) - (1 / (1 + 10^((E$103 - lastVal)/400)))))
)
))"),"")</f>
        <v/>
      </c>
      <c r="G96" s="32" t="str">
        <f>IFERROR(__xludf.DUMMYFUNCTION("IF('Résultats des tournois'!F$2=0,"""",LET(
lastVal, INDEX(FILTER($B96:F96, ISNUMBER($B96:F96)), COUNTA(FILTER($B96:F96, ISNUMBER($B96:F96)))),
IFERROR(
IF('Résultats des tournois'!F96="""", INDEX(FILTER($C96:F96, ISNUMBER($C96:F96)), COUNTA(FILTER($C96:F"&amp;"96, ISNUMBER($C96:F96)))),
lastVal + 'K dynamique'!F96 * ((SQRT('Résultats des tournois'!F$2 + 1)/'Résultats des tournois'!F96) - (1 / (1 + 10^((F$103 - lastVal)/400)))))
)
))"),"")</f>
        <v/>
      </c>
      <c r="H96" s="32" t="str">
        <f>IFERROR(__xludf.DUMMYFUNCTION("IF('Résultats des tournois'!G$2=0,"""",LET(
lastVal, INDEX(FILTER($B96:G96, ISNUMBER($B96:G96)), COUNTA(FILTER($B96:G96, ISNUMBER($B96:G96)))),
IFERROR(
IF('Résultats des tournois'!G96="""", INDEX(FILTER($C96:G96, ISNUMBER($C96:G96)), COUNTA(FILTER($C96:G"&amp;"96, ISNUMBER($C96:G96)))),
lastVal + 'K dynamique'!G96 * ((SQRT('Résultats des tournois'!G$2 + 1)/'Résultats des tournois'!G96) - (1 / (1 + 10^((G$103 - lastVal)/400)))))
)
))"),"")</f>
        <v/>
      </c>
      <c r="I96" s="32" t="str">
        <f>IFERROR(__xludf.DUMMYFUNCTION("IF('Résultats des tournois'!H$2=0,"""",LET(
lastVal, INDEX(FILTER($B96:H96, ISNUMBER($B96:H96)), COUNTA(FILTER($B96:H96, ISNUMBER($B96:H96)))),
IFERROR(
IF('Résultats des tournois'!H96="""", INDEX(FILTER($C96:H96, ISNUMBER($C96:H96)), COUNTA(FILTER($C96:H"&amp;"96, ISNUMBER($C96:H96)))),
lastVal + 'K dynamique'!H96 * ((SQRT('Résultats des tournois'!H$2 + 1)/'Résultats des tournois'!H96) - (1 / (1 + 10^((H$103 - lastVal)/400)))))
)
))"),"")</f>
        <v/>
      </c>
      <c r="J96" s="32" t="str">
        <f>IFERROR(__xludf.DUMMYFUNCTION("IF('Résultats des tournois'!I$2=0,"""",LET(
lastVal, INDEX(FILTER($B96:I96, ISNUMBER($B96:I96)), COUNTA(FILTER($B96:I96, ISNUMBER($B96:I96)))),
IFERROR(
IF('Résultats des tournois'!I96="""", INDEX(FILTER($C96:I96, ISNUMBER($C96:I96)), COUNTA(FILTER($C96:I"&amp;"96, ISNUMBER($C96:I96)))),
lastVal + 'K dynamique'!I96 * ((SQRT('Résultats des tournois'!I$2 + 1)/'Résultats des tournois'!I96) - (1 / (1 + 10^((I$103 - lastVal)/400)))))
)
))"),"")</f>
        <v/>
      </c>
      <c r="K96" s="32" t="str">
        <f>IFERROR(__xludf.DUMMYFUNCTION("IF('Résultats des tournois'!J$2=0,"""",LET(
lastVal, INDEX(FILTER($B96:J96, ISNUMBER($B96:J96)), COUNTA(FILTER($B96:J96, ISNUMBER($B96:J96)))),
IFERROR(
IF('Résultats des tournois'!J96="""", INDEX(FILTER($C96:J96, ISNUMBER($C96:J96)), COUNTA(FILTER($C96:J"&amp;"96, ISNUMBER($C96:J96)))),
lastVal + 'K dynamique'!J96 * ((SQRT('Résultats des tournois'!J$2 + 1)/'Résultats des tournois'!J96) - (1 / (1 + 10^((J$103 - lastVal)/400)))))
)
))"),"")</f>
        <v/>
      </c>
      <c r="L96" s="32" t="str">
        <f>IFERROR(__xludf.DUMMYFUNCTION("IF('Résultats des tournois'!K$2=0,"""",LET(
lastVal, INDEX(FILTER($B96:K96, ISNUMBER($B96:K96)), COUNTA(FILTER($B96:K96, ISNUMBER($B96:K96)))),
IFERROR(
IF('Résultats des tournois'!K96="""", INDEX(FILTER($C96:K96, ISNUMBER($C96:K96)), COUNTA(FILTER($C96:K"&amp;"96, ISNUMBER($C96:K96)))),
lastVal + 'K dynamique'!K96 * ((SQRT('Résultats des tournois'!K$2 + 1)/'Résultats des tournois'!K96) - (1 / (1 + 10^((K$103 - lastVal)/400)))))
)
))"),"")</f>
        <v/>
      </c>
      <c r="M96" s="32" t="str">
        <f>IFERROR(__xludf.DUMMYFUNCTION("IF('Résultats des tournois'!L$2=0,"""",LET(
lastVal, INDEX(FILTER($B96:L96, ISNUMBER($B96:L96)), COUNTA(FILTER($B96:L96, ISNUMBER($B96:L96)))),
IFERROR(
IF('Résultats des tournois'!L96="""", INDEX(FILTER($C96:L96, ISNUMBER($C96:L96)), COUNTA(FILTER($C96:L"&amp;"96, ISNUMBER($C96:L96)))),
lastVal + 'K dynamique'!L96 * ((SQRT('Résultats des tournois'!L$2 + 1)/'Résultats des tournois'!L96) - (1 / (1 + 10^((L$103 - lastVal)/400)))))
)
))"),"")</f>
        <v/>
      </c>
      <c r="N96" s="32" t="str">
        <f>IFERROR(__xludf.DUMMYFUNCTION("IF('Résultats des tournois'!M$2=0,"""",LET(
lastVal, INDEX(FILTER($B96:M96, ISNUMBER($B96:M96)), COUNTA(FILTER($B96:M96, ISNUMBER($B96:M96)))),
IFERROR(
IF('Résultats des tournois'!M96="""", INDEX(FILTER($C96:M96, ISNUMBER($C96:M96)), COUNTA(FILTER($C96:M"&amp;"96, ISNUMBER($C96:M96)))),
lastVal + 'K dynamique'!M96 * ((SQRT('Résultats des tournois'!M$2 + 1)/'Résultats des tournois'!M96) - (1 / (1 + 10^((M$103 - lastVal)/400)))))
)
))"),"")</f>
        <v/>
      </c>
      <c r="O96" s="32" t="str">
        <f>IFERROR(__xludf.DUMMYFUNCTION("IF('Résultats des tournois'!N$2=0,"""",LET(
lastVal, INDEX(FILTER($B96:N96, ISNUMBER($B96:N96)), COUNTA(FILTER($B96:N96, ISNUMBER($B96:N96)))),
IFERROR(
IF('Résultats des tournois'!N96="""", INDEX(FILTER($C96:N96, ISNUMBER($C96:N96)), COUNTA(FILTER($C96:N"&amp;"96, ISNUMBER($C96:N96)))),
lastVal + 'K dynamique'!N96 * ((SQRT('Résultats des tournois'!N$2 + 1)/'Résultats des tournois'!N96) - (1 / (1 + 10^((N$103 - lastVal)/400)))))
)
))"),"")</f>
        <v/>
      </c>
      <c r="P96" s="32" t="str">
        <f>IFERROR(__xludf.DUMMYFUNCTION("IF('Résultats des tournois'!O$2=0,"""",LET(
lastVal, INDEX(FILTER($B96:O96, ISNUMBER($B96:O96)), COUNTA(FILTER($B96:O96, ISNUMBER($B96:O96)))),
IFERROR(
IF('Résultats des tournois'!O96="""", INDEX(FILTER($C96:O96, ISNUMBER($C96:O96)), COUNTA(FILTER($C96:O"&amp;"96, ISNUMBER($C96:O96)))),
lastVal + 'K dynamique'!O96 * ((SQRT('Résultats des tournois'!O$2 + 1)/'Résultats des tournois'!O96) - (1 / (1 + 10^((O$103 - lastVal)/400)))))
)
))"),"")</f>
        <v/>
      </c>
      <c r="Q96" s="32" t="str">
        <f>IFERROR(__xludf.DUMMYFUNCTION("IF('Résultats des tournois'!P$2=0,"""",LET(
lastVal, INDEX(FILTER($B96:P96, ISNUMBER($B96:P96)), COUNTA(FILTER($B96:P96, ISNUMBER($B96:P96)))),
IFERROR(
IF('Résultats des tournois'!P96="""", INDEX(FILTER($C96:P96, ISNUMBER($C96:P96)), COUNTA(FILTER($C96:P"&amp;"96, ISNUMBER($C96:P96)))),
lastVal + 'K dynamique'!P96 * ((SQRT('Résultats des tournois'!P$2 + 1)/'Résultats des tournois'!P96) - (1 / (1 + 10^((P$103 - lastVal)/400)))))
)
))"),"")</f>
        <v/>
      </c>
      <c r="R96" s="32" t="str">
        <f>IFERROR(__xludf.DUMMYFUNCTION("IF('Résultats des tournois'!Q$2=0,"""",LET(
lastVal, INDEX(FILTER($B96:Q96, ISNUMBER($B96:Q96)), COUNTA(FILTER($B96:Q96, ISNUMBER($B96:Q96)))),
IFERROR(
IF('Résultats des tournois'!Q96="""", INDEX(FILTER($C96:Q96, ISNUMBER($C96:Q96)), COUNTA(FILTER($C96:Q"&amp;"96, ISNUMBER($C96:Q96)))),
lastVal + 'K dynamique'!Q96 * ((SQRT('Résultats des tournois'!Q$2 + 1)/'Résultats des tournois'!Q96) - (1 / (1 + 10^((Q$103 - lastVal)/400)))))
)
))"),"")</f>
        <v/>
      </c>
      <c r="S96" s="32" t="str">
        <f>IFERROR(__xludf.DUMMYFUNCTION("IF('Résultats des tournois'!R$2=0,"""",LET(
lastVal, INDEX(FILTER($B96:R96, ISNUMBER($B96:R96)), COUNTA(FILTER($B96:R96, ISNUMBER($B96:R96)))),
IFERROR(
IF('Résultats des tournois'!R96="""", INDEX(FILTER($C96:R96, ISNUMBER($C96:R96)), COUNTA(FILTER($C96:R"&amp;"96, ISNUMBER($C96:R96)))),
lastVal + 'K dynamique'!R96 * ((SQRT('Résultats des tournois'!R$2 + 1)/'Résultats des tournois'!R96) - (1 / (1 + 10^((R$103 - lastVal)/400)))))
)
))"),"")</f>
        <v/>
      </c>
      <c r="T96" s="32" t="str">
        <f>IFERROR(__xludf.DUMMYFUNCTION("IF('Résultats des tournois'!S$2=0,"""",LET(
lastVal, INDEX(FILTER($B96:S96, ISNUMBER($B96:S96)), COUNTA(FILTER($B96:S96, ISNUMBER($B96:S96)))),
IFERROR(
IF('Résultats des tournois'!S96="""", INDEX(FILTER($C96:S96, ISNUMBER($C96:S96)), COUNTA(FILTER($C96:S"&amp;"96, ISNUMBER($C96:S96)))),
lastVal + 'K dynamique'!S96 * ((SQRT('Résultats des tournois'!S$2 + 1)/'Résultats des tournois'!S96) - (1 / (1 + 10^((S$103 - lastVal)/400)))))
)
))"),"")</f>
        <v/>
      </c>
      <c r="U96" s="32" t="str">
        <f>IFERROR(__xludf.DUMMYFUNCTION("IF('Résultats des tournois'!T$2=0,"""",LET(
lastVal, INDEX(FILTER($B96:T96, ISNUMBER($B96:T96)), COUNTA(FILTER($B96:T96, ISNUMBER($B96:T96)))),
IFERROR(
IF('Résultats des tournois'!T96="""", INDEX(FILTER($C96:T96, ISNUMBER($C96:T96)), COUNTA(FILTER($C96:T"&amp;"96, ISNUMBER($C96:T96)))),
lastVal + 'K dynamique'!T96 * ((SQRT('Résultats des tournois'!T$2 + 1)/'Résultats des tournois'!T96) - (1 / (1 + 10^((T$103 - lastVal)/400)))))
)
))"),"")</f>
        <v/>
      </c>
      <c r="V96" s="32" t="str">
        <f>IFERROR(__xludf.DUMMYFUNCTION("IF('Résultats des tournois'!U$2=0,"""",LET(
lastVal, INDEX(FILTER($B96:U96, ISNUMBER($B96:U96)), COUNTA(FILTER($B96:U96, ISNUMBER($B96:U96)))),
IFERROR(
IF('Résultats des tournois'!U96="""", INDEX(FILTER($C96:U96, ISNUMBER($C96:U96)), COUNTA(FILTER($C96:U"&amp;"96, ISNUMBER($C96:U96)))),
lastVal + 'K dynamique'!U96 * ((SQRT('Résultats des tournois'!U$2 + 1)/'Résultats des tournois'!U96) - (1 / (1 + 10^((U$103 - lastVal)/400)))))
)
))"),"")</f>
        <v/>
      </c>
      <c r="W96" s="32" t="str">
        <f>IFERROR(__xludf.DUMMYFUNCTION("IF('Résultats des tournois'!V$2=0,"""",LET(
lastVal, INDEX(FILTER($B96:V96, ISNUMBER($B96:V96)), COUNTA(FILTER($B96:V96, ISNUMBER($B96:V96)))),
IFERROR(
IF('Résultats des tournois'!V96="""", INDEX(FILTER($C96:V96, ISNUMBER($C96:V96)), COUNTA(FILTER($C96:V"&amp;"96, ISNUMBER($C96:V96)))),
lastVal + 'K dynamique'!V96 * ((SQRT('Résultats des tournois'!V$2 + 1)/'Résultats des tournois'!V96) - (1 / (1 + 10^((V$103 - lastVal)/400)))))
)
))"),"")</f>
        <v/>
      </c>
      <c r="X96" s="32" t="str">
        <f>IFERROR(__xludf.DUMMYFUNCTION("IF('Résultats des tournois'!W$2=0,"""",LET(
lastVal, INDEX(FILTER($B96:W96, ISNUMBER($B96:W96)), COUNTA(FILTER($B96:W96, ISNUMBER($B96:W96)))),
IFERROR(
IF('Résultats des tournois'!W96="""", INDEX(FILTER($C96:W96, ISNUMBER($C96:W96)), COUNTA(FILTER($C96:W"&amp;"96, ISNUMBER($C96:W96)))),
lastVal + 'K dynamique'!W96 * ((SQRT('Résultats des tournois'!W$2 + 1)/'Résultats des tournois'!W96) - (1 / (1 + 10^((W$103 - lastVal)/400)))))
)
))"),"")</f>
        <v/>
      </c>
      <c r="Y96" s="32" t="str">
        <f>IFERROR(__xludf.DUMMYFUNCTION("IF('Résultats des tournois'!X$2=0,"""",LET(
lastVal, INDEX(FILTER($B96:X96, ISNUMBER($B96:X96)), COUNTA(FILTER($B96:X96, ISNUMBER($B96:X96)))),
IFERROR(
IF('Résultats des tournois'!X96="""", INDEX(FILTER($C96:X96, ISNUMBER($C96:X96)), COUNTA(FILTER($C96:X"&amp;"96, ISNUMBER($C96:X96)))),
lastVal + 'K dynamique'!X96 * ((SQRT('Résultats des tournois'!X$2 + 1)/'Résultats des tournois'!X96) - (1 / (1 + 10^((X$103 - lastVal)/400)))))
)
))"),"")</f>
        <v/>
      </c>
      <c r="Z96" s="32" t="str">
        <f>IFERROR(__xludf.DUMMYFUNCTION("IF('Résultats des tournois'!Y$2=0,"""",LET(
lastVal, INDEX(FILTER($B96:Y96, ISNUMBER($B96:Y96)), COUNTA(FILTER($B96:Y96, ISNUMBER($B96:Y96)))),
IFERROR(
IF('Résultats des tournois'!Y96="""", INDEX(FILTER($C96:Y96, ISNUMBER($C96:Y96)), COUNTA(FILTER($C96:Y"&amp;"96, ISNUMBER($C96:Y96)))),
lastVal + 'K dynamique'!Y96 * ((SQRT('Résultats des tournois'!Y$2 + 1)/'Résultats des tournois'!Y96) - (1 / (1 + 10^((Y$103 - lastVal)/400)))))
)
))"),"")</f>
        <v/>
      </c>
      <c r="AA96" s="32" t="str">
        <f>IFERROR(__xludf.DUMMYFUNCTION("IF('Résultats des tournois'!Z$2=0,"""",LET(
lastVal, INDEX(FILTER($B96:Z96, ISNUMBER($B96:Z96)), COUNTA(FILTER($B96:Z96, ISNUMBER($B96:Z96)))),
IFERROR(
IF('Résultats des tournois'!Z96="""", INDEX(FILTER($C96:Z96, ISNUMBER($C96:Z96)), COUNTA(FILTER($C96:Z"&amp;"96, ISNUMBER($C96:Z96)))),
lastVal + 'K dynamique'!Z96 * ((SQRT('Résultats des tournois'!Z$2 + 1)/'Résultats des tournois'!Z96) - (1 / (1 + 10^((Z$103 - lastVal)/400)))))
)
))"),"")</f>
        <v/>
      </c>
      <c r="AB96" s="32" t="str">
        <f>IFERROR(__xludf.DUMMYFUNCTION("IF('Résultats des tournois'!AA$2=0,"""",LET(
lastVal, INDEX(FILTER($B96:AA96, ISNUMBER($B96:AA96)), COUNTA(FILTER($B96:AA96, ISNUMBER($B96:AA96)))),
IFERROR(
IF('Résultats des tournois'!AA96="""", INDEX(FILTER($C96:AA96, ISNUMBER($C96:AA96)), COUNTA(FILTE"&amp;"R($C96:AA96, ISNUMBER($C96:AA96)))),
lastVal + 'K dynamique'!AA96 * ((SQRT('Résultats des tournois'!AA$2 + 1)/'Résultats des tournois'!AA96) - (1 / (1 + 10^((AA$103 - lastVal)/400)))))
)
))"),"")</f>
        <v/>
      </c>
      <c r="AC96" s="32" t="str">
        <f>IFERROR(__xludf.DUMMYFUNCTION("IF('Résultats des tournois'!AB$2=0,"""",LET(
lastVal, INDEX(FILTER($B96:AB96, ISNUMBER($B96:AB96)), COUNTA(FILTER($B96:AB96, ISNUMBER($B96:AB96)))),
IFERROR(
IF('Résultats des tournois'!AB96="""", INDEX(FILTER($C96:AB96, ISNUMBER($C96:AB96)), COUNTA(FILTE"&amp;"R($C96:AB96, ISNUMBER($C96:AB96)))),
lastVal + 'K dynamique'!AB96 * ((SQRT('Résultats des tournois'!AB$2 + 1)/'Résultats des tournois'!AB96) - (1 / (1 + 10^((AB$103 - lastVal)/400)))))
)
))"),"")</f>
        <v/>
      </c>
      <c r="AD96" s="32" t="str">
        <f>IFERROR(__xludf.DUMMYFUNCTION("IF('Résultats des tournois'!AC$2=0,"""",LET(
lastVal, INDEX(FILTER($B96:AC96, ISNUMBER($B96:AC96)), COUNTA(FILTER($B96:AC96, ISNUMBER($B96:AC96)))),
IFERROR(
IF('Résultats des tournois'!AC96="""", INDEX(FILTER($C96:AC96, ISNUMBER($C96:AC96)), COUNTA(FILTE"&amp;"R($C96:AC96, ISNUMBER($C96:AC96)))),
lastVal + 'K dynamique'!AC96 * ((SQRT('Résultats des tournois'!AC$2 + 1)/'Résultats des tournois'!AC96) - (1 / (1 + 10^((AC$103 - lastVal)/400)))))
)
))"),"")</f>
        <v/>
      </c>
      <c r="AE96" s="32" t="str">
        <f>IFERROR(__xludf.DUMMYFUNCTION("IF('Résultats des tournois'!AD$2=0,"""",LET(
lastVal, INDEX(FILTER($B96:AD96, ISNUMBER($B96:AD96)), COUNTA(FILTER($B96:AD96, ISNUMBER($B96:AD96)))),
IFERROR(
IF('Résultats des tournois'!AD96="""", INDEX(FILTER($C96:AD96, ISNUMBER($C96:AD96)), COUNTA(FILTE"&amp;"R($C96:AD96, ISNUMBER($C96:AD96)))),
lastVal + 'K dynamique'!AD96 * ((SQRT('Résultats des tournois'!AD$2 + 1)/'Résultats des tournois'!AD96) - (1 / (1 + 10^((AD$103 - lastVal)/400)))))
)
))"),"")</f>
        <v/>
      </c>
      <c r="AF96" s="32" t="str">
        <f>IFERROR(__xludf.DUMMYFUNCTION("IF('Résultats des tournois'!AE$2=0,"""",LET(
lastVal, INDEX(FILTER($B96:AE96, ISNUMBER($B96:AE96)), COUNTA(FILTER($B96:AE96, ISNUMBER($B96:AE96)))),
IFERROR(
IF('Résultats des tournois'!AE96="""", INDEX(FILTER($C96:AE96, ISNUMBER($C96:AE96)), COUNTA(FILTE"&amp;"R($C96:AE96, ISNUMBER($C96:AE96)))),
lastVal + 'K dynamique'!AE96 * ((SQRT('Résultats des tournois'!AE$2 + 1)/'Résultats des tournois'!AE96) - (1 / (1 + 10^((AE$103 - lastVal)/400)))))
)
))"),"")</f>
        <v/>
      </c>
      <c r="AG96" s="32" t="str">
        <f>IFERROR(__xludf.DUMMYFUNCTION("IF('Résultats des tournois'!AF$2=0,"""",LET(
lastVal, INDEX(FILTER($B96:AF96, ISNUMBER($B96:AF96)), COUNTA(FILTER($B96:AF96, ISNUMBER($B96:AF96)))),
IFERROR(
IF('Résultats des tournois'!AF96="""", INDEX(FILTER($C96:AF96, ISNUMBER($C96:AF96)), COUNTA(FILTE"&amp;"R($C96:AF96, ISNUMBER($C96:AF96)))),
lastVal + 'K dynamique'!AF96 * ((SQRT('Résultats des tournois'!AF$2 + 1)/'Résultats des tournois'!AF96) - (1 / (1 + 10^((AF$103 - lastVal)/400)))))
)
))"),"")</f>
        <v/>
      </c>
      <c r="AH96" s="32" t="str">
        <f>IFERROR(__xludf.DUMMYFUNCTION("IF('Résultats des tournois'!AG$2=0,"""",LET(
lastVal, INDEX(FILTER($B96:AG96, ISNUMBER($B96:AG96)), COUNTA(FILTER($B96:AG96, ISNUMBER($B96:AG96)))),
IFERROR(
IF('Résultats des tournois'!AG96="""", INDEX(FILTER($C96:AG96, ISNUMBER($C96:AG96)), COUNTA(FILTE"&amp;"R($C96:AG96, ISNUMBER($C96:AG96)))),
lastVal + 'K dynamique'!AG96 * ((SQRT('Résultats des tournois'!AG$2 + 1)/'Résultats des tournois'!AG96) - (1 / (1 + 10^((AG$103 - lastVal)/400)))))
)
))"),"")</f>
        <v/>
      </c>
      <c r="AI96" s="32" t="str">
        <f>IFERROR(__xludf.DUMMYFUNCTION("IF('Résultats des tournois'!AH$2=0,"""",LET(
lastVal, INDEX(FILTER($B96:AH96, ISNUMBER($B96:AH96)), COUNTA(FILTER($B96:AH96, ISNUMBER($B96:AH96)))),
IFERROR(
IF('Résultats des tournois'!AH96="""", INDEX(FILTER($C96:AH96, ISNUMBER($C96:AH96)), COUNTA(FILTE"&amp;"R($C96:AH96, ISNUMBER($C96:AH96)))),
lastVal + 'K dynamique'!AH96 * ((SQRT('Résultats des tournois'!AH$2 + 1)/'Résultats des tournois'!AH96) - (1 / (1 + 10^((AH$103 - lastVal)/400)))))
)
))"),"")</f>
        <v/>
      </c>
      <c r="AJ96" s="32" t="str">
        <f>IFERROR(__xludf.DUMMYFUNCTION("IF('Résultats des tournois'!AI$2=0,"""",LET(
lastVal, INDEX(FILTER($B96:AI96, ISNUMBER($B96:AI96)), COUNTA(FILTER($B96:AI96, ISNUMBER($B96:AI96)))),
IFERROR(
IF('Résultats des tournois'!AI96="""", INDEX(FILTER($C96:AI96, ISNUMBER($C96:AI96)), COUNTA(FILTE"&amp;"R($C96:AI96, ISNUMBER($C96:AI96)))),
lastVal + 'K dynamique'!AI96 * ((SQRT('Résultats des tournois'!AI$2 + 1)/'Résultats des tournois'!AI96) - (1 / (1 + 10^((AI$103 - lastVal)/400)))))
)
))"),"")</f>
        <v/>
      </c>
      <c r="AK96" s="32" t="str">
        <f>IFERROR(__xludf.DUMMYFUNCTION("IF('Résultats des tournois'!AJ$2=0,"""",LET(
lastVal, INDEX(FILTER($B96:AJ96, ISNUMBER($B96:AJ96)), COUNTA(FILTER($B96:AJ96, ISNUMBER($B96:AJ96)))),
IFERROR(
IF('Résultats des tournois'!AJ96="""", INDEX(FILTER($C96:AJ96, ISNUMBER($C96:AJ96)), COUNTA(FILTE"&amp;"R($C96:AJ96, ISNUMBER($C96:AJ96)))),
lastVal + 'K dynamique'!AJ96 * ((SQRT('Résultats des tournois'!AJ$2 + 1)/'Résultats des tournois'!AJ96) - (1 / (1 + 10^((AJ$103 - lastVal)/400)))))
)
))"),"")</f>
        <v/>
      </c>
      <c r="AL96" s="32" t="str">
        <f>IFERROR(__xludf.DUMMYFUNCTION("IF('Résultats des tournois'!AK$2=0,"""",LET(
lastVal, INDEX(FILTER($B96:AK96, ISNUMBER($B96:AK96)), COUNTA(FILTER($B96:AK96, ISNUMBER($B96:AK96)))),
IFERROR(
IF('Résultats des tournois'!AK96="""", INDEX(FILTER($C96:AK96, ISNUMBER($C96:AK96)), COUNTA(FILTE"&amp;"R($C96:AK96, ISNUMBER($C96:AK96)))),
lastVal + 'K dynamique'!AK96 * ((SQRT('Résultats des tournois'!AK$2 + 1)/'Résultats des tournois'!AK96) - (1 / (1 + 10^((AK$103 - lastVal)/400)))))
)
))"),"")</f>
        <v/>
      </c>
      <c r="AM96" s="32" t="str">
        <f>IFERROR(__xludf.DUMMYFUNCTION("IF('Résultats des tournois'!AL$2=0,"""",LET(
lastVal, INDEX(FILTER($B96:AL96, ISNUMBER($B96:AL96)), COUNTA(FILTER($B96:AL96, ISNUMBER($B96:AL96)))),
IFERROR(
IF('Résultats des tournois'!AL96="""", INDEX(FILTER($C96:AL96, ISNUMBER($C96:AL96)), COUNTA(FILTE"&amp;"R($C96:AL96, ISNUMBER($C96:AL96)))),
lastVal + 'K dynamique'!AL96 * ((SQRT('Résultats des tournois'!AL$2 + 1)/'Résultats des tournois'!AL96) - (1 / (1 + 10^((AL$103 - lastVal)/400)))))
)
))"),"")</f>
        <v/>
      </c>
      <c r="AN96" s="32" t="str">
        <f>IFERROR(__xludf.DUMMYFUNCTION("IF('Résultats des tournois'!AM$2=0,"""",LET(
lastVal, INDEX(FILTER($B96:AM96, ISNUMBER($B96:AM96)), COUNTA(FILTER($B96:AM96, ISNUMBER($B96:AM96)))),
IFERROR(
IF('Résultats des tournois'!AM96="""", INDEX(FILTER($C96:AM96, ISNUMBER($C96:AM96)), COUNTA(FILTE"&amp;"R($C96:AM96, ISNUMBER($C96:AM96)))),
lastVal + 'K dynamique'!AM96 * ((SQRT('Résultats des tournois'!AM$2 + 1)/'Résultats des tournois'!AM96) - (1 / (1 + 10^((AM$103 - lastVal)/400)))))
)
))"),"")</f>
        <v/>
      </c>
      <c r="AO96" s="32" t="str">
        <f>IFERROR(__xludf.DUMMYFUNCTION("IF('Résultats des tournois'!AN$2=0,"""",LET(
lastVal, INDEX(FILTER($B96:AN96, ISNUMBER($B96:AN96)), COUNTA(FILTER($B96:AN96, ISNUMBER($B96:AN96)))),
IFERROR(
IF('Résultats des tournois'!AN96="""", INDEX(FILTER($C96:AN96, ISNUMBER($C96:AN96)), COUNTA(FILTE"&amp;"R($C96:AN96, ISNUMBER($C96:AN96)))),
lastVal + 'K dynamique'!AN96 * ((SQRT('Résultats des tournois'!AN$2 + 1)/'Résultats des tournois'!AN96) - (1 / (1 + 10^((AN$103 - lastVal)/400)))))
)
))"),"")</f>
        <v/>
      </c>
      <c r="AP96" s="32" t="str">
        <f>IFERROR(__xludf.DUMMYFUNCTION("IF('Résultats des tournois'!AO$2=0,"""",LET(
lastVal, INDEX(FILTER($B96:AO96, ISNUMBER($B96:AO96)), COUNTA(FILTER($B96:AO96, ISNUMBER($B96:AO96)))),
IFERROR(
IF('Résultats des tournois'!AO96="""", INDEX(FILTER($C96:AO96, ISNUMBER($C96:AO96)), COUNTA(FILTE"&amp;"R($C96:AO96, ISNUMBER($C96:AO96)))),
lastVal + 'K dynamique'!AO96 * ((SQRT('Résultats des tournois'!AO$2 + 1)/'Résultats des tournois'!AO96) - (1 / (1 + 10^((AO$103 - lastVal)/400)))))
)
))"),"")</f>
        <v/>
      </c>
      <c r="AQ96" s="32" t="str">
        <f>IFERROR(__xludf.DUMMYFUNCTION("IF('Résultats des tournois'!AP$2=0,"""",LET(
lastVal, INDEX(FILTER($B96:AP96, ISNUMBER($B96:AP96)), COUNTA(FILTER($B96:AP96, ISNUMBER($B96:AP96)))),
IFERROR(
IF('Résultats des tournois'!AP96="""", INDEX(FILTER($C96:AP96, ISNUMBER($C96:AP96)), COUNTA(FILTE"&amp;"R($C96:AP96, ISNUMBER($C96:AP96)))),
lastVal + 'K dynamique'!AP96 * ((SQRT('Résultats des tournois'!AP$2 + 1)/'Résultats des tournois'!AP96) - (1 / (1 + 10^((AP$103 - lastVal)/400)))))
)
))"),"")</f>
        <v/>
      </c>
      <c r="AR96" s="32" t="str">
        <f>IFERROR(__xludf.DUMMYFUNCTION("IF('Résultats des tournois'!AQ$2=0,"""",LET(
lastVal, INDEX(FILTER($B96:AQ96, ISNUMBER($B96:AQ96)), COUNTA(FILTER($B96:AQ96, ISNUMBER($B96:AQ96)))),
IFERROR(
IF('Résultats des tournois'!AQ96="""", INDEX(FILTER($C96:AQ96, ISNUMBER($C96:AQ96)), COUNTA(FILTE"&amp;"R($C96:AQ96, ISNUMBER($C96:AQ96)))),
lastVal + 'K dynamique'!AQ96 * ((SQRT('Résultats des tournois'!AQ$2 + 1)/'Résultats des tournois'!AQ96) - (1 / (1 + 10^((AQ$103 - lastVal)/400)))))
)
))"),"")</f>
        <v/>
      </c>
      <c r="AS96" s="32" t="str">
        <f>IFERROR(__xludf.DUMMYFUNCTION("IF('Résultats des tournois'!AR$2=0,"""",LET(
lastVal, INDEX(FILTER($B96:AR96, ISNUMBER($B96:AR96)), COUNTA(FILTER($B96:AR96, ISNUMBER($B96:AR96)))),
IFERROR(
IF('Résultats des tournois'!AR96="""", INDEX(FILTER($C96:AR96, ISNUMBER($C96:AR96)), COUNTA(FILTE"&amp;"R($C96:AR96, ISNUMBER($C96:AR96)))),
lastVal + 'K dynamique'!AR96 * ((SQRT('Résultats des tournois'!AR$2 + 1)/'Résultats des tournois'!AR96) - (1 / (1 + 10^((AR$103 - lastVal)/400)))))
)
))"),"")</f>
        <v/>
      </c>
      <c r="AT96" s="32" t="str">
        <f>IFERROR(__xludf.DUMMYFUNCTION("IF('Résultats des tournois'!AS$2=0,"""",LET(
lastVal, INDEX(FILTER($B96:AS96, ISNUMBER($B96:AS96)), COUNTA(FILTER($B96:AS96, ISNUMBER($B96:AS96)))),
IFERROR(
IF('Résultats des tournois'!AS96="""", INDEX(FILTER($C96:AS96, ISNUMBER($C96:AS96)), COUNTA(FILTE"&amp;"R($C96:AS96, ISNUMBER($C96:AS96)))),
lastVal + 'K dynamique'!AS96 * ((SQRT('Résultats des tournois'!AS$2 + 1)/'Résultats des tournois'!AS96) - (1 / (1 + 10^((AS$103 - lastVal)/400)))))
)
))"),"")</f>
        <v/>
      </c>
      <c r="AU96" s="32" t="str">
        <f>IFERROR(__xludf.DUMMYFUNCTION("IF('Résultats des tournois'!AT$2=0,"""",LET(
lastVal, INDEX(FILTER($B96:AT96, ISNUMBER($B96:AT96)), COUNTA(FILTER($B96:AT96, ISNUMBER($B96:AT96)))),
IFERROR(
IF('Résultats des tournois'!AT96="""", INDEX(FILTER($C96:AT96, ISNUMBER($C96:AT96)), COUNTA(FILTE"&amp;"R($C96:AT96, ISNUMBER($C96:AT96)))),
lastVal + 'K dynamique'!AT96 * ((SQRT('Résultats des tournois'!AT$2 + 1)/'Résultats des tournois'!AT96) - (1 / (1 + 10^((AT$103 - lastVal)/400)))))
)
))"),"")</f>
        <v/>
      </c>
      <c r="AV96" s="32" t="str">
        <f>IFERROR(__xludf.DUMMYFUNCTION("IF('Résultats des tournois'!AU$2=0,"""",LET(
lastVal, INDEX(FILTER($B96:AU96, ISNUMBER($B96:AU96)), COUNTA(FILTER($B96:AU96, ISNUMBER($B96:AU96)))),
IFERROR(
IF('Résultats des tournois'!AU96="""", INDEX(FILTER($C96:AU96, ISNUMBER($C96:AU96)), COUNTA(FILTE"&amp;"R($C96:AU96, ISNUMBER($C96:AU96)))),
lastVal + 'K dynamique'!AU96 * ((SQRT('Résultats des tournois'!AU$2 + 1)/'Résultats des tournois'!AU96) - (1 / (1 + 10^((AU$103 - lastVal)/400)))))
)
))"),"")</f>
        <v/>
      </c>
      <c r="AW96" s="32" t="str">
        <f>IFERROR(__xludf.DUMMYFUNCTION("IF('Résultats des tournois'!AV$2=0,"""",LET(
lastVal, INDEX(FILTER($B96:AV96, ISNUMBER($B96:AV96)), COUNTA(FILTER($B96:AV96, ISNUMBER($B96:AV96)))),
IFERROR(
IF('Résultats des tournois'!AV96="""", INDEX(FILTER($C96:AV96, ISNUMBER($C96:AV96)), COUNTA(FILTE"&amp;"R($C96:AV96, ISNUMBER($C96:AV96)))),
lastVal + 'K dynamique'!AV96 * ((SQRT('Résultats des tournois'!AV$2 + 1)/'Résultats des tournois'!AV96) - (1 / (1 + 10^((AV$103 - lastVal)/400)))))
)
))"),"")</f>
        <v/>
      </c>
      <c r="AX96" s="32" t="str">
        <f>IFERROR(__xludf.DUMMYFUNCTION("IF('Résultats des tournois'!AW$2=0,"""",LET(
lastVal, INDEX(FILTER($B96:AW96, ISNUMBER($B96:AW96)), COUNTA(FILTER($B96:AW96, ISNUMBER($B96:AW96)))),
IFERROR(
IF('Résultats des tournois'!AW96="""", INDEX(FILTER($C96:AW96, ISNUMBER($C96:AW96)), COUNTA(FILTE"&amp;"R($C96:AW96, ISNUMBER($C96:AW96)))),
lastVal + 'K dynamique'!AW96 * ((SQRT('Résultats des tournois'!AW$2 + 1)/'Résultats des tournois'!AW96) - (1 / (1 + 10^((AW$103 - lastVal)/400)))))
)
))"),"")</f>
        <v/>
      </c>
      <c r="AY96" s="32" t="str">
        <f>IFERROR(__xludf.DUMMYFUNCTION("IF('Résultats des tournois'!AX$2=0,"""",LET(
lastVal, INDEX(FILTER($B96:AX96, ISNUMBER($B96:AX96)), COUNTA(FILTER($B96:AX96, ISNUMBER($B96:AX96)))),
IFERROR(
IF('Résultats des tournois'!AX96="""", INDEX(FILTER($C96:AX96, ISNUMBER($C96:AX96)), COUNTA(FILTE"&amp;"R($C96:AX96, ISNUMBER($C96:AX96)))),
lastVal + 'K dynamique'!AX96 * ((SQRT('Résultats des tournois'!AX$2 + 1)/'Résultats des tournois'!AX96) - (1 / (1 + 10^((AX$103 - lastVal)/400)))))
)
))"),"")</f>
        <v/>
      </c>
      <c r="AZ96" s="4" t="str">
        <f t="array" ref="AZ96">IF(MAX(($C96:AY96&lt;&gt;"")*COLUMN($C96:AY96))=0,"",INDEX($C96:AY96,1,MAX(($C96:AY96&lt;&gt;"")*COLUMN($C96:AY96))-COLUMN($C96)+1))</f>
        <v/>
      </c>
      <c r="BA96" s="33" t="str">
        <f t="shared" si="1"/>
        <v/>
      </c>
    </row>
    <row r="97" ht="14.25" customHeight="1">
      <c r="A97" s="32" t="str">
        <f>IF('Résultats des tournois'!A97="","",'Résultats des tournois'!A97)</f>
        <v/>
      </c>
      <c r="B97" s="32">
        <v>1500.0</v>
      </c>
      <c r="C97" s="32" t="str">
        <f>IF('Résultats des tournois'!B97="","",B97+'K dynamique'!B97*((SQRT('Résultats des tournois'!B$2+1)/'Résultats des tournois'!B97)-(1/(1+10^((B97-B97)/400)))))</f>
        <v/>
      </c>
      <c r="D97" s="32" t="str">
        <f>IFERROR(__xludf.DUMMYFUNCTION("IF('Résultats des tournois'!C$2=0,"""",LET(
lastVal, INDEX(FILTER($B97:C97, ISNUMBER($B97:C97)), COUNTA(FILTER($B97:C97, ISNUMBER($B97:C97)))),
IFERROR(
IF('Résultats des tournois'!C97="""", INDEX(FILTER($C97:C97, ISNUMBER($C97:C97)), COUNTA(FILTER($C97:C"&amp;"97, ISNUMBER($C97:C97)))),
lastVal + 'K dynamique'!C97 * ((SQRT('Résultats des tournois'!C$2 + 1)/'Résultats des tournois'!C97) - (1 / (1 + 10^((C$103 - lastVal)/400)))))
)
))"),"")</f>
        <v/>
      </c>
      <c r="E97" s="32" t="str">
        <f>IFERROR(__xludf.DUMMYFUNCTION("IF('Résultats des tournois'!D$2=0,"""",LET(
lastVal, INDEX(FILTER($B97:D97, ISNUMBER($B97:D97)), COUNTA(FILTER($B97:D97, ISNUMBER($B97:D97)))),
IFERROR(
IF('Résultats des tournois'!D97="""", INDEX(FILTER($C97:D97, ISNUMBER($C97:D97)), COUNTA(FILTER($C97:D"&amp;"97, ISNUMBER($C97:D97)))),
lastVal + 'K dynamique'!D97 * ((SQRT('Résultats des tournois'!D$2 + 1)/'Résultats des tournois'!D97) - (1 / (1 + 10^((D$103 - lastVal)/400)))))
)
))"),"")</f>
        <v/>
      </c>
      <c r="F97" s="32" t="str">
        <f>IFERROR(__xludf.DUMMYFUNCTION("IF('Résultats des tournois'!E$2=0,"""",LET(
lastVal, INDEX(FILTER($B97:E97, ISNUMBER($B97:E97)), COUNTA(FILTER($B97:E97, ISNUMBER($B97:E97)))),
IFERROR(
IF('Résultats des tournois'!E97="""", INDEX(FILTER($C97:E97, ISNUMBER($C97:E97)), COUNTA(FILTER($C97:E"&amp;"97, ISNUMBER($C97:E97)))),
lastVal + 'K dynamique'!E97 * ((SQRT('Résultats des tournois'!E$2 + 1)/'Résultats des tournois'!E97) - (1 / (1 + 10^((E$103 - lastVal)/400)))))
)
))"),"")</f>
        <v/>
      </c>
      <c r="G97" s="32" t="str">
        <f>IFERROR(__xludf.DUMMYFUNCTION("IF('Résultats des tournois'!F$2=0,"""",LET(
lastVal, INDEX(FILTER($B97:F97, ISNUMBER($B97:F97)), COUNTA(FILTER($B97:F97, ISNUMBER($B97:F97)))),
IFERROR(
IF('Résultats des tournois'!F97="""", INDEX(FILTER($C97:F97, ISNUMBER($C97:F97)), COUNTA(FILTER($C97:F"&amp;"97, ISNUMBER($C97:F97)))),
lastVal + 'K dynamique'!F97 * ((SQRT('Résultats des tournois'!F$2 + 1)/'Résultats des tournois'!F97) - (1 / (1 + 10^((F$103 - lastVal)/400)))))
)
))"),"")</f>
        <v/>
      </c>
      <c r="H97" s="32" t="str">
        <f>IFERROR(__xludf.DUMMYFUNCTION("IF('Résultats des tournois'!G$2=0,"""",LET(
lastVal, INDEX(FILTER($B97:G97, ISNUMBER($B97:G97)), COUNTA(FILTER($B97:G97, ISNUMBER($B97:G97)))),
IFERROR(
IF('Résultats des tournois'!G97="""", INDEX(FILTER($C97:G97, ISNUMBER($C97:G97)), COUNTA(FILTER($C97:G"&amp;"97, ISNUMBER($C97:G97)))),
lastVal + 'K dynamique'!G97 * ((SQRT('Résultats des tournois'!G$2 + 1)/'Résultats des tournois'!G97) - (1 / (1 + 10^((G$103 - lastVal)/400)))))
)
))"),"")</f>
        <v/>
      </c>
      <c r="I97" s="32" t="str">
        <f>IFERROR(__xludf.DUMMYFUNCTION("IF('Résultats des tournois'!H$2=0,"""",LET(
lastVal, INDEX(FILTER($B97:H97, ISNUMBER($B97:H97)), COUNTA(FILTER($B97:H97, ISNUMBER($B97:H97)))),
IFERROR(
IF('Résultats des tournois'!H97="""", INDEX(FILTER($C97:H97, ISNUMBER($C97:H97)), COUNTA(FILTER($C97:H"&amp;"97, ISNUMBER($C97:H97)))),
lastVal + 'K dynamique'!H97 * ((SQRT('Résultats des tournois'!H$2 + 1)/'Résultats des tournois'!H97) - (1 / (1 + 10^((H$103 - lastVal)/400)))))
)
))"),"")</f>
        <v/>
      </c>
      <c r="J97" s="32" t="str">
        <f>IFERROR(__xludf.DUMMYFUNCTION("IF('Résultats des tournois'!I$2=0,"""",LET(
lastVal, INDEX(FILTER($B97:I97, ISNUMBER($B97:I97)), COUNTA(FILTER($B97:I97, ISNUMBER($B97:I97)))),
IFERROR(
IF('Résultats des tournois'!I97="""", INDEX(FILTER($C97:I97, ISNUMBER($C97:I97)), COUNTA(FILTER($C97:I"&amp;"97, ISNUMBER($C97:I97)))),
lastVal + 'K dynamique'!I97 * ((SQRT('Résultats des tournois'!I$2 + 1)/'Résultats des tournois'!I97) - (1 / (1 + 10^((I$103 - lastVal)/400)))))
)
))"),"")</f>
        <v/>
      </c>
      <c r="K97" s="32" t="str">
        <f>IFERROR(__xludf.DUMMYFUNCTION("IF('Résultats des tournois'!J$2=0,"""",LET(
lastVal, INDEX(FILTER($B97:J97, ISNUMBER($B97:J97)), COUNTA(FILTER($B97:J97, ISNUMBER($B97:J97)))),
IFERROR(
IF('Résultats des tournois'!J97="""", INDEX(FILTER($C97:J97, ISNUMBER($C97:J97)), COUNTA(FILTER($C97:J"&amp;"97, ISNUMBER($C97:J97)))),
lastVal + 'K dynamique'!J97 * ((SQRT('Résultats des tournois'!J$2 + 1)/'Résultats des tournois'!J97) - (1 / (1 + 10^((J$103 - lastVal)/400)))))
)
))"),"")</f>
        <v/>
      </c>
      <c r="L97" s="32" t="str">
        <f>IFERROR(__xludf.DUMMYFUNCTION("IF('Résultats des tournois'!K$2=0,"""",LET(
lastVal, INDEX(FILTER($B97:K97, ISNUMBER($B97:K97)), COUNTA(FILTER($B97:K97, ISNUMBER($B97:K97)))),
IFERROR(
IF('Résultats des tournois'!K97="""", INDEX(FILTER($C97:K97, ISNUMBER($C97:K97)), COUNTA(FILTER($C97:K"&amp;"97, ISNUMBER($C97:K97)))),
lastVal + 'K dynamique'!K97 * ((SQRT('Résultats des tournois'!K$2 + 1)/'Résultats des tournois'!K97) - (1 / (1 + 10^((K$103 - lastVal)/400)))))
)
))"),"")</f>
        <v/>
      </c>
      <c r="M97" s="32" t="str">
        <f>IFERROR(__xludf.DUMMYFUNCTION("IF('Résultats des tournois'!L$2=0,"""",LET(
lastVal, INDEX(FILTER($B97:L97, ISNUMBER($B97:L97)), COUNTA(FILTER($B97:L97, ISNUMBER($B97:L97)))),
IFERROR(
IF('Résultats des tournois'!L97="""", INDEX(FILTER($C97:L97, ISNUMBER($C97:L97)), COUNTA(FILTER($C97:L"&amp;"97, ISNUMBER($C97:L97)))),
lastVal + 'K dynamique'!L97 * ((SQRT('Résultats des tournois'!L$2 + 1)/'Résultats des tournois'!L97) - (1 / (1 + 10^((L$103 - lastVal)/400)))))
)
))"),"")</f>
        <v/>
      </c>
      <c r="N97" s="32" t="str">
        <f>IFERROR(__xludf.DUMMYFUNCTION("IF('Résultats des tournois'!M$2=0,"""",LET(
lastVal, INDEX(FILTER($B97:M97, ISNUMBER($B97:M97)), COUNTA(FILTER($B97:M97, ISNUMBER($B97:M97)))),
IFERROR(
IF('Résultats des tournois'!M97="""", INDEX(FILTER($C97:M97, ISNUMBER($C97:M97)), COUNTA(FILTER($C97:M"&amp;"97, ISNUMBER($C97:M97)))),
lastVal + 'K dynamique'!M97 * ((SQRT('Résultats des tournois'!M$2 + 1)/'Résultats des tournois'!M97) - (1 / (1 + 10^((M$103 - lastVal)/400)))))
)
))"),"")</f>
        <v/>
      </c>
      <c r="O97" s="32" t="str">
        <f>IFERROR(__xludf.DUMMYFUNCTION("IF('Résultats des tournois'!N$2=0,"""",LET(
lastVal, INDEX(FILTER($B97:N97, ISNUMBER($B97:N97)), COUNTA(FILTER($B97:N97, ISNUMBER($B97:N97)))),
IFERROR(
IF('Résultats des tournois'!N97="""", INDEX(FILTER($C97:N97, ISNUMBER($C97:N97)), COUNTA(FILTER($C97:N"&amp;"97, ISNUMBER($C97:N97)))),
lastVal + 'K dynamique'!N97 * ((SQRT('Résultats des tournois'!N$2 + 1)/'Résultats des tournois'!N97) - (1 / (1 + 10^((N$103 - lastVal)/400)))))
)
))"),"")</f>
        <v/>
      </c>
      <c r="P97" s="32" t="str">
        <f>IFERROR(__xludf.DUMMYFUNCTION("IF('Résultats des tournois'!O$2=0,"""",LET(
lastVal, INDEX(FILTER($B97:O97, ISNUMBER($B97:O97)), COUNTA(FILTER($B97:O97, ISNUMBER($B97:O97)))),
IFERROR(
IF('Résultats des tournois'!O97="""", INDEX(FILTER($C97:O97, ISNUMBER($C97:O97)), COUNTA(FILTER($C97:O"&amp;"97, ISNUMBER($C97:O97)))),
lastVal + 'K dynamique'!O97 * ((SQRT('Résultats des tournois'!O$2 + 1)/'Résultats des tournois'!O97) - (1 / (1 + 10^((O$103 - lastVal)/400)))))
)
))"),"")</f>
        <v/>
      </c>
      <c r="Q97" s="32" t="str">
        <f>IFERROR(__xludf.DUMMYFUNCTION("IF('Résultats des tournois'!P$2=0,"""",LET(
lastVal, INDEX(FILTER($B97:P97, ISNUMBER($B97:P97)), COUNTA(FILTER($B97:P97, ISNUMBER($B97:P97)))),
IFERROR(
IF('Résultats des tournois'!P97="""", INDEX(FILTER($C97:P97, ISNUMBER($C97:P97)), COUNTA(FILTER($C97:P"&amp;"97, ISNUMBER($C97:P97)))),
lastVal + 'K dynamique'!P97 * ((SQRT('Résultats des tournois'!P$2 + 1)/'Résultats des tournois'!P97) - (1 / (1 + 10^((P$103 - lastVal)/400)))))
)
))"),"")</f>
        <v/>
      </c>
      <c r="R97" s="32" t="str">
        <f>IFERROR(__xludf.DUMMYFUNCTION("IF('Résultats des tournois'!Q$2=0,"""",LET(
lastVal, INDEX(FILTER($B97:Q97, ISNUMBER($B97:Q97)), COUNTA(FILTER($B97:Q97, ISNUMBER($B97:Q97)))),
IFERROR(
IF('Résultats des tournois'!Q97="""", INDEX(FILTER($C97:Q97, ISNUMBER($C97:Q97)), COUNTA(FILTER($C97:Q"&amp;"97, ISNUMBER($C97:Q97)))),
lastVal + 'K dynamique'!Q97 * ((SQRT('Résultats des tournois'!Q$2 + 1)/'Résultats des tournois'!Q97) - (1 / (1 + 10^((Q$103 - lastVal)/400)))))
)
))"),"")</f>
        <v/>
      </c>
      <c r="S97" s="32" t="str">
        <f>IFERROR(__xludf.DUMMYFUNCTION("IF('Résultats des tournois'!R$2=0,"""",LET(
lastVal, INDEX(FILTER($B97:R97, ISNUMBER($B97:R97)), COUNTA(FILTER($B97:R97, ISNUMBER($B97:R97)))),
IFERROR(
IF('Résultats des tournois'!R97="""", INDEX(FILTER($C97:R97, ISNUMBER($C97:R97)), COUNTA(FILTER($C97:R"&amp;"97, ISNUMBER($C97:R97)))),
lastVal + 'K dynamique'!R97 * ((SQRT('Résultats des tournois'!R$2 + 1)/'Résultats des tournois'!R97) - (1 / (1 + 10^((R$103 - lastVal)/400)))))
)
))"),"")</f>
        <v/>
      </c>
      <c r="T97" s="32" t="str">
        <f>IFERROR(__xludf.DUMMYFUNCTION("IF('Résultats des tournois'!S$2=0,"""",LET(
lastVal, INDEX(FILTER($B97:S97, ISNUMBER($B97:S97)), COUNTA(FILTER($B97:S97, ISNUMBER($B97:S97)))),
IFERROR(
IF('Résultats des tournois'!S97="""", INDEX(FILTER($C97:S97, ISNUMBER($C97:S97)), COUNTA(FILTER($C97:S"&amp;"97, ISNUMBER($C97:S97)))),
lastVal + 'K dynamique'!S97 * ((SQRT('Résultats des tournois'!S$2 + 1)/'Résultats des tournois'!S97) - (1 / (1 + 10^((S$103 - lastVal)/400)))))
)
))"),"")</f>
        <v/>
      </c>
      <c r="U97" s="32" t="str">
        <f>IFERROR(__xludf.DUMMYFUNCTION("IF('Résultats des tournois'!T$2=0,"""",LET(
lastVal, INDEX(FILTER($B97:T97, ISNUMBER($B97:T97)), COUNTA(FILTER($B97:T97, ISNUMBER($B97:T97)))),
IFERROR(
IF('Résultats des tournois'!T97="""", INDEX(FILTER($C97:T97, ISNUMBER($C97:T97)), COUNTA(FILTER($C97:T"&amp;"97, ISNUMBER($C97:T97)))),
lastVal + 'K dynamique'!T97 * ((SQRT('Résultats des tournois'!T$2 + 1)/'Résultats des tournois'!T97) - (1 / (1 + 10^((T$103 - lastVal)/400)))))
)
))"),"")</f>
        <v/>
      </c>
      <c r="V97" s="32" t="str">
        <f>IFERROR(__xludf.DUMMYFUNCTION("IF('Résultats des tournois'!U$2=0,"""",LET(
lastVal, INDEX(FILTER($B97:U97, ISNUMBER($B97:U97)), COUNTA(FILTER($B97:U97, ISNUMBER($B97:U97)))),
IFERROR(
IF('Résultats des tournois'!U97="""", INDEX(FILTER($C97:U97, ISNUMBER($C97:U97)), COUNTA(FILTER($C97:U"&amp;"97, ISNUMBER($C97:U97)))),
lastVal + 'K dynamique'!U97 * ((SQRT('Résultats des tournois'!U$2 + 1)/'Résultats des tournois'!U97) - (1 / (1 + 10^((U$103 - lastVal)/400)))))
)
))"),"")</f>
        <v/>
      </c>
      <c r="W97" s="32" t="str">
        <f>IFERROR(__xludf.DUMMYFUNCTION("IF('Résultats des tournois'!V$2=0,"""",LET(
lastVal, INDEX(FILTER($B97:V97, ISNUMBER($B97:V97)), COUNTA(FILTER($B97:V97, ISNUMBER($B97:V97)))),
IFERROR(
IF('Résultats des tournois'!V97="""", INDEX(FILTER($C97:V97, ISNUMBER($C97:V97)), COUNTA(FILTER($C97:V"&amp;"97, ISNUMBER($C97:V97)))),
lastVal + 'K dynamique'!V97 * ((SQRT('Résultats des tournois'!V$2 + 1)/'Résultats des tournois'!V97) - (1 / (1 + 10^((V$103 - lastVal)/400)))))
)
))"),"")</f>
        <v/>
      </c>
      <c r="X97" s="32" t="str">
        <f>IFERROR(__xludf.DUMMYFUNCTION("IF('Résultats des tournois'!W$2=0,"""",LET(
lastVal, INDEX(FILTER($B97:W97, ISNUMBER($B97:W97)), COUNTA(FILTER($B97:W97, ISNUMBER($B97:W97)))),
IFERROR(
IF('Résultats des tournois'!W97="""", INDEX(FILTER($C97:W97, ISNUMBER($C97:W97)), COUNTA(FILTER($C97:W"&amp;"97, ISNUMBER($C97:W97)))),
lastVal + 'K dynamique'!W97 * ((SQRT('Résultats des tournois'!W$2 + 1)/'Résultats des tournois'!W97) - (1 / (1 + 10^((W$103 - lastVal)/400)))))
)
))"),"")</f>
        <v/>
      </c>
      <c r="Y97" s="32" t="str">
        <f>IFERROR(__xludf.DUMMYFUNCTION("IF('Résultats des tournois'!X$2=0,"""",LET(
lastVal, INDEX(FILTER($B97:X97, ISNUMBER($B97:X97)), COUNTA(FILTER($B97:X97, ISNUMBER($B97:X97)))),
IFERROR(
IF('Résultats des tournois'!X97="""", INDEX(FILTER($C97:X97, ISNUMBER($C97:X97)), COUNTA(FILTER($C97:X"&amp;"97, ISNUMBER($C97:X97)))),
lastVal + 'K dynamique'!X97 * ((SQRT('Résultats des tournois'!X$2 + 1)/'Résultats des tournois'!X97) - (1 / (1 + 10^((X$103 - lastVal)/400)))))
)
))"),"")</f>
        <v/>
      </c>
      <c r="Z97" s="32" t="str">
        <f>IFERROR(__xludf.DUMMYFUNCTION("IF('Résultats des tournois'!Y$2=0,"""",LET(
lastVal, INDEX(FILTER($B97:Y97, ISNUMBER($B97:Y97)), COUNTA(FILTER($B97:Y97, ISNUMBER($B97:Y97)))),
IFERROR(
IF('Résultats des tournois'!Y97="""", INDEX(FILTER($C97:Y97, ISNUMBER($C97:Y97)), COUNTA(FILTER($C97:Y"&amp;"97, ISNUMBER($C97:Y97)))),
lastVal + 'K dynamique'!Y97 * ((SQRT('Résultats des tournois'!Y$2 + 1)/'Résultats des tournois'!Y97) - (1 / (1 + 10^((Y$103 - lastVal)/400)))))
)
))"),"")</f>
        <v/>
      </c>
      <c r="AA97" s="32" t="str">
        <f>IFERROR(__xludf.DUMMYFUNCTION("IF('Résultats des tournois'!Z$2=0,"""",LET(
lastVal, INDEX(FILTER($B97:Z97, ISNUMBER($B97:Z97)), COUNTA(FILTER($B97:Z97, ISNUMBER($B97:Z97)))),
IFERROR(
IF('Résultats des tournois'!Z97="""", INDEX(FILTER($C97:Z97, ISNUMBER($C97:Z97)), COUNTA(FILTER($C97:Z"&amp;"97, ISNUMBER($C97:Z97)))),
lastVal + 'K dynamique'!Z97 * ((SQRT('Résultats des tournois'!Z$2 + 1)/'Résultats des tournois'!Z97) - (1 / (1 + 10^((Z$103 - lastVal)/400)))))
)
))"),"")</f>
        <v/>
      </c>
      <c r="AB97" s="32" t="str">
        <f>IFERROR(__xludf.DUMMYFUNCTION("IF('Résultats des tournois'!AA$2=0,"""",LET(
lastVal, INDEX(FILTER($B97:AA97, ISNUMBER($B97:AA97)), COUNTA(FILTER($B97:AA97, ISNUMBER($B97:AA97)))),
IFERROR(
IF('Résultats des tournois'!AA97="""", INDEX(FILTER($C97:AA97, ISNUMBER($C97:AA97)), COUNTA(FILTE"&amp;"R($C97:AA97, ISNUMBER($C97:AA97)))),
lastVal + 'K dynamique'!AA97 * ((SQRT('Résultats des tournois'!AA$2 + 1)/'Résultats des tournois'!AA97) - (1 / (1 + 10^((AA$103 - lastVal)/400)))))
)
))"),"")</f>
        <v/>
      </c>
      <c r="AC97" s="32" t="str">
        <f>IFERROR(__xludf.DUMMYFUNCTION("IF('Résultats des tournois'!AB$2=0,"""",LET(
lastVal, INDEX(FILTER($B97:AB97, ISNUMBER($B97:AB97)), COUNTA(FILTER($B97:AB97, ISNUMBER($B97:AB97)))),
IFERROR(
IF('Résultats des tournois'!AB97="""", INDEX(FILTER($C97:AB97, ISNUMBER($C97:AB97)), COUNTA(FILTE"&amp;"R($C97:AB97, ISNUMBER($C97:AB97)))),
lastVal + 'K dynamique'!AB97 * ((SQRT('Résultats des tournois'!AB$2 + 1)/'Résultats des tournois'!AB97) - (1 / (1 + 10^((AB$103 - lastVal)/400)))))
)
))"),"")</f>
        <v/>
      </c>
      <c r="AD97" s="32" t="str">
        <f>IFERROR(__xludf.DUMMYFUNCTION("IF('Résultats des tournois'!AC$2=0,"""",LET(
lastVal, INDEX(FILTER($B97:AC97, ISNUMBER($B97:AC97)), COUNTA(FILTER($B97:AC97, ISNUMBER($B97:AC97)))),
IFERROR(
IF('Résultats des tournois'!AC97="""", INDEX(FILTER($C97:AC97, ISNUMBER($C97:AC97)), COUNTA(FILTE"&amp;"R($C97:AC97, ISNUMBER($C97:AC97)))),
lastVal + 'K dynamique'!AC97 * ((SQRT('Résultats des tournois'!AC$2 + 1)/'Résultats des tournois'!AC97) - (1 / (1 + 10^((AC$103 - lastVal)/400)))))
)
))"),"")</f>
        <v/>
      </c>
      <c r="AE97" s="32" t="str">
        <f>IFERROR(__xludf.DUMMYFUNCTION("IF('Résultats des tournois'!AD$2=0,"""",LET(
lastVal, INDEX(FILTER($B97:AD97, ISNUMBER($B97:AD97)), COUNTA(FILTER($B97:AD97, ISNUMBER($B97:AD97)))),
IFERROR(
IF('Résultats des tournois'!AD97="""", INDEX(FILTER($C97:AD97, ISNUMBER($C97:AD97)), COUNTA(FILTE"&amp;"R($C97:AD97, ISNUMBER($C97:AD97)))),
lastVal + 'K dynamique'!AD97 * ((SQRT('Résultats des tournois'!AD$2 + 1)/'Résultats des tournois'!AD97) - (1 / (1 + 10^((AD$103 - lastVal)/400)))))
)
))"),"")</f>
        <v/>
      </c>
      <c r="AF97" s="32" t="str">
        <f>IFERROR(__xludf.DUMMYFUNCTION("IF('Résultats des tournois'!AE$2=0,"""",LET(
lastVal, INDEX(FILTER($B97:AE97, ISNUMBER($B97:AE97)), COUNTA(FILTER($B97:AE97, ISNUMBER($B97:AE97)))),
IFERROR(
IF('Résultats des tournois'!AE97="""", INDEX(FILTER($C97:AE97, ISNUMBER($C97:AE97)), COUNTA(FILTE"&amp;"R($C97:AE97, ISNUMBER($C97:AE97)))),
lastVal + 'K dynamique'!AE97 * ((SQRT('Résultats des tournois'!AE$2 + 1)/'Résultats des tournois'!AE97) - (1 / (1 + 10^((AE$103 - lastVal)/400)))))
)
))"),"")</f>
        <v/>
      </c>
      <c r="AG97" s="32" t="str">
        <f>IFERROR(__xludf.DUMMYFUNCTION("IF('Résultats des tournois'!AF$2=0,"""",LET(
lastVal, INDEX(FILTER($B97:AF97, ISNUMBER($B97:AF97)), COUNTA(FILTER($B97:AF97, ISNUMBER($B97:AF97)))),
IFERROR(
IF('Résultats des tournois'!AF97="""", INDEX(FILTER($C97:AF97, ISNUMBER($C97:AF97)), COUNTA(FILTE"&amp;"R($C97:AF97, ISNUMBER($C97:AF97)))),
lastVal + 'K dynamique'!AF97 * ((SQRT('Résultats des tournois'!AF$2 + 1)/'Résultats des tournois'!AF97) - (1 / (1 + 10^((AF$103 - lastVal)/400)))))
)
))"),"")</f>
        <v/>
      </c>
      <c r="AH97" s="32" t="str">
        <f>IFERROR(__xludf.DUMMYFUNCTION("IF('Résultats des tournois'!AG$2=0,"""",LET(
lastVal, INDEX(FILTER($B97:AG97, ISNUMBER($B97:AG97)), COUNTA(FILTER($B97:AG97, ISNUMBER($B97:AG97)))),
IFERROR(
IF('Résultats des tournois'!AG97="""", INDEX(FILTER($C97:AG97, ISNUMBER($C97:AG97)), COUNTA(FILTE"&amp;"R($C97:AG97, ISNUMBER($C97:AG97)))),
lastVal + 'K dynamique'!AG97 * ((SQRT('Résultats des tournois'!AG$2 + 1)/'Résultats des tournois'!AG97) - (1 / (1 + 10^((AG$103 - lastVal)/400)))))
)
))"),"")</f>
        <v/>
      </c>
      <c r="AI97" s="32" t="str">
        <f>IFERROR(__xludf.DUMMYFUNCTION("IF('Résultats des tournois'!AH$2=0,"""",LET(
lastVal, INDEX(FILTER($B97:AH97, ISNUMBER($B97:AH97)), COUNTA(FILTER($B97:AH97, ISNUMBER($B97:AH97)))),
IFERROR(
IF('Résultats des tournois'!AH97="""", INDEX(FILTER($C97:AH97, ISNUMBER($C97:AH97)), COUNTA(FILTE"&amp;"R($C97:AH97, ISNUMBER($C97:AH97)))),
lastVal + 'K dynamique'!AH97 * ((SQRT('Résultats des tournois'!AH$2 + 1)/'Résultats des tournois'!AH97) - (1 / (1 + 10^((AH$103 - lastVal)/400)))))
)
))"),"")</f>
        <v/>
      </c>
      <c r="AJ97" s="32" t="str">
        <f>IFERROR(__xludf.DUMMYFUNCTION("IF('Résultats des tournois'!AI$2=0,"""",LET(
lastVal, INDEX(FILTER($B97:AI97, ISNUMBER($B97:AI97)), COUNTA(FILTER($B97:AI97, ISNUMBER($B97:AI97)))),
IFERROR(
IF('Résultats des tournois'!AI97="""", INDEX(FILTER($C97:AI97, ISNUMBER($C97:AI97)), COUNTA(FILTE"&amp;"R($C97:AI97, ISNUMBER($C97:AI97)))),
lastVal + 'K dynamique'!AI97 * ((SQRT('Résultats des tournois'!AI$2 + 1)/'Résultats des tournois'!AI97) - (1 / (1 + 10^((AI$103 - lastVal)/400)))))
)
))"),"")</f>
        <v/>
      </c>
      <c r="AK97" s="32" t="str">
        <f>IFERROR(__xludf.DUMMYFUNCTION("IF('Résultats des tournois'!AJ$2=0,"""",LET(
lastVal, INDEX(FILTER($B97:AJ97, ISNUMBER($B97:AJ97)), COUNTA(FILTER($B97:AJ97, ISNUMBER($B97:AJ97)))),
IFERROR(
IF('Résultats des tournois'!AJ97="""", INDEX(FILTER($C97:AJ97, ISNUMBER($C97:AJ97)), COUNTA(FILTE"&amp;"R($C97:AJ97, ISNUMBER($C97:AJ97)))),
lastVal + 'K dynamique'!AJ97 * ((SQRT('Résultats des tournois'!AJ$2 + 1)/'Résultats des tournois'!AJ97) - (1 / (1 + 10^((AJ$103 - lastVal)/400)))))
)
))"),"")</f>
        <v/>
      </c>
      <c r="AL97" s="32" t="str">
        <f>IFERROR(__xludf.DUMMYFUNCTION("IF('Résultats des tournois'!AK$2=0,"""",LET(
lastVal, INDEX(FILTER($B97:AK97, ISNUMBER($B97:AK97)), COUNTA(FILTER($B97:AK97, ISNUMBER($B97:AK97)))),
IFERROR(
IF('Résultats des tournois'!AK97="""", INDEX(FILTER($C97:AK97, ISNUMBER($C97:AK97)), COUNTA(FILTE"&amp;"R($C97:AK97, ISNUMBER($C97:AK97)))),
lastVal + 'K dynamique'!AK97 * ((SQRT('Résultats des tournois'!AK$2 + 1)/'Résultats des tournois'!AK97) - (1 / (1 + 10^((AK$103 - lastVal)/400)))))
)
))"),"")</f>
        <v/>
      </c>
      <c r="AM97" s="32" t="str">
        <f>IFERROR(__xludf.DUMMYFUNCTION("IF('Résultats des tournois'!AL$2=0,"""",LET(
lastVal, INDEX(FILTER($B97:AL97, ISNUMBER($B97:AL97)), COUNTA(FILTER($B97:AL97, ISNUMBER($B97:AL97)))),
IFERROR(
IF('Résultats des tournois'!AL97="""", INDEX(FILTER($C97:AL97, ISNUMBER($C97:AL97)), COUNTA(FILTE"&amp;"R($C97:AL97, ISNUMBER($C97:AL97)))),
lastVal + 'K dynamique'!AL97 * ((SQRT('Résultats des tournois'!AL$2 + 1)/'Résultats des tournois'!AL97) - (1 / (1 + 10^((AL$103 - lastVal)/400)))))
)
))"),"")</f>
        <v/>
      </c>
      <c r="AN97" s="32" t="str">
        <f>IFERROR(__xludf.DUMMYFUNCTION("IF('Résultats des tournois'!AM$2=0,"""",LET(
lastVal, INDEX(FILTER($B97:AM97, ISNUMBER($B97:AM97)), COUNTA(FILTER($B97:AM97, ISNUMBER($B97:AM97)))),
IFERROR(
IF('Résultats des tournois'!AM97="""", INDEX(FILTER($C97:AM97, ISNUMBER($C97:AM97)), COUNTA(FILTE"&amp;"R($C97:AM97, ISNUMBER($C97:AM97)))),
lastVal + 'K dynamique'!AM97 * ((SQRT('Résultats des tournois'!AM$2 + 1)/'Résultats des tournois'!AM97) - (1 / (1 + 10^((AM$103 - lastVal)/400)))))
)
))"),"")</f>
        <v/>
      </c>
      <c r="AO97" s="32" t="str">
        <f>IFERROR(__xludf.DUMMYFUNCTION("IF('Résultats des tournois'!AN$2=0,"""",LET(
lastVal, INDEX(FILTER($B97:AN97, ISNUMBER($B97:AN97)), COUNTA(FILTER($B97:AN97, ISNUMBER($B97:AN97)))),
IFERROR(
IF('Résultats des tournois'!AN97="""", INDEX(FILTER($C97:AN97, ISNUMBER($C97:AN97)), COUNTA(FILTE"&amp;"R($C97:AN97, ISNUMBER($C97:AN97)))),
lastVal + 'K dynamique'!AN97 * ((SQRT('Résultats des tournois'!AN$2 + 1)/'Résultats des tournois'!AN97) - (1 / (1 + 10^((AN$103 - lastVal)/400)))))
)
))"),"")</f>
        <v/>
      </c>
      <c r="AP97" s="32" t="str">
        <f>IFERROR(__xludf.DUMMYFUNCTION("IF('Résultats des tournois'!AO$2=0,"""",LET(
lastVal, INDEX(FILTER($B97:AO97, ISNUMBER($B97:AO97)), COUNTA(FILTER($B97:AO97, ISNUMBER($B97:AO97)))),
IFERROR(
IF('Résultats des tournois'!AO97="""", INDEX(FILTER($C97:AO97, ISNUMBER($C97:AO97)), COUNTA(FILTE"&amp;"R($C97:AO97, ISNUMBER($C97:AO97)))),
lastVal + 'K dynamique'!AO97 * ((SQRT('Résultats des tournois'!AO$2 + 1)/'Résultats des tournois'!AO97) - (1 / (1 + 10^((AO$103 - lastVal)/400)))))
)
))"),"")</f>
        <v/>
      </c>
      <c r="AQ97" s="32" t="str">
        <f>IFERROR(__xludf.DUMMYFUNCTION("IF('Résultats des tournois'!AP$2=0,"""",LET(
lastVal, INDEX(FILTER($B97:AP97, ISNUMBER($B97:AP97)), COUNTA(FILTER($B97:AP97, ISNUMBER($B97:AP97)))),
IFERROR(
IF('Résultats des tournois'!AP97="""", INDEX(FILTER($C97:AP97, ISNUMBER($C97:AP97)), COUNTA(FILTE"&amp;"R($C97:AP97, ISNUMBER($C97:AP97)))),
lastVal + 'K dynamique'!AP97 * ((SQRT('Résultats des tournois'!AP$2 + 1)/'Résultats des tournois'!AP97) - (1 / (1 + 10^((AP$103 - lastVal)/400)))))
)
))"),"")</f>
        <v/>
      </c>
      <c r="AR97" s="32" t="str">
        <f>IFERROR(__xludf.DUMMYFUNCTION("IF('Résultats des tournois'!AQ$2=0,"""",LET(
lastVal, INDEX(FILTER($B97:AQ97, ISNUMBER($B97:AQ97)), COUNTA(FILTER($B97:AQ97, ISNUMBER($B97:AQ97)))),
IFERROR(
IF('Résultats des tournois'!AQ97="""", INDEX(FILTER($C97:AQ97, ISNUMBER($C97:AQ97)), COUNTA(FILTE"&amp;"R($C97:AQ97, ISNUMBER($C97:AQ97)))),
lastVal + 'K dynamique'!AQ97 * ((SQRT('Résultats des tournois'!AQ$2 + 1)/'Résultats des tournois'!AQ97) - (1 / (1 + 10^((AQ$103 - lastVal)/400)))))
)
))"),"")</f>
        <v/>
      </c>
      <c r="AS97" s="32" t="str">
        <f>IFERROR(__xludf.DUMMYFUNCTION("IF('Résultats des tournois'!AR$2=0,"""",LET(
lastVal, INDEX(FILTER($B97:AR97, ISNUMBER($B97:AR97)), COUNTA(FILTER($B97:AR97, ISNUMBER($B97:AR97)))),
IFERROR(
IF('Résultats des tournois'!AR97="""", INDEX(FILTER($C97:AR97, ISNUMBER($C97:AR97)), COUNTA(FILTE"&amp;"R($C97:AR97, ISNUMBER($C97:AR97)))),
lastVal + 'K dynamique'!AR97 * ((SQRT('Résultats des tournois'!AR$2 + 1)/'Résultats des tournois'!AR97) - (1 / (1 + 10^((AR$103 - lastVal)/400)))))
)
))"),"")</f>
        <v/>
      </c>
      <c r="AT97" s="32" t="str">
        <f>IFERROR(__xludf.DUMMYFUNCTION("IF('Résultats des tournois'!AS$2=0,"""",LET(
lastVal, INDEX(FILTER($B97:AS97, ISNUMBER($B97:AS97)), COUNTA(FILTER($B97:AS97, ISNUMBER($B97:AS97)))),
IFERROR(
IF('Résultats des tournois'!AS97="""", INDEX(FILTER($C97:AS97, ISNUMBER($C97:AS97)), COUNTA(FILTE"&amp;"R($C97:AS97, ISNUMBER($C97:AS97)))),
lastVal + 'K dynamique'!AS97 * ((SQRT('Résultats des tournois'!AS$2 + 1)/'Résultats des tournois'!AS97) - (1 / (1 + 10^((AS$103 - lastVal)/400)))))
)
))"),"")</f>
        <v/>
      </c>
      <c r="AU97" s="32" t="str">
        <f>IFERROR(__xludf.DUMMYFUNCTION("IF('Résultats des tournois'!AT$2=0,"""",LET(
lastVal, INDEX(FILTER($B97:AT97, ISNUMBER($B97:AT97)), COUNTA(FILTER($B97:AT97, ISNUMBER($B97:AT97)))),
IFERROR(
IF('Résultats des tournois'!AT97="""", INDEX(FILTER($C97:AT97, ISNUMBER($C97:AT97)), COUNTA(FILTE"&amp;"R($C97:AT97, ISNUMBER($C97:AT97)))),
lastVal + 'K dynamique'!AT97 * ((SQRT('Résultats des tournois'!AT$2 + 1)/'Résultats des tournois'!AT97) - (1 / (1 + 10^((AT$103 - lastVal)/400)))))
)
))"),"")</f>
        <v/>
      </c>
      <c r="AV97" s="32" t="str">
        <f>IFERROR(__xludf.DUMMYFUNCTION("IF('Résultats des tournois'!AU$2=0,"""",LET(
lastVal, INDEX(FILTER($B97:AU97, ISNUMBER($B97:AU97)), COUNTA(FILTER($B97:AU97, ISNUMBER($B97:AU97)))),
IFERROR(
IF('Résultats des tournois'!AU97="""", INDEX(FILTER($C97:AU97, ISNUMBER($C97:AU97)), COUNTA(FILTE"&amp;"R($C97:AU97, ISNUMBER($C97:AU97)))),
lastVal + 'K dynamique'!AU97 * ((SQRT('Résultats des tournois'!AU$2 + 1)/'Résultats des tournois'!AU97) - (1 / (1 + 10^((AU$103 - lastVal)/400)))))
)
))"),"")</f>
        <v/>
      </c>
      <c r="AW97" s="32" t="str">
        <f>IFERROR(__xludf.DUMMYFUNCTION("IF('Résultats des tournois'!AV$2=0,"""",LET(
lastVal, INDEX(FILTER($B97:AV97, ISNUMBER($B97:AV97)), COUNTA(FILTER($B97:AV97, ISNUMBER($B97:AV97)))),
IFERROR(
IF('Résultats des tournois'!AV97="""", INDEX(FILTER($C97:AV97, ISNUMBER($C97:AV97)), COUNTA(FILTE"&amp;"R($C97:AV97, ISNUMBER($C97:AV97)))),
lastVal + 'K dynamique'!AV97 * ((SQRT('Résultats des tournois'!AV$2 + 1)/'Résultats des tournois'!AV97) - (1 / (1 + 10^((AV$103 - lastVal)/400)))))
)
))"),"")</f>
        <v/>
      </c>
      <c r="AX97" s="32" t="str">
        <f>IFERROR(__xludf.DUMMYFUNCTION("IF('Résultats des tournois'!AW$2=0,"""",LET(
lastVal, INDEX(FILTER($B97:AW97, ISNUMBER($B97:AW97)), COUNTA(FILTER($B97:AW97, ISNUMBER($B97:AW97)))),
IFERROR(
IF('Résultats des tournois'!AW97="""", INDEX(FILTER($C97:AW97, ISNUMBER($C97:AW97)), COUNTA(FILTE"&amp;"R($C97:AW97, ISNUMBER($C97:AW97)))),
lastVal + 'K dynamique'!AW97 * ((SQRT('Résultats des tournois'!AW$2 + 1)/'Résultats des tournois'!AW97) - (1 / (1 + 10^((AW$103 - lastVal)/400)))))
)
))"),"")</f>
        <v/>
      </c>
      <c r="AY97" s="32" t="str">
        <f>IFERROR(__xludf.DUMMYFUNCTION("IF('Résultats des tournois'!AX$2=0,"""",LET(
lastVal, INDEX(FILTER($B97:AX97, ISNUMBER($B97:AX97)), COUNTA(FILTER($B97:AX97, ISNUMBER($B97:AX97)))),
IFERROR(
IF('Résultats des tournois'!AX97="""", INDEX(FILTER($C97:AX97, ISNUMBER($C97:AX97)), COUNTA(FILTE"&amp;"R($C97:AX97, ISNUMBER($C97:AX97)))),
lastVal + 'K dynamique'!AX97 * ((SQRT('Résultats des tournois'!AX$2 + 1)/'Résultats des tournois'!AX97) - (1 / (1 + 10^((AX$103 - lastVal)/400)))))
)
))"),"")</f>
        <v/>
      </c>
      <c r="AZ97" s="4" t="str">
        <f t="array" ref="AZ97">IF(MAX(($C97:AY97&lt;&gt;"")*COLUMN($C97:AY97))=0,"",INDEX($C97:AY97,1,MAX(($C97:AY97&lt;&gt;"")*COLUMN($C97:AY97))-COLUMN($C97)+1))</f>
        <v/>
      </c>
      <c r="BA97" s="33" t="str">
        <f t="shared" si="1"/>
        <v/>
      </c>
    </row>
    <row r="98" ht="14.25" customHeight="1">
      <c r="A98" s="32" t="str">
        <f>IF('Résultats des tournois'!A98="","",'Résultats des tournois'!A98)</f>
        <v/>
      </c>
      <c r="B98" s="32">
        <v>1500.0</v>
      </c>
      <c r="C98" s="32" t="str">
        <f>IF('Résultats des tournois'!B98="","",B98+'K dynamique'!B98*((SQRT('Résultats des tournois'!B$2+1)/'Résultats des tournois'!B98)-(1/(1+10^((B98-B98)/400)))))</f>
        <v/>
      </c>
      <c r="D98" s="32" t="str">
        <f>IFERROR(__xludf.DUMMYFUNCTION("IF('Résultats des tournois'!C$2=0,"""",LET(
lastVal, INDEX(FILTER($B98:C98, ISNUMBER($B98:C98)), COUNTA(FILTER($B98:C98, ISNUMBER($B98:C98)))),
IFERROR(
IF('Résultats des tournois'!C98="""", INDEX(FILTER($C98:C98, ISNUMBER($C98:C98)), COUNTA(FILTER($C98:C"&amp;"98, ISNUMBER($C98:C98)))),
lastVal + 'K dynamique'!C98 * ((SQRT('Résultats des tournois'!C$2 + 1)/'Résultats des tournois'!C98) - (1 / (1 + 10^((C$103 - lastVal)/400)))))
)
))"),"")</f>
        <v/>
      </c>
      <c r="E98" s="32" t="str">
        <f>IFERROR(__xludf.DUMMYFUNCTION("IF('Résultats des tournois'!D$2=0,"""",LET(
lastVal, INDEX(FILTER($B98:D98, ISNUMBER($B98:D98)), COUNTA(FILTER($B98:D98, ISNUMBER($B98:D98)))),
IFERROR(
IF('Résultats des tournois'!D98="""", INDEX(FILTER($C98:D98, ISNUMBER($C98:D98)), COUNTA(FILTER($C98:D"&amp;"98, ISNUMBER($C98:D98)))),
lastVal + 'K dynamique'!D98 * ((SQRT('Résultats des tournois'!D$2 + 1)/'Résultats des tournois'!D98) - (1 / (1 + 10^((D$103 - lastVal)/400)))))
)
))"),"")</f>
        <v/>
      </c>
      <c r="F98" s="32" t="str">
        <f>IFERROR(__xludf.DUMMYFUNCTION("IF('Résultats des tournois'!E$2=0,"""",LET(
lastVal, INDEX(FILTER($B98:E98, ISNUMBER($B98:E98)), COUNTA(FILTER($B98:E98, ISNUMBER($B98:E98)))),
IFERROR(
IF('Résultats des tournois'!E98="""", INDEX(FILTER($C98:E98, ISNUMBER($C98:E98)), COUNTA(FILTER($C98:E"&amp;"98, ISNUMBER($C98:E98)))),
lastVal + 'K dynamique'!E98 * ((SQRT('Résultats des tournois'!E$2 + 1)/'Résultats des tournois'!E98) - (1 / (1 + 10^((E$103 - lastVal)/400)))))
)
))"),"")</f>
        <v/>
      </c>
      <c r="G98" s="32" t="str">
        <f>IFERROR(__xludf.DUMMYFUNCTION("IF('Résultats des tournois'!F$2=0,"""",LET(
lastVal, INDEX(FILTER($B98:F98, ISNUMBER($B98:F98)), COUNTA(FILTER($B98:F98, ISNUMBER($B98:F98)))),
IFERROR(
IF('Résultats des tournois'!F98="""", INDEX(FILTER($C98:F98, ISNUMBER($C98:F98)), COUNTA(FILTER($C98:F"&amp;"98, ISNUMBER($C98:F98)))),
lastVal + 'K dynamique'!F98 * ((SQRT('Résultats des tournois'!F$2 + 1)/'Résultats des tournois'!F98) - (1 / (1 + 10^((F$103 - lastVal)/400)))))
)
))"),"")</f>
        <v/>
      </c>
      <c r="H98" s="32" t="str">
        <f>IFERROR(__xludf.DUMMYFUNCTION("IF('Résultats des tournois'!G$2=0,"""",LET(
lastVal, INDEX(FILTER($B98:G98, ISNUMBER($B98:G98)), COUNTA(FILTER($B98:G98, ISNUMBER($B98:G98)))),
IFERROR(
IF('Résultats des tournois'!G98="""", INDEX(FILTER($C98:G98, ISNUMBER($C98:G98)), COUNTA(FILTER($C98:G"&amp;"98, ISNUMBER($C98:G98)))),
lastVal + 'K dynamique'!G98 * ((SQRT('Résultats des tournois'!G$2 + 1)/'Résultats des tournois'!G98) - (1 / (1 + 10^((G$103 - lastVal)/400)))))
)
))"),"")</f>
        <v/>
      </c>
      <c r="I98" s="32" t="str">
        <f>IFERROR(__xludf.DUMMYFUNCTION("IF('Résultats des tournois'!H$2=0,"""",LET(
lastVal, INDEX(FILTER($B98:H98, ISNUMBER($B98:H98)), COUNTA(FILTER($B98:H98, ISNUMBER($B98:H98)))),
IFERROR(
IF('Résultats des tournois'!H98="""", INDEX(FILTER($C98:H98, ISNUMBER($C98:H98)), COUNTA(FILTER($C98:H"&amp;"98, ISNUMBER($C98:H98)))),
lastVal + 'K dynamique'!H98 * ((SQRT('Résultats des tournois'!H$2 + 1)/'Résultats des tournois'!H98) - (1 / (1 + 10^((H$103 - lastVal)/400)))))
)
))"),"")</f>
        <v/>
      </c>
      <c r="J98" s="32" t="str">
        <f>IFERROR(__xludf.DUMMYFUNCTION("IF('Résultats des tournois'!I$2=0,"""",LET(
lastVal, INDEX(FILTER($B98:I98, ISNUMBER($B98:I98)), COUNTA(FILTER($B98:I98, ISNUMBER($B98:I98)))),
IFERROR(
IF('Résultats des tournois'!I98="""", INDEX(FILTER($C98:I98, ISNUMBER($C98:I98)), COUNTA(FILTER($C98:I"&amp;"98, ISNUMBER($C98:I98)))),
lastVal + 'K dynamique'!I98 * ((SQRT('Résultats des tournois'!I$2 + 1)/'Résultats des tournois'!I98) - (1 / (1 + 10^((I$103 - lastVal)/400)))))
)
))"),"")</f>
        <v/>
      </c>
      <c r="K98" s="32" t="str">
        <f>IFERROR(__xludf.DUMMYFUNCTION("IF('Résultats des tournois'!J$2=0,"""",LET(
lastVal, INDEX(FILTER($B98:J98, ISNUMBER($B98:J98)), COUNTA(FILTER($B98:J98, ISNUMBER($B98:J98)))),
IFERROR(
IF('Résultats des tournois'!J98="""", INDEX(FILTER($C98:J98, ISNUMBER($C98:J98)), COUNTA(FILTER($C98:J"&amp;"98, ISNUMBER($C98:J98)))),
lastVal + 'K dynamique'!J98 * ((SQRT('Résultats des tournois'!J$2 + 1)/'Résultats des tournois'!J98) - (1 / (1 + 10^((J$103 - lastVal)/400)))))
)
))"),"")</f>
        <v/>
      </c>
      <c r="L98" s="32" t="str">
        <f>IFERROR(__xludf.DUMMYFUNCTION("IF('Résultats des tournois'!K$2=0,"""",LET(
lastVal, INDEX(FILTER($B98:K98, ISNUMBER($B98:K98)), COUNTA(FILTER($B98:K98, ISNUMBER($B98:K98)))),
IFERROR(
IF('Résultats des tournois'!K98="""", INDEX(FILTER($C98:K98, ISNUMBER($C98:K98)), COUNTA(FILTER($C98:K"&amp;"98, ISNUMBER($C98:K98)))),
lastVal + 'K dynamique'!K98 * ((SQRT('Résultats des tournois'!K$2 + 1)/'Résultats des tournois'!K98) - (1 / (1 + 10^((K$103 - lastVal)/400)))))
)
))"),"")</f>
        <v/>
      </c>
      <c r="M98" s="32" t="str">
        <f>IFERROR(__xludf.DUMMYFUNCTION("IF('Résultats des tournois'!L$2=0,"""",LET(
lastVal, INDEX(FILTER($B98:L98, ISNUMBER($B98:L98)), COUNTA(FILTER($B98:L98, ISNUMBER($B98:L98)))),
IFERROR(
IF('Résultats des tournois'!L98="""", INDEX(FILTER($C98:L98, ISNUMBER($C98:L98)), COUNTA(FILTER($C98:L"&amp;"98, ISNUMBER($C98:L98)))),
lastVal + 'K dynamique'!L98 * ((SQRT('Résultats des tournois'!L$2 + 1)/'Résultats des tournois'!L98) - (1 / (1 + 10^((L$103 - lastVal)/400)))))
)
))"),"")</f>
        <v/>
      </c>
      <c r="N98" s="32" t="str">
        <f>IFERROR(__xludf.DUMMYFUNCTION("IF('Résultats des tournois'!M$2=0,"""",LET(
lastVal, INDEX(FILTER($B98:M98, ISNUMBER($B98:M98)), COUNTA(FILTER($B98:M98, ISNUMBER($B98:M98)))),
IFERROR(
IF('Résultats des tournois'!M98="""", INDEX(FILTER($C98:M98, ISNUMBER($C98:M98)), COUNTA(FILTER($C98:M"&amp;"98, ISNUMBER($C98:M98)))),
lastVal + 'K dynamique'!M98 * ((SQRT('Résultats des tournois'!M$2 + 1)/'Résultats des tournois'!M98) - (1 / (1 + 10^((M$103 - lastVal)/400)))))
)
))"),"")</f>
        <v/>
      </c>
      <c r="O98" s="32" t="str">
        <f>IFERROR(__xludf.DUMMYFUNCTION("IF('Résultats des tournois'!N$2=0,"""",LET(
lastVal, INDEX(FILTER($B98:N98, ISNUMBER($B98:N98)), COUNTA(FILTER($B98:N98, ISNUMBER($B98:N98)))),
IFERROR(
IF('Résultats des tournois'!N98="""", INDEX(FILTER($C98:N98, ISNUMBER($C98:N98)), COUNTA(FILTER($C98:N"&amp;"98, ISNUMBER($C98:N98)))),
lastVal + 'K dynamique'!N98 * ((SQRT('Résultats des tournois'!N$2 + 1)/'Résultats des tournois'!N98) - (1 / (1 + 10^((N$103 - lastVal)/400)))))
)
))"),"")</f>
        <v/>
      </c>
      <c r="P98" s="32" t="str">
        <f>IFERROR(__xludf.DUMMYFUNCTION("IF('Résultats des tournois'!O$2=0,"""",LET(
lastVal, INDEX(FILTER($B98:O98, ISNUMBER($B98:O98)), COUNTA(FILTER($B98:O98, ISNUMBER($B98:O98)))),
IFERROR(
IF('Résultats des tournois'!O98="""", INDEX(FILTER($C98:O98, ISNUMBER($C98:O98)), COUNTA(FILTER($C98:O"&amp;"98, ISNUMBER($C98:O98)))),
lastVal + 'K dynamique'!O98 * ((SQRT('Résultats des tournois'!O$2 + 1)/'Résultats des tournois'!O98) - (1 / (1 + 10^((O$103 - lastVal)/400)))))
)
))"),"")</f>
        <v/>
      </c>
      <c r="Q98" s="32" t="str">
        <f>IFERROR(__xludf.DUMMYFUNCTION("IF('Résultats des tournois'!P$2=0,"""",LET(
lastVal, INDEX(FILTER($B98:P98, ISNUMBER($B98:P98)), COUNTA(FILTER($B98:P98, ISNUMBER($B98:P98)))),
IFERROR(
IF('Résultats des tournois'!P98="""", INDEX(FILTER($C98:P98, ISNUMBER($C98:P98)), COUNTA(FILTER($C98:P"&amp;"98, ISNUMBER($C98:P98)))),
lastVal + 'K dynamique'!P98 * ((SQRT('Résultats des tournois'!P$2 + 1)/'Résultats des tournois'!P98) - (1 / (1 + 10^((P$103 - lastVal)/400)))))
)
))"),"")</f>
        <v/>
      </c>
      <c r="R98" s="32" t="str">
        <f>IFERROR(__xludf.DUMMYFUNCTION("IF('Résultats des tournois'!Q$2=0,"""",LET(
lastVal, INDEX(FILTER($B98:Q98, ISNUMBER($B98:Q98)), COUNTA(FILTER($B98:Q98, ISNUMBER($B98:Q98)))),
IFERROR(
IF('Résultats des tournois'!Q98="""", INDEX(FILTER($C98:Q98, ISNUMBER($C98:Q98)), COUNTA(FILTER($C98:Q"&amp;"98, ISNUMBER($C98:Q98)))),
lastVal + 'K dynamique'!Q98 * ((SQRT('Résultats des tournois'!Q$2 + 1)/'Résultats des tournois'!Q98) - (1 / (1 + 10^((Q$103 - lastVal)/400)))))
)
))"),"")</f>
        <v/>
      </c>
      <c r="S98" s="32" t="str">
        <f>IFERROR(__xludf.DUMMYFUNCTION("IF('Résultats des tournois'!R$2=0,"""",LET(
lastVal, INDEX(FILTER($B98:R98, ISNUMBER($B98:R98)), COUNTA(FILTER($B98:R98, ISNUMBER($B98:R98)))),
IFERROR(
IF('Résultats des tournois'!R98="""", INDEX(FILTER($C98:R98, ISNUMBER($C98:R98)), COUNTA(FILTER($C98:R"&amp;"98, ISNUMBER($C98:R98)))),
lastVal + 'K dynamique'!R98 * ((SQRT('Résultats des tournois'!R$2 + 1)/'Résultats des tournois'!R98) - (1 / (1 + 10^((R$103 - lastVal)/400)))))
)
))"),"")</f>
        <v/>
      </c>
      <c r="T98" s="32" t="str">
        <f>IFERROR(__xludf.DUMMYFUNCTION("IF('Résultats des tournois'!S$2=0,"""",LET(
lastVal, INDEX(FILTER($B98:S98, ISNUMBER($B98:S98)), COUNTA(FILTER($B98:S98, ISNUMBER($B98:S98)))),
IFERROR(
IF('Résultats des tournois'!S98="""", INDEX(FILTER($C98:S98, ISNUMBER($C98:S98)), COUNTA(FILTER($C98:S"&amp;"98, ISNUMBER($C98:S98)))),
lastVal + 'K dynamique'!S98 * ((SQRT('Résultats des tournois'!S$2 + 1)/'Résultats des tournois'!S98) - (1 / (1 + 10^((S$103 - lastVal)/400)))))
)
))"),"")</f>
        <v/>
      </c>
      <c r="U98" s="32" t="str">
        <f>IFERROR(__xludf.DUMMYFUNCTION("IF('Résultats des tournois'!T$2=0,"""",LET(
lastVal, INDEX(FILTER($B98:T98, ISNUMBER($B98:T98)), COUNTA(FILTER($B98:T98, ISNUMBER($B98:T98)))),
IFERROR(
IF('Résultats des tournois'!T98="""", INDEX(FILTER($C98:T98, ISNUMBER($C98:T98)), COUNTA(FILTER($C98:T"&amp;"98, ISNUMBER($C98:T98)))),
lastVal + 'K dynamique'!T98 * ((SQRT('Résultats des tournois'!T$2 + 1)/'Résultats des tournois'!T98) - (1 / (1 + 10^((T$103 - lastVal)/400)))))
)
))"),"")</f>
        <v/>
      </c>
      <c r="V98" s="32" t="str">
        <f>IFERROR(__xludf.DUMMYFUNCTION("IF('Résultats des tournois'!U$2=0,"""",LET(
lastVal, INDEX(FILTER($B98:U98, ISNUMBER($B98:U98)), COUNTA(FILTER($B98:U98, ISNUMBER($B98:U98)))),
IFERROR(
IF('Résultats des tournois'!U98="""", INDEX(FILTER($C98:U98, ISNUMBER($C98:U98)), COUNTA(FILTER($C98:U"&amp;"98, ISNUMBER($C98:U98)))),
lastVal + 'K dynamique'!U98 * ((SQRT('Résultats des tournois'!U$2 + 1)/'Résultats des tournois'!U98) - (1 / (1 + 10^((U$103 - lastVal)/400)))))
)
))"),"")</f>
        <v/>
      </c>
      <c r="W98" s="32" t="str">
        <f>IFERROR(__xludf.DUMMYFUNCTION("IF('Résultats des tournois'!V$2=0,"""",LET(
lastVal, INDEX(FILTER($B98:V98, ISNUMBER($B98:V98)), COUNTA(FILTER($B98:V98, ISNUMBER($B98:V98)))),
IFERROR(
IF('Résultats des tournois'!V98="""", INDEX(FILTER($C98:V98, ISNUMBER($C98:V98)), COUNTA(FILTER($C98:V"&amp;"98, ISNUMBER($C98:V98)))),
lastVal + 'K dynamique'!V98 * ((SQRT('Résultats des tournois'!V$2 + 1)/'Résultats des tournois'!V98) - (1 / (1 + 10^((V$103 - lastVal)/400)))))
)
))"),"")</f>
        <v/>
      </c>
      <c r="X98" s="32" t="str">
        <f>IFERROR(__xludf.DUMMYFUNCTION("IF('Résultats des tournois'!W$2=0,"""",LET(
lastVal, INDEX(FILTER($B98:W98, ISNUMBER($B98:W98)), COUNTA(FILTER($B98:W98, ISNUMBER($B98:W98)))),
IFERROR(
IF('Résultats des tournois'!W98="""", INDEX(FILTER($C98:W98, ISNUMBER($C98:W98)), COUNTA(FILTER($C98:W"&amp;"98, ISNUMBER($C98:W98)))),
lastVal + 'K dynamique'!W98 * ((SQRT('Résultats des tournois'!W$2 + 1)/'Résultats des tournois'!W98) - (1 / (1 + 10^((W$103 - lastVal)/400)))))
)
))"),"")</f>
        <v/>
      </c>
      <c r="Y98" s="32" t="str">
        <f>IFERROR(__xludf.DUMMYFUNCTION("IF('Résultats des tournois'!X$2=0,"""",LET(
lastVal, INDEX(FILTER($B98:X98, ISNUMBER($B98:X98)), COUNTA(FILTER($B98:X98, ISNUMBER($B98:X98)))),
IFERROR(
IF('Résultats des tournois'!X98="""", INDEX(FILTER($C98:X98, ISNUMBER($C98:X98)), COUNTA(FILTER($C98:X"&amp;"98, ISNUMBER($C98:X98)))),
lastVal + 'K dynamique'!X98 * ((SQRT('Résultats des tournois'!X$2 + 1)/'Résultats des tournois'!X98) - (1 / (1 + 10^((X$103 - lastVal)/400)))))
)
))"),"")</f>
        <v/>
      </c>
      <c r="Z98" s="32" t="str">
        <f>IFERROR(__xludf.DUMMYFUNCTION("IF('Résultats des tournois'!Y$2=0,"""",LET(
lastVal, INDEX(FILTER($B98:Y98, ISNUMBER($B98:Y98)), COUNTA(FILTER($B98:Y98, ISNUMBER($B98:Y98)))),
IFERROR(
IF('Résultats des tournois'!Y98="""", INDEX(FILTER($C98:Y98, ISNUMBER($C98:Y98)), COUNTA(FILTER($C98:Y"&amp;"98, ISNUMBER($C98:Y98)))),
lastVal + 'K dynamique'!Y98 * ((SQRT('Résultats des tournois'!Y$2 + 1)/'Résultats des tournois'!Y98) - (1 / (1 + 10^((Y$103 - lastVal)/400)))))
)
))"),"")</f>
        <v/>
      </c>
      <c r="AA98" s="32" t="str">
        <f>IFERROR(__xludf.DUMMYFUNCTION("IF('Résultats des tournois'!Z$2=0,"""",LET(
lastVal, INDEX(FILTER($B98:Z98, ISNUMBER($B98:Z98)), COUNTA(FILTER($B98:Z98, ISNUMBER($B98:Z98)))),
IFERROR(
IF('Résultats des tournois'!Z98="""", INDEX(FILTER($C98:Z98, ISNUMBER($C98:Z98)), COUNTA(FILTER($C98:Z"&amp;"98, ISNUMBER($C98:Z98)))),
lastVal + 'K dynamique'!Z98 * ((SQRT('Résultats des tournois'!Z$2 + 1)/'Résultats des tournois'!Z98) - (1 / (1 + 10^((Z$103 - lastVal)/400)))))
)
))"),"")</f>
        <v/>
      </c>
      <c r="AB98" s="32" t="str">
        <f>IFERROR(__xludf.DUMMYFUNCTION("IF('Résultats des tournois'!AA$2=0,"""",LET(
lastVal, INDEX(FILTER($B98:AA98, ISNUMBER($B98:AA98)), COUNTA(FILTER($B98:AA98, ISNUMBER($B98:AA98)))),
IFERROR(
IF('Résultats des tournois'!AA98="""", INDEX(FILTER($C98:AA98, ISNUMBER($C98:AA98)), COUNTA(FILTE"&amp;"R($C98:AA98, ISNUMBER($C98:AA98)))),
lastVal + 'K dynamique'!AA98 * ((SQRT('Résultats des tournois'!AA$2 + 1)/'Résultats des tournois'!AA98) - (1 / (1 + 10^((AA$103 - lastVal)/400)))))
)
))"),"")</f>
        <v/>
      </c>
      <c r="AC98" s="32" t="str">
        <f>IFERROR(__xludf.DUMMYFUNCTION("IF('Résultats des tournois'!AB$2=0,"""",LET(
lastVal, INDEX(FILTER($B98:AB98, ISNUMBER($B98:AB98)), COUNTA(FILTER($B98:AB98, ISNUMBER($B98:AB98)))),
IFERROR(
IF('Résultats des tournois'!AB98="""", INDEX(FILTER($C98:AB98, ISNUMBER($C98:AB98)), COUNTA(FILTE"&amp;"R($C98:AB98, ISNUMBER($C98:AB98)))),
lastVal + 'K dynamique'!AB98 * ((SQRT('Résultats des tournois'!AB$2 + 1)/'Résultats des tournois'!AB98) - (1 / (1 + 10^((AB$103 - lastVal)/400)))))
)
))"),"")</f>
        <v/>
      </c>
      <c r="AD98" s="32" t="str">
        <f>IFERROR(__xludf.DUMMYFUNCTION("IF('Résultats des tournois'!AC$2=0,"""",LET(
lastVal, INDEX(FILTER($B98:AC98, ISNUMBER($B98:AC98)), COUNTA(FILTER($B98:AC98, ISNUMBER($B98:AC98)))),
IFERROR(
IF('Résultats des tournois'!AC98="""", INDEX(FILTER($C98:AC98, ISNUMBER($C98:AC98)), COUNTA(FILTE"&amp;"R($C98:AC98, ISNUMBER($C98:AC98)))),
lastVal + 'K dynamique'!AC98 * ((SQRT('Résultats des tournois'!AC$2 + 1)/'Résultats des tournois'!AC98) - (1 / (1 + 10^((AC$103 - lastVal)/400)))))
)
))"),"")</f>
        <v/>
      </c>
      <c r="AE98" s="32" t="str">
        <f>IFERROR(__xludf.DUMMYFUNCTION("IF('Résultats des tournois'!AD$2=0,"""",LET(
lastVal, INDEX(FILTER($B98:AD98, ISNUMBER($B98:AD98)), COUNTA(FILTER($B98:AD98, ISNUMBER($B98:AD98)))),
IFERROR(
IF('Résultats des tournois'!AD98="""", INDEX(FILTER($C98:AD98, ISNUMBER($C98:AD98)), COUNTA(FILTE"&amp;"R($C98:AD98, ISNUMBER($C98:AD98)))),
lastVal + 'K dynamique'!AD98 * ((SQRT('Résultats des tournois'!AD$2 + 1)/'Résultats des tournois'!AD98) - (1 / (1 + 10^((AD$103 - lastVal)/400)))))
)
))"),"")</f>
        <v/>
      </c>
      <c r="AF98" s="32" t="str">
        <f>IFERROR(__xludf.DUMMYFUNCTION("IF('Résultats des tournois'!AE$2=0,"""",LET(
lastVal, INDEX(FILTER($B98:AE98, ISNUMBER($B98:AE98)), COUNTA(FILTER($B98:AE98, ISNUMBER($B98:AE98)))),
IFERROR(
IF('Résultats des tournois'!AE98="""", INDEX(FILTER($C98:AE98, ISNUMBER($C98:AE98)), COUNTA(FILTE"&amp;"R($C98:AE98, ISNUMBER($C98:AE98)))),
lastVal + 'K dynamique'!AE98 * ((SQRT('Résultats des tournois'!AE$2 + 1)/'Résultats des tournois'!AE98) - (1 / (1 + 10^((AE$103 - lastVal)/400)))))
)
))"),"")</f>
        <v/>
      </c>
      <c r="AG98" s="32" t="str">
        <f>IFERROR(__xludf.DUMMYFUNCTION("IF('Résultats des tournois'!AF$2=0,"""",LET(
lastVal, INDEX(FILTER($B98:AF98, ISNUMBER($B98:AF98)), COUNTA(FILTER($B98:AF98, ISNUMBER($B98:AF98)))),
IFERROR(
IF('Résultats des tournois'!AF98="""", INDEX(FILTER($C98:AF98, ISNUMBER($C98:AF98)), COUNTA(FILTE"&amp;"R($C98:AF98, ISNUMBER($C98:AF98)))),
lastVal + 'K dynamique'!AF98 * ((SQRT('Résultats des tournois'!AF$2 + 1)/'Résultats des tournois'!AF98) - (1 / (1 + 10^((AF$103 - lastVal)/400)))))
)
))"),"")</f>
        <v/>
      </c>
      <c r="AH98" s="32" t="str">
        <f>IFERROR(__xludf.DUMMYFUNCTION("IF('Résultats des tournois'!AG$2=0,"""",LET(
lastVal, INDEX(FILTER($B98:AG98, ISNUMBER($B98:AG98)), COUNTA(FILTER($B98:AG98, ISNUMBER($B98:AG98)))),
IFERROR(
IF('Résultats des tournois'!AG98="""", INDEX(FILTER($C98:AG98, ISNUMBER($C98:AG98)), COUNTA(FILTE"&amp;"R($C98:AG98, ISNUMBER($C98:AG98)))),
lastVal + 'K dynamique'!AG98 * ((SQRT('Résultats des tournois'!AG$2 + 1)/'Résultats des tournois'!AG98) - (1 / (1 + 10^((AG$103 - lastVal)/400)))))
)
))"),"")</f>
        <v/>
      </c>
      <c r="AI98" s="32" t="str">
        <f>IFERROR(__xludf.DUMMYFUNCTION("IF('Résultats des tournois'!AH$2=0,"""",LET(
lastVal, INDEX(FILTER($B98:AH98, ISNUMBER($B98:AH98)), COUNTA(FILTER($B98:AH98, ISNUMBER($B98:AH98)))),
IFERROR(
IF('Résultats des tournois'!AH98="""", INDEX(FILTER($C98:AH98, ISNUMBER($C98:AH98)), COUNTA(FILTE"&amp;"R($C98:AH98, ISNUMBER($C98:AH98)))),
lastVal + 'K dynamique'!AH98 * ((SQRT('Résultats des tournois'!AH$2 + 1)/'Résultats des tournois'!AH98) - (1 / (1 + 10^((AH$103 - lastVal)/400)))))
)
))"),"")</f>
        <v/>
      </c>
      <c r="AJ98" s="32" t="str">
        <f>IFERROR(__xludf.DUMMYFUNCTION("IF('Résultats des tournois'!AI$2=0,"""",LET(
lastVal, INDEX(FILTER($B98:AI98, ISNUMBER($B98:AI98)), COUNTA(FILTER($B98:AI98, ISNUMBER($B98:AI98)))),
IFERROR(
IF('Résultats des tournois'!AI98="""", INDEX(FILTER($C98:AI98, ISNUMBER($C98:AI98)), COUNTA(FILTE"&amp;"R($C98:AI98, ISNUMBER($C98:AI98)))),
lastVal + 'K dynamique'!AI98 * ((SQRT('Résultats des tournois'!AI$2 + 1)/'Résultats des tournois'!AI98) - (1 / (1 + 10^((AI$103 - lastVal)/400)))))
)
))"),"")</f>
        <v/>
      </c>
      <c r="AK98" s="32" t="str">
        <f>IFERROR(__xludf.DUMMYFUNCTION("IF('Résultats des tournois'!AJ$2=0,"""",LET(
lastVal, INDEX(FILTER($B98:AJ98, ISNUMBER($B98:AJ98)), COUNTA(FILTER($B98:AJ98, ISNUMBER($B98:AJ98)))),
IFERROR(
IF('Résultats des tournois'!AJ98="""", INDEX(FILTER($C98:AJ98, ISNUMBER($C98:AJ98)), COUNTA(FILTE"&amp;"R($C98:AJ98, ISNUMBER($C98:AJ98)))),
lastVal + 'K dynamique'!AJ98 * ((SQRT('Résultats des tournois'!AJ$2 + 1)/'Résultats des tournois'!AJ98) - (1 / (1 + 10^((AJ$103 - lastVal)/400)))))
)
))"),"")</f>
        <v/>
      </c>
      <c r="AL98" s="32" t="str">
        <f>IFERROR(__xludf.DUMMYFUNCTION("IF('Résultats des tournois'!AK$2=0,"""",LET(
lastVal, INDEX(FILTER($B98:AK98, ISNUMBER($B98:AK98)), COUNTA(FILTER($B98:AK98, ISNUMBER($B98:AK98)))),
IFERROR(
IF('Résultats des tournois'!AK98="""", INDEX(FILTER($C98:AK98, ISNUMBER($C98:AK98)), COUNTA(FILTE"&amp;"R($C98:AK98, ISNUMBER($C98:AK98)))),
lastVal + 'K dynamique'!AK98 * ((SQRT('Résultats des tournois'!AK$2 + 1)/'Résultats des tournois'!AK98) - (1 / (1 + 10^((AK$103 - lastVal)/400)))))
)
))"),"")</f>
        <v/>
      </c>
      <c r="AM98" s="32" t="str">
        <f>IFERROR(__xludf.DUMMYFUNCTION("IF('Résultats des tournois'!AL$2=0,"""",LET(
lastVal, INDEX(FILTER($B98:AL98, ISNUMBER($B98:AL98)), COUNTA(FILTER($B98:AL98, ISNUMBER($B98:AL98)))),
IFERROR(
IF('Résultats des tournois'!AL98="""", INDEX(FILTER($C98:AL98, ISNUMBER($C98:AL98)), COUNTA(FILTE"&amp;"R($C98:AL98, ISNUMBER($C98:AL98)))),
lastVal + 'K dynamique'!AL98 * ((SQRT('Résultats des tournois'!AL$2 + 1)/'Résultats des tournois'!AL98) - (1 / (1 + 10^((AL$103 - lastVal)/400)))))
)
))"),"")</f>
        <v/>
      </c>
      <c r="AN98" s="32" t="str">
        <f>IFERROR(__xludf.DUMMYFUNCTION("IF('Résultats des tournois'!AM$2=0,"""",LET(
lastVal, INDEX(FILTER($B98:AM98, ISNUMBER($B98:AM98)), COUNTA(FILTER($B98:AM98, ISNUMBER($B98:AM98)))),
IFERROR(
IF('Résultats des tournois'!AM98="""", INDEX(FILTER($C98:AM98, ISNUMBER($C98:AM98)), COUNTA(FILTE"&amp;"R($C98:AM98, ISNUMBER($C98:AM98)))),
lastVal + 'K dynamique'!AM98 * ((SQRT('Résultats des tournois'!AM$2 + 1)/'Résultats des tournois'!AM98) - (1 / (1 + 10^((AM$103 - lastVal)/400)))))
)
))"),"")</f>
        <v/>
      </c>
      <c r="AO98" s="32" t="str">
        <f>IFERROR(__xludf.DUMMYFUNCTION("IF('Résultats des tournois'!AN$2=0,"""",LET(
lastVal, INDEX(FILTER($B98:AN98, ISNUMBER($B98:AN98)), COUNTA(FILTER($B98:AN98, ISNUMBER($B98:AN98)))),
IFERROR(
IF('Résultats des tournois'!AN98="""", INDEX(FILTER($C98:AN98, ISNUMBER($C98:AN98)), COUNTA(FILTE"&amp;"R($C98:AN98, ISNUMBER($C98:AN98)))),
lastVal + 'K dynamique'!AN98 * ((SQRT('Résultats des tournois'!AN$2 + 1)/'Résultats des tournois'!AN98) - (1 / (1 + 10^((AN$103 - lastVal)/400)))))
)
))"),"")</f>
        <v/>
      </c>
      <c r="AP98" s="32" t="str">
        <f>IFERROR(__xludf.DUMMYFUNCTION("IF('Résultats des tournois'!AO$2=0,"""",LET(
lastVal, INDEX(FILTER($B98:AO98, ISNUMBER($B98:AO98)), COUNTA(FILTER($B98:AO98, ISNUMBER($B98:AO98)))),
IFERROR(
IF('Résultats des tournois'!AO98="""", INDEX(FILTER($C98:AO98, ISNUMBER($C98:AO98)), COUNTA(FILTE"&amp;"R($C98:AO98, ISNUMBER($C98:AO98)))),
lastVal + 'K dynamique'!AO98 * ((SQRT('Résultats des tournois'!AO$2 + 1)/'Résultats des tournois'!AO98) - (1 / (1 + 10^((AO$103 - lastVal)/400)))))
)
))"),"")</f>
        <v/>
      </c>
      <c r="AQ98" s="32" t="str">
        <f>IFERROR(__xludf.DUMMYFUNCTION("IF('Résultats des tournois'!AP$2=0,"""",LET(
lastVal, INDEX(FILTER($B98:AP98, ISNUMBER($B98:AP98)), COUNTA(FILTER($B98:AP98, ISNUMBER($B98:AP98)))),
IFERROR(
IF('Résultats des tournois'!AP98="""", INDEX(FILTER($C98:AP98, ISNUMBER($C98:AP98)), COUNTA(FILTE"&amp;"R($C98:AP98, ISNUMBER($C98:AP98)))),
lastVal + 'K dynamique'!AP98 * ((SQRT('Résultats des tournois'!AP$2 + 1)/'Résultats des tournois'!AP98) - (1 / (1 + 10^((AP$103 - lastVal)/400)))))
)
))"),"")</f>
        <v/>
      </c>
      <c r="AR98" s="32" t="str">
        <f>IFERROR(__xludf.DUMMYFUNCTION("IF('Résultats des tournois'!AQ$2=0,"""",LET(
lastVal, INDEX(FILTER($B98:AQ98, ISNUMBER($B98:AQ98)), COUNTA(FILTER($B98:AQ98, ISNUMBER($B98:AQ98)))),
IFERROR(
IF('Résultats des tournois'!AQ98="""", INDEX(FILTER($C98:AQ98, ISNUMBER($C98:AQ98)), COUNTA(FILTE"&amp;"R($C98:AQ98, ISNUMBER($C98:AQ98)))),
lastVal + 'K dynamique'!AQ98 * ((SQRT('Résultats des tournois'!AQ$2 + 1)/'Résultats des tournois'!AQ98) - (1 / (1 + 10^((AQ$103 - lastVal)/400)))))
)
))"),"")</f>
        <v/>
      </c>
      <c r="AS98" s="32" t="str">
        <f>IFERROR(__xludf.DUMMYFUNCTION("IF('Résultats des tournois'!AR$2=0,"""",LET(
lastVal, INDEX(FILTER($B98:AR98, ISNUMBER($B98:AR98)), COUNTA(FILTER($B98:AR98, ISNUMBER($B98:AR98)))),
IFERROR(
IF('Résultats des tournois'!AR98="""", INDEX(FILTER($C98:AR98, ISNUMBER($C98:AR98)), COUNTA(FILTE"&amp;"R($C98:AR98, ISNUMBER($C98:AR98)))),
lastVal + 'K dynamique'!AR98 * ((SQRT('Résultats des tournois'!AR$2 + 1)/'Résultats des tournois'!AR98) - (1 / (1 + 10^((AR$103 - lastVal)/400)))))
)
))"),"")</f>
        <v/>
      </c>
      <c r="AT98" s="32" t="str">
        <f>IFERROR(__xludf.DUMMYFUNCTION("IF('Résultats des tournois'!AS$2=0,"""",LET(
lastVal, INDEX(FILTER($B98:AS98, ISNUMBER($B98:AS98)), COUNTA(FILTER($B98:AS98, ISNUMBER($B98:AS98)))),
IFERROR(
IF('Résultats des tournois'!AS98="""", INDEX(FILTER($C98:AS98, ISNUMBER($C98:AS98)), COUNTA(FILTE"&amp;"R($C98:AS98, ISNUMBER($C98:AS98)))),
lastVal + 'K dynamique'!AS98 * ((SQRT('Résultats des tournois'!AS$2 + 1)/'Résultats des tournois'!AS98) - (1 / (1 + 10^((AS$103 - lastVal)/400)))))
)
))"),"")</f>
        <v/>
      </c>
      <c r="AU98" s="32" t="str">
        <f>IFERROR(__xludf.DUMMYFUNCTION("IF('Résultats des tournois'!AT$2=0,"""",LET(
lastVal, INDEX(FILTER($B98:AT98, ISNUMBER($B98:AT98)), COUNTA(FILTER($B98:AT98, ISNUMBER($B98:AT98)))),
IFERROR(
IF('Résultats des tournois'!AT98="""", INDEX(FILTER($C98:AT98, ISNUMBER($C98:AT98)), COUNTA(FILTE"&amp;"R($C98:AT98, ISNUMBER($C98:AT98)))),
lastVal + 'K dynamique'!AT98 * ((SQRT('Résultats des tournois'!AT$2 + 1)/'Résultats des tournois'!AT98) - (1 / (1 + 10^((AT$103 - lastVal)/400)))))
)
))"),"")</f>
        <v/>
      </c>
      <c r="AV98" s="32" t="str">
        <f>IFERROR(__xludf.DUMMYFUNCTION("IF('Résultats des tournois'!AU$2=0,"""",LET(
lastVal, INDEX(FILTER($B98:AU98, ISNUMBER($B98:AU98)), COUNTA(FILTER($B98:AU98, ISNUMBER($B98:AU98)))),
IFERROR(
IF('Résultats des tournois'!AU98="""", INDEX(FILTER($C98:AU98, ISNUMBER($C98:AU98)), COUNTA(FILTE"&amp;"R($C98:AU98, ISNUMBER($C98:AU98)))),
lastVal + 'K dynamique'!AU98 * ((SQRT('Résultats des tournois'!AU$2 + 1)/'Résultats des tournois'!AU98) - (1 / (1 + 10^((AU$103 - lastVal)/400)))))
)
))"),"")</f>
        <v/>
      </c>
      <c r="AW98" s="32" t="str">
        <f>IFERROR(__xludf.DUMMYFUNCTION("IF('Résultats des tournois'!AV$2=0,"""",LET(
lastVal, INDEX(FILTER($B98:AV98, ISNUMBER($B98:AV98)), COUNTA(FILTER($B98:AV98, ISNUMBER($B98:AV98)))),
IFERROR(
IF('Résultats des tournois'!AV98="""", INDEX(FILTER($C98:AV98, ISNUMBER($C98:AV98)), COUNTA(FILTE"&amp;"R($C98:AV98, ISNUMBER($C98:AV98)))),
lastVal + 'K dynamique'!AV98 * ((SQRT('Résultats des tournois'!AV$2 + 1)/'Résultats des tournois'!AV98) - (1 / (1 + 10^((AV$103 - lastVal)/400)))))
)
))"),"")</f>
        <v/>
      </c>
      <c r="AX98" s="32" t="str">
        <f>IFERROR(__xludf.DUMMYFUNCTION("IF('Résultats des tournois'!AW$2=0,"""",LET(
lastVal, INDEX(FILTER($B98:AW98, ISNUMBER($B98:AW98)), COUNTA(FILTER($B98:AW98, ISNUMBER($B98:AW98)))),
IFERROR(
IF('Résultats des tournois'!AW98="""", INDEX(FILTER($C98:AW98, ISNUMBER($C98:AW98)), COUNTA(FILTE"&amp;"R($C98:AW98, ISNUMBER($C98:AW98)))),
lastVal + 'K dynamique'!AW98 * ((SQRT('Résultats des tournois'!AW$2 + 1)/'Résultats des tournois'!AW98) - (1 / (1 + 10^((AW$103 - lastVal)/400)))))
)
))"),"")</f>
        <v/>
      </c>
      <c r="AY98" s="32" t="str">
        <f>IFERROR(__xludf.DUMMYFUNCTION("IF('Résultats des tournois'!AX$2=0,"""",LET(
lastVal, INDEX(FILTER($B98:AX98, ISNUMBER($B98:AX98)), COUNTA(FILTER($B98:AX98, ISNUMBER($B98:AX98)))),
IFERROR(
IF('Résultats des tournois'!AX98="""", INDEX(FILTER($C98:AX98, ISNUMBER($C98:AX98)), COUNTA(FILTE"&amp;"R($C98:AX98, ISNUMBER($C98:AX98)))),
lastVal + 'K dynamique'!AX98 * ((SQRT('Résultats des tournois'!AX$2 + 1)/'Résultats des tournois'!AX98) - (1 / (1 + 10^((AX$103 - lastVal)/400)))))
)
))"),"")</f>
        <v/>
      </c>
      <c r="AZ98" s="4" t="str">
        <f t="array" ref="AZ98">IF(MAX(($C98:AY98&lt;&gt;"")*COLUMN($C98:AY98))=0,"",INDEX($C98:AY98,1,MAX(($C98:AY98&lt;&gt;"")*COLUMN($C98:AY98))-COLUMN($C98)+1))</f>
        <v/>
      </c>
      <c r="BA98" s="33" t="str">
        <f t="shared" si="1"/>
        <v/>
      </c>
    </row>
    <row r="99" ht="14.25" customHeight="1">
      <c r="A99" s="32" t="str">
        <f>IF('Résultats des tournois'!A99="","",'Résultats des tournois'!A99)</f>
        <v/>
      </c>
      <c r="B99" s="32">
        <v>1500.0</v>
      </c>
      <c r="C99" s="32" t="str">
        <f>IF('Résultats des tournois'!B99="","",B99+'K dynamique'!B99*((SQRT('Résultats des tournois'!B$2+1)/'Résultats des tournois'!B99)-(1/(1+10^((B99-B99)/400)))))</f>
        <v/>
      </c>
      <c r="D99" s="32" t="str">
        <f>IFERROR(__xludf.DUMMYFUNCTION("IF('Résultats des tournois'!C$2=0,"""",LET(
lastVal, INDEX(FILTER($B99:C99, ISNUMBER($B99:C99)), COUNTA(FILTER($B99:C99, ISNUMBER($B99:C99)))),
IFERROR(
IF('Résultats des tournois'!C99="""", INDEX(FILTER($C99:C99, ISNUMBER($C99:C99)), COUNTA(FILTER($C99:C"&amp;"99, ISNUMBER($C99:C99)))),
lastVal + 'K dynamique'!C99 * ((SQRT('Résultats des tournois'!C$2 + 1)/'Résultats des tournois'!C99) - (1 / (1 + 10^((C$103 - lastVal)/400)))))
)
))"),"")</f>
        <v/>
      </c>
      <c r="E99" s="32" t="str">
        <f>IFERROR(__xludf.DUMMYFUNCTION("IF('Résultats des tournois'!D$2=0,"""",LET(
lastVal, INDEX(FILTER($B99:D99, ISNUMBER($B99:D99)), COUNTA(FILTER($B99:D99, ISNUMBER($B99:D99)))),
IFERROR(
IF('Résultats des tournois'!D99="""", INDEX(FILTER($C99:D99, ISNUMBER($C99:D99)), COUNTA(FILTER($C99:D"&amp;"99, ISNUMBER($C99:D99)))),
lastVal + 'K dynamique'!D99 * ((SQRT('Résultats des tournois'!D$2 + 1)/'Résultats des tournois'!D99) - (1 / (1 + 10^((D$103 - lastVal)/400)))))
)
))"),"")</f>
        <v/>
      </c>
      <c r="F99" s="32" t="str">
        <f>IFERROR(__xludf.DUMMYFUNCTION("IF('Résultats des tournois'!E$2=0,"""",LET(
lastVal, INDEX(FILTER($B99:E99, ISNUMBER($B99:E99)), COUNTA(FILTER($B99:E99, ISNUMBER($B99:E99)))),
IFERROR(
IF('Résultats des tournois'!E99="""", INDEX(FILTER($C99:E99, ISNUMBER($C99:E99)), COUNTA(FILTER($C99:E"&amp;"99, ISNUMBER($C99:E99)))),
lastVal + 'K dynamique'!E99 * ((SQRT('Résultats des tournois'!E$2 + 1)/'Résultats des tournois'!E99) - (1 / (1 + 10^((E$103 - lastVal)/400)))))
)
))"),"")</f>
        <v/>
      </c>
      <c r="G99" s="32" t="str">
        <f>IFERROR(__xludf.DUMMYFUNCTION("IF('Résultats des tournois'!F$2=0,"""",LET(
lastVal, INDEX(FILTER($B99:F99, ISNUMBER($B99:F99)), COUNTA(FILTER($B99:F99, ISNUMBER($B99:F99)))),
IFERROR(
IF('Résultats des tournois'!F99="""", INDEX(FILTER($C99:F99, ISNUMBER($C99:F99)), COUNTA(FILTER($C99:F"&amp;"99, ISNUMBER($C99:F99)))),
lastVal + 'K dynamique'!F99 * ((SQRT('Résultats des tournois'!F$2 + 1)/'Résultats des tournois'!F99) - (1 / (1 + 10^((F$103 - lastVal)/400)))))
)
))"),"")</f>
        <v/>
      </c>
      <c r="H99" s="32" t="str">
        <f>IFERROR(__xludf.DUMMYFUNCTION("IF('Résultats des tournois'!G$2=0,"""",LET(
lastVal, INDEX(FILTER($B99:G99, ISNUMBER($B99:G99)), COUNTA(FILTER($B99:G99, ISNUMBER($B99:G99)))),
IFERROR(
IF('Résultats des tournois'!G99="""", INDEX(FILTER($C99:G99, ISNUMBER($C99:G99)), COUNTA(FILTER($C99:G"&amp;"99, ISNUMBER($C99:G99)))),
lastVal + 'K dynamique'!G99 * ((SQRT('Résultats des tournois'!G$2 + 1)/'Résultats des tournois'!G99) - (1 / (1 + 10^((G$103 - lastVal)/400)))))
)
))"),"")</f>
        <v/>
      </c>
      <c r="I99" s="32" t="str">
        <f>IFERROR(__xludf.DUMMYFUNCTION("IF('Résultats des tournois'!H$2=0,"""",LET(
lastVal, INDEX(FILTER($B99:H99, ISNUMBER($B99:H99)), COUNTA(FILTER($B99:H99, ISNUMBER($B99:H99)))),
IFERROR(
IF('Résultats des tournois'!H99="""", INDEX(FILTER($C99:H99, ISNUMBER($C99:H99)), COUNTA(FILTER($C99:H"&amp;"99, ISNUMBER($C99:H99)))),
lastVal + 'K dynamique'!H99 * ((SQRT('Résultats des tournois'!H$2 + 1)/'Résultats des tournois'!H99) - (1 / (1 + 10^((H$103 - lastVal)/400)))))
)
))"),"")</f>
        <v/>
      </c>
      <c r="J99" s="32" t="str">
        <f>IFERROR(__xludf.DUMMYFUNCTION("IF('Résultats des tournois'!I$2=0,"""",LET(
lastVal, INDEX(FILTER($B99:I99, ISNUMBER($B99:I99)), COUNTA(FILTER($B99:I99, ISNUMBER($B99:I99)))),
IFERROR(
IF('Résultats des tournois'!I99="""", INDEX(FILTER($C99:I99, ISNUMBER($C99:I99)), COUNTA(FILTER($C99:I"&amp;"99, ISNUMBER($C99:I99)))),
lastVal + 'K dynamique'!I99 * ((SQRT('Résultats des tournois'!I$2 + 1)/'Résultats des tournois'!I99) - (1 / (1 + 10^((I$103 - lastVal)/400)))))
)
))"),"")</f>
        <v/>
      </c>
      <c r="K99" s="32" t="str">
        <f>IFERROR(__xludf.DUMMYFUNCTION("IF('Résultats des tournois'!J$2=0,"""",LET(
lastVal, INDEX(FILTER($B99:J99, ISNUMBER($B99:J99)), COUNTA(FILTER($B99:J99, ISNUMBER($B99:J99)))),
IFERROR(
IF('Résultats des tournois'!J99="""", INDEX(FILTER($C99:J99, ISNUMBER($C99:J99)), COUNTA(FILTER($C99:J"&amp;"99, ISNUMBER($C99:J99)))),
lastVal + 'K dynamique'!J99 * ((SQRT('Résultats des tournois'!J$2 + 1)/'Résultats des tournois'!J99) - (1 / (1 + 10^((J$103 - lastVal)/400)))))
)
))"),"")</f>
        <v/>
      </c>
      <c r="L99" s="32" t="str">
        <f>IFERROR(__xludf.DUMMYFUNCTION("IF('Résultats des tournois'!K$2=0,"""",LET(
lastVal, INDEX(FILTER($B99:K99, ISNUMBER($B99:K99)), COUNTA(FILTER($B99:K99, ISNUMBER($B99:K99)))),
IFERROR(
IF('Résultats des tournois'!K99="""", INDEX(FILTER($C99:K99, ISNUMBER($C99:K99)), COUNTA(FILTER($C99:K"&amp;"99, ISNUMBER($C99:K99)))),
lastVal + 'K dynamique'!K99 * ((SQRT('Résultats des tournois'!K$2 + 1)/'Résultats des tournois'!K99) - (1 / (1 + 10^((K$103 - lastVal)/400)))))
)
))"),"")</f>
        <v/>
      </c>
      <c r="M99" s="32" t="str">
        <f>IFERROR(__xludf.DUMMYFUNCTION("IF('Résultats des tournois'!L$2=0,"""",LET(
lastVal, INDEX(FILTER($B99:L99, ISNUMBER($B99:L99)), COUNTA(FILTER($B99:L99, ISNUMBER($B99:L99)))),
IFERROR(
IF('Résultats des tournois'!L99="""", INDEX(FILTER($C99:L99, ISNUMBER($C99:L99)), COUNTA(FILTER($C99:L"&amp;"99, ISNUMBER($C99:L99)))),
lastVal + 'K dynamique'!L99 * ((SQRT('Résultats des tournois'!L$2 + 1)/'Résultats des tournois'!L99) - (1 / (1 + 10^((L$103 - lastVal)/400)))))
)
))"),"")</f>
        <v/>
      </c>
      <c r="N99" s="32" t="str">
        <f>IFERROR(__xludf.DUMMYFUNCTION("IF('Résultats des tournois'!M$2=0,"""",LET(
lastVal, INDEX(FILTER($B99:M99, ISNUMBER($B99:M99)), COUNTA(FILTER($B99:M99, ISNUMBER($B99:M99)))),
IFERROR(
IF('Résultats des tournois'!M99="""", INDEX(FILTER($C99:M99, ISNUMBER($C99:M99)), COUNTA(FILTER($C99:M"&amp;"99, ISNUMBER($C99:M99)))),
lastVal + 'K dynamique'!M99 * ((SQRT('Résultats des tournois'!M$2 + 1)/'Résultats des tournois'!M99) - (1 / (1 + 10^((M$103 - lastVal)/400)))))
)
))"),"")</f>
        <v/>
      </c>
      <c r="O99" s="32" t="str">
        <f>IFERROR(__xludf.DUMMYFUNCTION("IF('Résultats des tournois'!N$2=0,"""",LET(
lastVal, INDEX(FILTER($B99:N99, ISNUMBER($B99:N99)), COUNTA(FILTER($B99:N99, ISNUMBER($B99:N99)))),
IFERROR(
IF('Résultats des tournois'!N99="""", INDEX(FILTER($C99:N99, ISNUMBER($C99:N99)), COUNTA(FILTER($C99:N"&amp;"99, ISNUMBER($C99:N99)))),
lastVal + 'K dynamique'!N99 * ((SQRT('Résultats des tournois'!N$2 + 1)/'Résultats des tournois'!N99) - (1 / (1 + 10^((N$103 - lastVal)/400)))))
)
))"),"")</f>
        <v/>
      </c>
      <c r="P99" s="32" t="str">
        <f>IFERROR(__xludf.DUMMYFUNCTION("IF('Résultats des tournois'!O$2=0,"""",LET(
lastVal, INDEX(FILTER($B99:O99, ISNUMBER($B99:O99)), COUNTA(FILTER($B99:O99, ISNUMBER($B99:O99)))),
IFERROR(
IF('Résultats des tournois'!O99="""", INDEX(FILTER($C99:O99, ISNUMBER($C99:O99)), COUNTA(FILTER($C99:O"&amp;"99, ISNUMBER($C99:O99)))),
lastVal + 'K dynamique'!O99 * ((SQRT('Résultats des tournois'!O$2 + 1)/'Résultats des tournois'!O99) - (1 / (1 + 10^((O$103 - lastVal)/400)))))
)
))"),"")</f>
        <v/>
      </c>
      <c r="Q99" s="32" t="str">
        <f>IFERROR(__xludf.DUMMYFUNCTION("IF('Résultats des tournois'!P$2=0,"""",LET(
lastVal, INDEX(FILTER($B99:P99, ISNUMBER($B99:P99)), COUNTA(FILTER($B99:P99, ISNUMBER($B99:P99)))),
IFERROR(
IF('Résultats des tournois'!P99="""", INDEX(FILTER($C99:P99, ISNUMBER($C99:P99)), COUNTA(FILTER($C99:P"&amp;"99, ISNUMBER($C99:P99)))),
lastVal + 'K dynamique'!P99 * ((SQRT('Résultats des tournois'!P$2 + 1)/'Résultats des tournois'!P99) - (1 / (1 + 10^((P$103 - lastVal)/400)))))
)
))"),"")</f>
        <v/>
      </c>
      <c r="R99" s="32" t="str">
        <f>IFERROR(__xludf.DUMMYFUNCTION("IF('Résultats des tournois'!Q$2=0,"""",LET(
lastVal, INDEX(FILTER($B99:Q99, ISNUMBER($B99:Q99)), COUNTA(FILTER($B99:Q99, ISNUMBER($B99:Q99)))),
IFERROR(
IF('Résultats des tournois'!Q99="""", INDEX(FILTER($C99:Q99, ISNUMBER($C99:Q99)), COUNTA(FILTER($C99:Q"&amp;"99, ISNUMBER($C99:Q99)))),
lastVal + 'K dynamique'!Q99 * ((SQRT('Résultats des tournois'!Q$2 + 1)/'Résultats des tournois'!Q99) - (1 / (1 + 10^((Q$103 - lastVal)/400)))))
)
))"),"")</f>
        <v/>
      </c>
      <c r="S99" s="32" t="str">
        <f>IFERROR(__xludf.DUMMYFUNCTION("IF('Résultats des tournois'!R$2=0,"""",LET(
lastVal, INDEX(FILTER($B99:R99, ISNUMBER($B99:R99)), COUNTA(FILTER($B99:R99, ISNUMBER($B99:R99)))),
IFERROR(
IF('Résultats des tournois'!R99="""", INDEX(FILTER($C99:R99, ISNUMBER($C99:R99)), COUNTA(FILTER($C99:R"&amp;"99, ISNUMBER($C99:R99)))),
lastVal + 'K dynamique'!R99 * ((SQRT('Résultats des tournois'!R$2 + 1)/'Résultats des tournois'!R99) - (1 / (1 + 10^((R$103 - lastVal)/400)))))
)
))"),"")</f>
        <v/>
      </c>
      <c r="T99" s="32" t="str">
        <f>IFERROR(__xludf.DUMMYFUNCTION("IF('Résultats des tournois'!S$2=0,"""",LET(
lastVal, INDEX(FILTER($B99:S99, ISNUMBER($B99:S99)), COUNTA(FILTER($B99:S99, ISNUMBER($B99:S99)))),
IFERROR(
IF('Résultats des tournois'!S99="""", INDEX(FILTER($C99:S99, ISNUMBER($C99:S99)), COUNTA(FILTER($C99:S"&amp;"99, ISNUMBER($C99:S99)))),
lastVal + 'K dynamique'!S99 * ((SQRT('Résultats des tournois'!S$2 + 1)/'Résultats des tournois'!S99) - (1 / (1 + 10^((S$103 - lastVal)/400)))))
)
))"),"")</f>
        <v/>
      </c>
      <c r="U99" s="32" t="str">
        <f>IFERROR(__xludf.DUMMYFUNCTION("IF('Résultats des tournois'!T$2=0,"""",LET(
lastVal, INDEX(FILTER($B99:T99, ISNUMBER($B99:T99)), COUNTA(FILTER($B99:T99, ISNUMBER($B99:T99)))),
IFERROR(
IF('Résultats des tournois'!T99="""", INDEX(FILTER($C99:T99, ISNUMBER($C99:T99)), COUNTA(FILTER($C99:T"&amp;"99, ISNUMBER($C99:T99)))),
lastVal + 'K dynamique'!T99 * ((SQRT('Résultats des tournois'!T$2 + 1)/'Résultats des tournois'!T99) - (1 / (1 + 10^((T$103 - lastVal)/400)))))
)
))"),"")</f>
        <v/>
      </c>
      <c r="V99" s="32" t="str">
        <f>IFERROR(__xludf.DUMMYFUNCTION("IF('Résultats des tournois'!U$2=0,"""",LET(
lastVal, INDEX(FILTER($B99:U99, ISNUMBER($B99:U99)), COUNTA(FILTER($B99:U99, ISNUMBER($B99:U99)))),
IFERROR(
IF('Résultats des tournois'!U99="""", INDEX(FILTER($C99:U99, ISNUMBER($C99:U99)), COUNTA(FILTER($C99:U"&amp;"99, ISNUMBER($C99:U99)))),
lastVal + 'K dynamique'!U99 * ((SQRT('Résultats des tournois'!U$2 + 1)/'Résultats des tournois'!U99) - (1 / (1 + 10^((U$103 - lastVal)/400)))))
)
))"),"")</f>
        <v/>
      </c>
      <c r="W99" s="32" t="str">
        <f>IFERROR(__xludf.DUMMYFUNCTION("IF('Résultats des tournois'!V$2=0,"""",LET(
lastVal, INDEX(FILTER($B99:V99, ISNUMBER($B99:V99)), COUNTA(FILTER($B99:V99, ISNUMBER($B99:V99)))),
IFERROR(
IF('Résultats des tournois'!V99="""", INDEX(FILTER($C99:V99, ISNUMBER($C99:V99)), COUNTA(FILTER($C99:V"&amp;"99, ISNUMBER($C99:V99)))),
lastVal + 'K dynamique'!V99 * ((SQRT('Résultats des tournois'!V$2 + 1)/'Résultats des tournois'!V99) - (1 / (1 + 10^((V$103 - lastVal)/400)))))
)
))"),"")</f>
        <v/>
      </c>
      <c r="X99" s="32" t="str">
        <f>IFERROR(__xludf.DUMMYFUNCTION("IF('Résultats des tournois'!W$2=0,"""",LET(
lastVal, INDEX(FILTER($B99:W99, ISNUMBER($B99:W99)), COUNTA(FILTER($B99:W99, ISNUMBER($B99:W99)))),
IFERROR(
IF('Résultats des tournois'!W99="""", INDEX(FILTER($C99:W99, ISNUMBER($C99:W99)), COUNTA(FILTER($C99:W"&amp;"99, ISNUMBER($C99:W99)))),
lastVal + 'K dynamique'!W99 * ((SQRT('Résultats des tournois'!W$2 + 1)/'Résultats des tournois'!W99) - (1 / (1 + 10^((W$103 - lastVal)/400)))))
)
))"),"")</f>
        <v/>
      </c>
      <c r="Y99" s="32" t="str">
        <f>IFERROR(__xludf.DUMMYFUNCTION("IF('Résultats des tournois'!X$2=0,"""",LET(
lastVal, INDEX(FILTER($B99:X99, ISNUMBER($B99:X99)), COUNTA(FILTER($B99:X99, ISNUMBER($B99:X99)))),
IFERROR(
IF('Résultats des tournois'!X99="""", INDEX(FILTER($C99:X99, ISNUMBER($C99:X99)), COUNTA(FILTER($C99:X"&amp;"99, ISNUMBER($C99:X99)))),
lastVal + 'K dynamique'!X99 * ((SQRT('Résultats des tournois'!X$2 + 1)/'Résultats des tournois'!X99) - (1 / (1 + 10^((X$103 - lastVal)/400)))))
)
))"),"")</f>
        <v/>
      </c>
      <c r="Z99" s="32" t="str">
        <f>IFERROR(__xludf.DUMMYFUNCTION("IF('Résultats des tournois'!Y$2=0,"""",LET(
lastVal, INDEX(FILTER($B99:Y99, ISNUMBER($B99:Y99)), COUNTA(FILTER($B99:Y99, ISNUMBER($B99:Y99)))),
IFERROR(
IF('Résultats des tournois'!Y99="""", INDEX(FILTER($C99:Y99, ISNUMBER($C99:Y99)), COUNTA(FILTER($C99:Y"&amp;"99, ISNUMBER($C99:Y99)))),
lastVal + 'K dynamique'!Y99 * ((SQRT('Résultats des tournois'!Y$2 + 1)/'Résultats des tournois'!Y99) - (1 / (1 + 10^((Y$103 - lastVal)/400)))))
)
))"),"")</f>
        <v/>
      </c>
      <c r="AA99" s="32" t="str">
        <f>IFERROR(__xludf.DUMMYFUNCTION("IF('Résultats des tournois'!Z$2=0,"""",LET(
lastVal, INDEX(FILTER($B99:Z99, ISNUMBER($B99:Z99)), COUNTA(FILTER($B99:Z99, ISNUMBER($B99:Z99)))),
IFERROR(
IF('Résultats des tournois'!Z99="""", INDEX(FILTER($C99:Z99, ISNUMBER($C99:Z99)), COUNTA(FILTER($C99:Z"&amp;"99, ISNUMBER($C99:Z99)))),
lastVal + 'K dynamique'!Z99 * ((SQRT('Résultats des tournois'!Z$2 + 1)/'Résultats des tournois'!Z99) - (1 / (1 + 10^((Z$103 - lastVal)/400)))))
)
))"),"")</f>
        <v/>
      </c>
      <c r="AB99" s="32" t="str">
        <f>IFERROR(__xludf.DUMMYFUNCTION("IF('Résultats des tournois'!AA$2=0,"""",LET(
lastVal, INDEX(FILTER($B99:AA99, ISNUMBER($B99:AA99)), COUNTA(FILTER($B99:AA99, ISNUMBER($B99:AA99)))),
IFERROR(
IF('Résultats des tournois'!AA99="""", INDEX(FILTER($C99:AA99, ISNUMBER($C99:AA99)), COUNTA(FILTE"&amp;"R($C99:AA99, ISNUMBER($C99:AA99)))),
lastVal + 'K dynamique'!AA99 * ((SQRT('Résultats des tournois'!AA$2 + 1)/'Résultats des tournois'!AA99) - (1 / (1 + 10^((AA$103 - lastVal)/400)))))
)
))"),"")</f>
        <v/>
      </c>
      <c r="AC99" s="32" t="str">
        <f>IFERROR(__xludf.DUMMYFUNCTION("IF('Résultats des tournois'!AB$2=0,"""",LET(
lastVal, INDEX(FILTER($B99:AB99, ISNUMBER($B99:AB99)), COUNTA(FILTER($B99:AB99, ISNUMBER($B99:AB99)))),
IFERROR(
IF('Résultats des tournois'!AB99="""", INDEX(FILTER($C99:AB99, ISNUMBER($C99:AB99)), COUNTA(FILTE"&amp;"R($C99:AB99, ISNUMBER($C99:AB99)))),
lastVal + 'K dynamique'!AB99 * ((SQRT('Résultats des tournois'!AB$2 + 1)/'Résultats des tournois'!AB99) - (1 / (1 + 10^((AB$103 - lastVal)/400)))))
)
))"),"")</f>
        <v/>
      </c>
      <c r="AD99" s="32" t="str">
        <f>IFERROR(__xludf.DUMMYFUNCTION("IF('Résultats des tournois'!AC$2=0,"""",LET(
lastVal, INDEX(FILTER($B99:AC99, ISNUMBER($B99:AC99)), COUNTA(FILTER($B99:AC99, ISNUMBER($B99:AC99)))),
IFERROR(
IF('Résultats des tournois'!AC99="""", INDEX(FILTER($C99:AC99, ISNUMBER($C99:AC99)), COUNTA(FILTE"&amp;"R($C99:AC99, ISNUMBER($C99:AC99)))),
lastVal + 'K dynamique'!AC99 * ((SQRT('Résultats des tournois'!AC$2 + 1)/'Résultats des tournois'!AC99) - (1 / (1 + 10^((AC$103 - lastVal)/400)))))
)
))"),"")</f>
        <v/>
      </c>
      <c r="AE99" s="32" t="str">
        <f>IFERROR(__xludf.DUMMYFUNCTION("IF('Résultats des tournois'!AD$2=0,"""",LET(
lastVal, INDEX(FILTER($B99:AD99, ISNUMBER($B99:AD99)), COUNTA(FILTER($B99:AD99, ISNUMBER($B99:AD99)))),
IFERROR(
IF('Résultats des tournois'!AD99="""", INDEX(FILTER($C99:AD99, ISNUMBER($C99:AD99)), COUNTA(FILTE"&amp;"R($C99:AD99, ISNUMBER($C99:AD99)))),
lastVal + 'K dynamique'!AD99 * ((SQRT('Résultats des tournois'!AD$2 + 1)/'Résultats des tournois'!AD99) - (1 / (1 + 10^((AD$103 - lastVal)/400)))))
)
))"),"")</f>
        <v/>
      </c>
      <c r="AF99" s="32" t="str">
        <f>IFERROR(__xludf.DUMMYFUNCTION("IF('Résultats des tournois'!AE$2=0,"""",LET(
lastVal, INDEX(FILTER($B99:AE99, ISNUMBER($B99:AE99)), COUNTA(FILTER($B99:AE99, ISNUMBER($B99:AE99)))),
IFERROR(
IF('Résultats des tournois'!AE99="""", INDEX(FILTER($C99:AE99, ISNUMBER($C99:AE99)), COUNTA(FILTE"&amp;"R($C99:AE99, ISNUMBER($C99:AE99)))),
lastVal + 'K dynamique'!AE99 * ((SQRT('Résultats des tournois'!AE$2 + 1)/'Résultats des tournois'!AE99) - (1 / (1 + 10^((AE$103 - lastVal)/400)))))
)
))"),"")</f>
        <v/>
      </c>
      <c r="AG99" s="32" t="str">
        <f>IFERROR(__xludf.DUMMYFUNCTION("IF('Résultats des tournois'!AF$2=0,"""",LET(
lastVal, INDEX(FILTER($B99:AF99, ISNUMBER($B99:AF99)), COUNTA(FILTER($B99:AF99, ISNUMBER($B99:AF99)))),
IFERROR(
IF('Résultats des tournois'!AF99="""", INDEX(FILTER($C99:AF99, ISNUMBER($C99:AF99)), COUNTA(FILTE"&amp;"R($C99:AF99, ISNUMBER($C99:AF99)))),
lastVal + 'K dynamique'!AF99 * ((SQRT('Résultats des tournois'!AF$2 + 1)/'Résultats des tournois'!AF99) - (1 / (1 + 10^((AF$103 - lastVal)/400)))))
)
))"),"")</f>
        <v/>
      </c>
      <c r="AH99" s="32" t="str">
        <f>IFERROR(__xludf.DUMMYFUNCTION("IF('Résultats des tournois'!AG$2=0,"""",LET(
lastVal, INDEX(FILTER($B99:AG99, ISNUMBER($B99:AG99)), COUNTA(FILTER($B99:AG99, ISNUMBER($B99:AG99)))),
IFERROR(
IF('Résultats des tournois'!AG99="""", INDEX(FILTER($C99:AG99, ISNUMBER($C99:AG99)), COUNTA(FILTE"&amp;"R($C99:AG99, ISNUMBER($C99:AG99)))),
lastVal + 'K dynamique'!AG99 * ((SQRT('Résultats des tournois'!AG$2 + 1)/'Résultats des tournois'!AG99) - (1 / (1 + 10^((AG$103 - lastVal)/400)))))
)
))"),"")</f>
        <v/>
      </c>
      <c r="AI99" s="32" t="str">
        <f>IFERROR(__xludf.DUMMYFUNCTION("IF('Résultats des tournois'!AH$2=0,"""",LET(
lastVal, INDEX(FILTER($B99:AH99, ISNUMBER($B99:AH99)), COUNTA(FILTER($B99:AH99, ISNUMBER($B99:AH99)))),
IFERROR(
IF('Résultats des tournois'!AH99="""", INDEX(FILTER($C99:AH99, ISNUMBER($C99:AH99)), COUNTA(FILTE"&amp;"R($C99:AH99, ISNUMBER($C99:AH99)))),
lastVal + 'K dynamique'!AH99 * ((SQRT('Résultats des tournois'!AH$2 + 1)/'Résultats des tournois'!AH99) - (1 / (1 + 10^((AH$103 - lastVal)/400)))))
)
))"),"")</f>
        <v/>
      </c>
      <c r="AJ99" s="32" t="str">
        <f>IFERROR(__xludf.DUMMYFUNCTION("IF('Résultats des tournois'!AI$2=0,"""",LET(
lastVal, INDEX(FILTER($B99:AI99, ISNUMBER($B99:AI99)), COUNTA(FILTER($B99:AI99, ISNUMBER($B99:AI99)))),
IFERROR(
IF('Résultats des tournois'!AI99="""", INDEX(FILTER($C99:AI99, ISNUMBER($C99:AI99)), COUNTA(FILTE"&amp;"R($C99:AI99, ISNUMBER($C99:AI99)))),
lastVal + 'K dynamique'!AI99 * ((SQRT('Résultats des tournois'!AI$2 + 1)/'Résultats des tournois'!AI99) - (1 / (1 + 10^((AI$103 - lastVal)/400)))))
)
))"),"")</f>
        <v/>
      </c>
      <c r="AK99" s="32" t="str">
        <f>IFERROR(__xludf.DUMMYFUNCTION("IF('Résultats des tournois'!AJ$2=0,"""",LET(
lastVal, INDEX(FILTER($B99:AJ99, ISNUMBER($B99:AJ99)), COUNTA(FILTER($B99:AJ99, ISNUMBER($B99:AJ99)))),
IFERROR(
IF('Résultats des tournois'!AJ99="""", INDEX(FILTER($C99:AJ99, ISNUMBER($C99:AJ99)), COUNTA(FILTE"&amp;"R($C99:AJ99, ISNUMBER($C99:AJ99)))),
lastVal + 'K dynamique'!AJ99 * ((SQRT('Résultats des tournois'!AJ$2 + 1)/'Résultats des tournois'!AJ99) - (1 / (1 + 10^((AJ$103 - lastVal)/400)))))
)
))"),"")</f>
        <v/>
      </c>
      <c r="AL99" s="32" t="str">
        <f>IFERROR(__xludf.DUMMYFUNCTION("IF('Résultats des tournois'!AK$2=0,"""",LET(
lastVal, INDEX(FILTER($B99:AK99, ISNUMBER($B99:AK99)), COUNTA(FILTER($B99:AK99, ISNUMBER($B99:AK99)))),
IFERROR(
IF('Résultats des tournois'!AK99="""", INDEX(FILTER($C99:AK99, ISNUMBER($C99:AK99)), COUNTA(FILTE"&amp;"R($C99:AK99, ISNUMBER($C99:AK99)))),
lastVal + 'K dynamique'!AK99 * ((SQRT('Résultats des tournois'!AK$2 + 1)/'Résultats des tournois'!AK99) - (1 / (1 + 10^((AK$103 - lastVal)/400)))))
)
))"),"")</f>
        <v/>
      </c>
      <c r="AM99" s="32" t="str">
        <f>IFERROR(__xludf.DUMMYFUNCTION("IF('Résultats des tournois'!AL$2=0,"""",LET(
lastVal, INDEX(FILTER($B99:AL99, ISNUMBER($B99:AL99)), COUNTA(FILTER($B99:AL99, ISNUMBER($B99:AL99)))),
IFERROR(
IF('Résultats des tournois'!AL99="""", INDEX(FILTER($C99:AL99, ISNUMBER($C99:AL99)), COUNTA(FILTE"&amp;"R($C99:AL99, ISNUMBER($C99:AL99)))),
lastVal + 'K dynamique'!AL99 * ((SQRT('Résultats des tournois'!AL$2 + 1)/'Résultats des tournois'!AL99) - (1 / (1 + 10^((AL$103 - lastVal)/400)))))
)
))"),"")</f>
        <v/>
      </c>
      <c r="AN99" s="32" t="str">
        <f>IFERROR(__xludf.DUMMYFUNCTION("IF('Résultats des tournois'!AM$2=0,"""",LET(
lastVal, INDEX(FILTER($B99:AM99, ISNUMBER($B99:AM99)), COUNTA(FILTER($B99:AM99, ISNUMBER($B99:AM99)))),
IFERROR(
IF('Résultats des tournois'!AM99="""", INDEX(FILTER($C99:AM99, ISNUMBER($C99:AM99)), COUNTA(FILTE"&amp;"R($C99:AM99, ISNUMBER($C99:AM99)))),
lastVal + 'K dynamique'!AM99 * ((SQRT('Résultats des tournois'!AM$2 + 1)/'Résultats des tournois'!AM99) - (1 / (1 + 10^((AM$103 - lastVal)/400)))))
)
))"),"")</f>
        <v/>
      </c>
      <c r="AO99" s="32" t="str">
        <f>IFERROR(__xludf.DUMMYFUNCTION("IF('Résultats des tournois'!AN$2=0,"""",LET(
lastVal, INDEX(FILTER($B99:AN99, ISNUMBER($B99:AN99)), COUNTA(FILTER($B99:AN99, ISNUMBER($B99:AN99)))),
IFERROR(
IF('Résultats des tournois'!AN99="""", INDEX(FILTER($C99:AN99, ISNUMBER($C99:AN99)), COUNTA(FILTE"&amp;"R($C99:AN99, ISNUMBER($C99:AN99)))),
lastVal + 'K dynamique'!AN99 * ((SQRT('Résultats des tournois'!AN$2 + 1)/'Résultats des tournois'!AN99) - (1 / (1 + 10^((AN$103 - lastVal)/400)))))
)
))"),"")</f>
        <v/>
      </c>
      <c r="AP99" s="32" t="str">
        <f>IFERROR(__xludf.DUMMYFUNCTION("IF('Résultats des tournois'!AO$2=0,"""",LET(
lastVal, INDEX(FILTER($B99:AO99, ISNUMBER($B99:AO99)), COUNTA(FILTER($B99:AO99, ISNUMBER($B99:AO99)))),
IFERROR(
IF('Résultats des tournois'!AO99="""", INDEX(FILTER($C99:AO99, ISNUMBER($C99:AO99)), COUNTA(FILTE"&amp;"R($C99:AO99, ISNUMBER($C99:AO99)))),
lastVal + 'K dynamique'!AO99 * ((SQRT('Résultats des tournois'!AO$2 + 1)/'Résultats des tournois'!AO99) - (1 / (1 + 10^((AO$103 - lastVal)/400)))))
)
))"),"")</f>
        <v/>
      </c>
      <c r="AQ99" s="32" t="str">
        <f>IFERROR(__xludf.DUMMYFUNCTION("IF('Résultats des tournois'!AP$2=0,"""",LET(
lastVal, INDEX(FILTER($B99:AP99, ISNUMBER($B99:AP99)), COUNTA(FILTER($B99:AP99, ISNUMBER($B99:AP99)))),
IFERROR(
IF('Résultats des tournois'!AP99="""", INDEX(FILTER($C99:AP99, ISNUMBER($C99:AP99)), COUNTA(FILTE"&amp;"R($C99:AP99, ISNUMBER($C99:AP99)))),
lastVal + 'K dynamique'!AP99 * ((SQRT('Résultats des tournois'!AP$2 + 1)/'Résultats des tournois'!AP99) - (1 / (1 + 10^((AP$103 - lastVal)/400)))))
)
))"),"")</f>
        <v/>
      </c>
      <c r="AR99" s="32" t="str">
        <f>IFERROR(__xludf.DUMMYFUNCTION("IF('Résultats des tournois'!AQ$2=0,"""",LET(
lastVal, INDEX(FILTER($B99:AQ99, ISNUMBER($B99:AQ99)), COUNTA(FILTER($B99:AQ99, ISNUMBER($B99:AQ99)))),
IFERROR(
IF('Résultats des tournois'!AQ99="""", INDEX(FILTER($C99:AQ99, ISNUMBER($C99:AQ99)), COUNTA(FILTE"&amp;"R($C99:AQ99, ISNUMBER($C99:AQ99)))),
lastVal + 'K dynamique'!AQ99 * ((SQRT('Résultats des tournois'!AQ$2 + 1)/'Résultats des tournois'!AQ99) - (1 / (1 + 10^((AQ$103 - lastVal)/400)))))
)
))"),"")</f>
        <v/>
      </c>
      <c r="AS99" s="32" t="str">
        <f>IFERROR(__xludf.DUMMYFUNCTION("IF('Résultats des tournois'!AR$2=0,"""",LET(
lastVal, INDEX(FILTER($B99:AR99, ISNUMBER($B99:AR99)), COUNTA(FILTER($B99:AR99, ISNUMBER($B99:AR99)))),
IFERROR(
IF('Résultats des tournois'!AR99="""", INDEX(FILTER($C99:AR99, ISNUMBER($C99:AR99)), COUNTA(FILTE"&amp;"R($C99:AR99, ISNUMBER($C99:AR99)))),
lastVal + 'K dynamique'!AR99 * ((SQRT('Résultats des tournois'!AR$2 + 1)/'Résultats des tournois'!AR99) - (1 / (1 + 10^((AR$103 - lastVal)/400)))))
)
))"),"")</f>
        <v/>
      </c>
      <c r="AT99" s="32" t="str">
        <f>IFERROR(__xludf.DUMMYFUNCTION("IF('Résultats des tournois'!AS$2=0,"""",LET(
lastVal, INDEX(FILTER($B99:AS99, ISNUMBER($B99:AS99)), COUNTA(FILTER($B99:AS99, ISNUMBER($B99:AS99)))),
IFERROR(
IF('Résultats des tournois'!AS99="""", INDEX(FILTER($C99:AS99, ISNUMBER($C99:AS99)), COUNTA(FILTE"&amp;"R($C99:AS99, ISNUMBER($C99:AS99)))),
lastVal + 'K dynamique'!AS99 * ((SQRT('Résultats des tournois'!AS$2 + 1)/'Résultats des tournois'!AS99) - (1 / (1 + 10^((AS$103 - lastVal)/400)))))
)
))"),"")</f>
        <v/>
      </c>
      <c r="AU99" s="32" t="str">
        <f>IFERROR(__xludf.DUMMYFUNCTION("IF('Résultats des tournois'!AT$2=0,"""",LET(
lastVal, INDEX(FILTER($B99:AT99, ISNUMBER($B99:AT99)), COUNTA(FILTER($B99:AT99, ISNUMBER($B99:AT99)))),
IFERROR(
IF('Résultats des tournois'!AT99="""", INDEX(FILTER($C99:AT99, ISNUMBER($C99:AT99)), COUNTA(FILTE"&amp;"R($C99:AT99, ISNUMBER($C99:AT99)))),
lastVal + 'K dynamique'!AT99 * ((SQRT('Résultats des tournois'!AT$2 + 1)/'Résultats des tournois'!AT99) - (1 / (1 + 10^((AT$103 - lastVal)/400)))))
)
))"),"")</f>
        <v/>
      </c>
      <c r="AV99" s="32" t="str">
        <f>IFERROR(__xludf.DUMMYFUNCTION("IF('Résultats des tournois'!AU$2=0,"""",LET(
lastVal, INDEX(FILTER($B99:AU99, ISNUMBER($B99:AU99)), COUNTA(FILTER($B99:AU99, ISNUMBER($B99:AU99)))),
IFERROR(
IF('Résultats des tournois'!AU99="""", INDEX(FILTER($C99:AU99, ISNUMBER($C99:AU99)), COUNTA(FILTE"&amp;"R($C99:AU99, ISNUMBER($C99:AU99)))),
lastVal + 'K dynamique'!AU99 * ((SQRT('Résultats des tournois'!AU$2 + 1)/'Résultats des tournois'!AU99) - (1 / (1 + 10^((AU$103 - lastVal)/400)))))
)
))"),"")</f>
        <v/>
      </c>
      <c r="AW99" s="32" t="str">
        <f>IFERROR(__xludf.DUMMYFUNCTION("IF('Résultats des tournois'!AV$2=0,"""",LET(
lastVal, INDEX(FILTER($B99:AV99, ISNUMBER($B99:AV99)), COUNTA(FILTER($B99:AV99, ISNUMBER($B99:AV99)))),
IFERROR(
IF('Résultats des tournois'!AV99="""", INDEX(FILTER($C99:AV99, ISNUMBER($C99:AV99)), COUNTA(FILTE"&amp;"R($C99:AV99, ISNUMBER($C99:AV99)))),
lastVal + 'K dynamique'!AV99 * ((SQRT('Résultats des tournois'!AV$2 + 1)/'Résultats des tournois'!AV99) - (1 / (1 + 10^((AV$103 - lastVal)/400)))))
)
))"),"")</f>
        <v/>
      </c>
      <c r="AX99" s="32" t="str">
        <f>IFERROR(__xludf.DUMMYFUNCTION("IF('Résultats des tournois'!AW$2=0,"""",LET(
lastVal, INDEX(FILTER($B99:AW99, ISNUMBER($B99:AW99)), COUNTA(FILTER($B99:AW99, ISNUMBER($B99:AW99)))),
IFERROR(
IF('Résultats des tournois'!AW99="""", INDEX(FILTER($C99:AW99, ISNUMBER($C99:AW99)), COUNTA(FILTE"&amp;"R($C99:AW99, ISNUMBER($C99:AW99)))),
lastVal + 'K dynamique'!AW99 * ((SQRT('Résultats des tournois'!AW$2 + 1)/'Résultats des tournois'!AW99) - (1 / (1 + 10^((AW$103 - lastVal)/400)))))
)
))"),"")</f>
        <v/>
      </c>
      <c r="AY99" s="32" t="str">
        <f>IFERROR(__xludf.DUMMYFUNCTION("IF('Résultats des tournois'!AX$2=0,"""",LET(
lastVal, INDEX(FILTER($B99:AX99, ISNUMBER($B99:AX99)), COUNTA(FILTER($B99:AX99, ISNUMBER($B99:AX99)))),
IFERROR(
IF('Résultats des tournois'!AX99="""", INDEX(FILTER($C99:AX99, ISNUMBER($C99:AX99)), COUNTA(FILTE"&amp;"R($C99:AX99, ISNUMBER($C99:AX99)))),
lastVal + 'K dynamique'!AX99 * ((SQRT('Résultats des tournois'!AX$2 + 1)/'Résultats des tournois'!AX99) - (1 / (1 + 10^((AX$103 - lastVal)/400)))))
)
))"),"")</f>
        <v/>
      </c>
      <c r="AZ99" s="4" t="str">
        <f t="array" ref="AZ99">IF(MAX(($C99:AY99&lt;&gt;"")*COLUMN($C99:AY99))=0,"",INDEX($C99:AY99,1,MAX(($C99:AY99&lt;&gt;"")*COLUMN($C99:AY99))-COLUMN($C99)+1))</f>
        <v/>
      </c>
      <c r="BA99" s="33" t="str">
        <f t="shared" si="1"/>
        <v/>
      </c>
    </row>
    <row r="100" ht="14.25" customHeight="1">
      <c r="A100" s="32" t="str">
        <f>IF('Résultats des tournois'!A100="","",'Résultats des tournois'!A100)</f>
        <v/>
      </c>
      <c r="B100" s="32">
        <v>1500.0</v>
      </c>
      <c r="C100" s="32" t="str">
        <f>IF('Résultats des tournois'!B100="","",B100+'K dynamique'!B100*((SQRT('Résultats des tournois'!B$2+1)/'Résultats des tournois'!B100)-(1/(1+10^((B100-B100)/400)))))</f>
        <v/>
      </c>
      <c r="D100" s="32" t="str">
        <f>IFERROR(__xludf.DUMMYFUNCTION("IF('Résultats des tournois'!C$2=0,"""",LET(
lastVal, INDEX(FILTER($B100:C100, ISNUMBER($B100:C100)), COUNTA(FILTER($B100:C100, ISNUMBER($B100:C100)))),
IFERROR(
IF('Résultats des tournois'!C100="""", INDEX(FILTER($C100:C100, ISNUMBER($C100:C100)), COUNTA("&amp;"FILTER($C100:C100, ISNUMBER($C100:C100)))),
lastVal + 'K dynamique'!C100 * ((SQRT('Résultats des tournois'!C$2 + 1)/'Résultats des tournois'!C100) - (1 / (1 + 10^((C$103 - lastVal)/400)))))
)
))"),"")</f>
        <v/>
      </c>
      <c r="E100" s="32" t="str">
        <f>IFERROR(__xludf.DUMMYFUNCTION("IF('Résultats des tournois'!D$2=0,"""",LET(
lastVal, INDEX(FILTER($B100:D100, ISNUMBER($B100:D100)), COUNTA(FILTER($B100:D100, ISNUMBER($B100:D100)))),
IFERROR(
IF('Résultats des tournois'!D100="""", INDEX(FILTER($C100:D100, ISNUMBER($C100:D100)), COUNTA("&amp;"FILTER($C100:D100, ISNUMBER($C100:D100)))),
lastVal + 'K dynamique'!D100 * ((SQRT('Résultats des tournois'!D$2 + 1)/'Résultats des tournois'!D100) - (1 / (1 + 10^((D$103 - lastVal)/400)))))
)
))"),"")</f>
        <v/>
      </c>
      <c r="F100" s="32" t="str">
        <f>IFERROR(__xludf.DUMMYFUNCTION("IF('Résultats des tournois'!E$2=0,"""",LET(
lastVal, INDEX(FILTER($B100:E100, ISNUMBER($B100:E100)), COUNTA(FILTER($B100:E100, ISNUMBER($B100:E100)))),
IFERROR(
IF('Résultats des tournois'!E100="""", INDEX(FILTER($C100:E100, ISNUMBER($C100:E100)), COUNTA("&amp;"FILTER($C100:E100, ISNUMBER($C100:E100)))),
lastVal + 'K dynamique'!E100 * ((SQRT('Résultats des tournois'!E$2 + 1)/'Résultats des tournois'!E100) - (1 / (1 + 10^((E$103 - lastVal)/400)))))
)
))"),"")</f>
        <v/>
      </c>
      <c r="G100" s="32" t="str">
        <f>IFERROR(__xludf.DUMMYFUNCTION("IF('Résultats des tournois'!F$2=0,"""",LET(
lastVal, INDEX(FILTER($B100:F100, ISNUMBER($B100:F100)), COUNTA(FILTER($B100:F100, ISNUMBER($B100:F100)))),
IFERROR(
IF('Résultats des tournois'!F100="""", INDEX(FILTER($C100:F100, ISNUMBER($C100:F100)), COUNTA("&amp;"FILTER($C100:F100, ISNUMBER($C100:F100)))),
lastVal + 'K dynamique'!F100 * ((SQRT('Résultats des tournois'!F$2 + 1)/'Résultats des tournois'!F100) - (1 / (1 + 10^((F$103 - lastVal)/400)))))
)
))"),"")</f>
        <v/>
      </c>
      <c r="H100" s="32" t="str">
        <f>IFERROR(__xludf.DUMMYFUNCTION("IF('Résultats des tournois'!G$2=0,"""",LET(
lastVal, INDEX(FILTER($B100:G100, ISNUMBER($B100:G100)), COUNTA(FILTER($B100:G100, ISNUMBER($B100:G100)))),
IFERROR(
IF('Résultats des tournois'!G100="""", INDEX(FILTER($C100:G100, ISNUMBER($C100:G100)), COUNTA("&amp;"FILTER($C100:G100, ISNUMBER($C100:G100)))),
lastVal + 'K dynamique'!G100 * ((SQRT('Résultats des tournois'!G$2 + 1)/'Résultats des tournois'!G100) - (1 / (1 + 10^((G$103 - lastVal)/400)))))
)
))"),"")</f>
        <v/>
      </c>
      <c r="I100" s="32" t="str">
        <f>IFERROR(__xludf.DUMMYFUNCTION("IF('Résultats des tournois'!H$2=0,"""",LET(
lastVal, INDEX(FILTER($B100:H100, ISNUMBER($B100:H100)), COUNTA(FILTER($B100:H100, ISNUMBER($B100:H100)))),
IFERROR(
IF('Résultats des tournois'!H100="""", INDEX(FILTER($C100:H100, ISNUMBER($C100:H100)), COUNTA("&amp;"FILTER($C100:H100, ISNUMBER($C100:H100)))),
lastVal + 'K dynamique'!H100 * ((SQRT('Résultats des tournois'!H$2 + 1)/'Résultats des tournois'!H100) - (1 / (1 + 10^((H$103 - lastVal)/400)))))
)
))"),"")</f>
        <v/>
      </c>
      <c r="J100" s="32" t="str">
        <f>IFERROR(__xludf.DUMMYFUNCTION("IF('Résultats des tournois'!I$2=0,"""",LET(
lastVal, INDEX(FILTER($B100:I100, ISNUMBER($B100:I100)), COUNTA(FILTER($B100:I100, ISNUMBER($B100:I100)))),
IFERROR(
IF('Résultats des tournois'!I100="""", INDEX(FILTER($C100:I100, ISNUMBER($C100:I100)), COUNTA("&amp;"FILTER($C100:I100, ISNUMBER($C100:I100)))),
lastVal + 'K dynamique'!I100 * ((SQRT('Résultats des tournois'!I$2 + 1)/'Résultats des tournois'!I100) - (1 / (1 + 10^((I$103 - lastVal)/400)))))
)
))"),"")</f>
        <v/>
      </c>
      <c r="K100" s="32" t="str">
        <f>IFERROR(__xludf.DUMMYFUNCTION("IF('Résultats des tournois'!J$2=0,"""",LET(
lastVal, INDEX(FILTER($B100:J100, ISNUMBER($B100:J100)), COUNTA(FILTER($B100:J100, ISNUMBER($B100:J100)))),
IFERROR(
IF('Résultats des tournois'!J100="""", INDEX(FILTER($C100:J100, ISNUMBER($C100:J100)), COUNTA("&amp;"FILTER($C100:J100, ISNUMBER($C100:J100)))),
lastVal + 'K dynamique'!J100 * ((SQRT('Résultats des tournois'!J$2 + 1)/'Résultats des tournois'!J100) - (1 / (1 + 10^((J$103 - lastVal)/400)))))
)
))"),"")</f>
        <v/>
      </c>
      <c r="L100" s="32" t="str">
        <f>IFERROR(__xludf.DUMMYFUNCTION("IF('Résultats des tournois'!K$2=0,"""",LET(
lastVal, INDEX(FILTER($B100:K100, ISNUMBER($B100:K100)), COUNTA(FILTER($B100:K100, ISNUMBER($B100:K100)))),
IFERROR(
IF('Résultats des tournois'!K100="""", INDEX(FILTER($C100:K100, ISNUMBER($C100:K100)), COUNTA("&amp;"FILTER($C100:K100, ISNUMBER($C100:K100)))),
lastVal + 'K dynamique'!K100 * ((SQRT('Résultats des tournois'!K$2 + 1)/'Résultats des tournois'!K100) - (1 / (1 + 10^((K$103 - lastVal)/400)))))
)
))"),"")</f>
        <v/>
      </c>
      <c r="M100" s="32" t="str">
        <f>IFERROR(__xludf.DUMMYFUNCTION("IF('Résultats des tournois'!L$2=0,"""",LET(
lastVal, INDEX(FILTER($B100:L100, ISNUMBER($B100:L100)), COUNTA(FILTER($B100:L100, ISNUMBER($B100:L100)))),
IFERROR(
IF('Résultats des tournois'!L100="""", INDEX(FILTER($C100:L100, ISNUMBER($C100:L100)), COUNTA("&amp;"FILTER($C100:L100, ISNUMBER($C100:L100)))),
lastVal + 'K dynamique'!L100 * ((SQRT('Résultats des tournois'!L$2 + 1)/'Résultats des tournois'!L100) - (1 / (1 + 10^((L$103 - lastVal)/400)))))
)
))"),"")</f>
        <v/>
      </c>
      <c r="N100" s="32" t="str">
        <f>IFERROR(__xludf.DUMMYFUNCTION("IF('Résultats des tournois'!M$2=0,"""",LET(
lastVal, INDEX(FILTER($B100:M100, ISNUMBER($B100:M100)), COUNTA(FILTER($B100:M100, ISNUMBER($B100:M100)))),
IFERROR(
IF('Résultats des tournois'!M100="""", INDEX(FILTER($C100:M100, ISNUMBER($C100:M100)), COUNTA("&amp;"FILTER($C100:M100, ISNUMBER($C100:M100)))),
lastVal + 'K dynamique'!M100 * ((SQRT('Résultats des tournois'!M$2 + 1)/'Résultats des tournois'!M100) - (1 / (1 + 10^((M$103 - lastVal)/400)))))
)
))"),"")</f>
        <v/>
      </c>
      <c r="O100" s="32" t="str">
        <f>IFERROR(__xludf.DUMMYFUNCTION("IF('Résultats des tournois'!N$2=0,"""",LET(
lastVal, INDEX(FILTER($B100:N100, ISNUMBER($B100:N100)), COUNTA(FILTER($B100:N100, ISNUMBER($B100:N100)))),
IFERROR(
IF('Résultats des tournois'!N100="""", INDEX(FILTER($C100:N100, ISNUMBER($C100:N100)), COUNTA("&amp;"FILTER($C100:N100, ISNUMBER($C100:N100)))),
lastVal + 'K dynamique'!N100 * ((SQRT('Résultats des tournois'!N$2 + 1)/'Résultats des tournois'!N100) - (1 / (1 + 10^((N$103 - lastVal)/400)))))
)
))"),"")</f>
        <v/>
      </c>
      <c r="P100" s="32" t="str">
        <f>IFERROR(__xludf.DUMMYFUNCTION("IF('Résultats des tournois'!O$2=0,"""",LET(
lastVal, INDEX(FILTER($B100:O100, ISNUMBER($B100:O100)), COUNTA(FILTER($B100:O100, ISNUMBER($B100:O100)))),
IFERROR(
IF('Résultats des tournois'!O100="""", INDEX(FILTER($C100:O100, ISNUMBER($C100:O100)), COUNTA("&amp;"FILTER($C100:O100, ISNUMBER($C100:O100)))),
lastVal + 'K dynamique'!O100 * ((SQRT('Résultats des tournois'!O$2 + 1)/'Résultats des tournois'!O100) - (1 / (1 + 10^((O$103 - lastVal)/400)))))
)
))"),"")</f>
        <v/>
      </c>
      <c r="Q100" s="32" t="str">
        <f>IFERROR(__xludf.DUMMYFUNCTION("IF('Résultats des tournois'!P$2=0,"""",LET(
lastVal, INDEX(FILTER($B100:P100, ISNUMBER($B100:P100)), COUNTA(FILTER($B100:P100, ISNUMBER($B100:P100)))),
IFERROR(
IF('Résultats des tournois'!P100="""", INDEX(FILTER($C100:P100, ISNUMBER($C100:P100)), COUNTA("&amp;"FILTER($C100:P100, ISNUMBER($C100:P100)))),
lastVal + 'K dynamique'!P100 * ((SQRT('Résultats des tournois'!P$2 + 1)/'Résultats des tournois'!P100) - (1 / (1 + 10^((P$103 - lastVal)/400)))))
)
))"),"")</f>
        <v/>
      </c>
      <c r="R100" s="32" t="str">
        <f>IFERROR(__xludf.DUMMYFUNCTION("IF('Résultats des tournois'!Q$2=0,"""",LET(
lastVal, INDEX(FILTER($B100:Q100, ISNUMBER($B100:Q100)), COUNTA(FILTER($B100:Q100, ISNUMBER($B100:Q100)))),
IFERROR(
IF('Résultats des tournois'!Q100="""", INDEX(FILTER($C100:Q100, ISNUMBER($C100:Q100)), COUNTA("&amp;"FILTER($C100:Q100, ISNUMBER($C100:Q100)))),
lastVal + 'K dynamique'!Q100 * ((SQRT('Résultats des tournois'!Q$2 + 1)/'Résultats des tournois'!Q100) - (1 / (1 + 10^((Q$103 - lastVal)/400)))))
)
))"),"")</f>
        <v/>
      </c>
      <c r="S100" s="32" t="str">
        <f>IFERROR(__xludf.DUMMYFUNCTION("IF('Résultats des tournois'!R$2=0,"""",LET(
lastVal, INDEX(FILTER($B100:R100, ISNUMBER($B100:R100)), COUNTA(FILTER($B100:R100, ISNUMBER($B100:R100)))),
IFERROR(
IF('Résultats des tournois'!R100="""", INDEX(FILTER($C100:R100, ISNUMBER($C100:R100)), COUNTA("&amp;"FILTER($C100:R100, ISNUMBER($C100:R100)))),
lastVal + 'K dynamique'!R100 * ((SQRT('Résultats des tournois'!R$2 + 1)/'Résultats des tournois'!R100) - (1 / (1 + 10^((R$103 - lastVal)/400)))))
)
))"),"")</f>
        <v/>
      </c>
      <c r="T100" s="32" t="str">
        <f>IFERROR(__xludf.DUMMYFUNCTION("IF('Résultats des tournois'!S$2=0,"""",LET(
lastVal, INDEX(FILTER($B100:S100, ISNUMBER($B100:S100)), COUNTA(FILTER($B100:S100, ISNUMBER($B100:S100)))),
IFERROR(
IF('Résultats des tournois'!S100="""", INDEX(FILTER($C100:S100, ISNUMBER($C100:S100)), COUNTA("&amp;"FILTER($C100:S100, ISNUMBER($C100:S100)))),
lastVal + 'K dynamique'!S100 * ((SQRT('Résultats des tournois'!S$2 + 1)/'Résultats des tournois'!S100) - (1 / (1 + 10^((S$103 - lastVal)/400)))))
)
))"),"")</f>
        <v/>
      </c>
      <c r="U100" s="32" t="str">
        <f>IFERROR(__xludf.DUMMYFUNCTION("IF('Résultats des tournois'!T$2=0,"""",LET(
lastVal, INDEX(FILTER($B100:T100, ISNUMBER($B100:T100)), COUNTA(FILTER($B100:T100, ISNUMBER($B100:T100)))),
IFERROR(
IF('Résultats des tournois'!T100="""", INDEX(FILTER($C100:T100, ISNUMBER($C100:T100)), COUNTA("&amp;"FILTER($C100:T100, ISNUMBER($C100:T100)))),
lastVal + 'K dynamique'!T100 * ((SQRT('Résultats des tournois'!T$2 + 1)/'Résultats des tournois'!T100) - (1 / (1 + 10^((T$103 - lastVal)/400)))))
)
))"),"")</f>
        <v/>
      </c>
      <c r="V100" s="32" t="str">
        <f>IFERROR(__xludf.DUMMYFUNCTION("IF('Résultats des tournois'!U$2=0,"""",LET(
lastVal, INDEX(FILTER($B100:U100, ISNUMBER($B100:U100)), COUNTA(FILTER($B100:U100, ISNUMBER($B100:U100)))),
IFERROR(
IF('Résultats des tournois'!U100="""", INDEX(FILTER($C100:U100, ISNUMBER($C100:U100)), COUNTA("&amp;"FILTER($C100:U100, ISNUMBER($C100:U100)))),
lastVal + 'K dynamique'!U100 * ((SQRT('Résultats des tournois'!U$2 + 1)/'Résultats des tournois'!U100) - (1 / (1 + 10^((U$103 - lastVal)/400)))))
)
))"),"")</f>
        <v/>
      </c>
      <c r="W100" s="32" t="str">
        <f>IFERROR(__xludf.DUMMYFUNCTION("IF('Résultats des tournois'!V$2=0,"""",LET(
lastVal, INDEX(FILTER($B100:V100, ISNUMBER($B100:V100)), COUNTA(FILTER($B100:V100, ISNUMBER($B100:V100)))),
IFERROR(
IF('Résultats des tournois'!V100="""", INDEX(FILTER($C100:V100, ISNUMBER($C100:V100)), COUNTA("&amp;"FILTER($C100:V100, ISNUMBER($C100:V100)))),
lastVal + 'K dynamique'!V100 * ((SQRT('Résultats des tournois'!V$2 + 1)/'Résultats des tournois'!V100) - (1 / (1 + 10^((V$103 - lastVal)/400)))))
)
))"),"")</f>
        <v/>
      </c>
      <c r="X100" s="32" t="str">
        <f>IFERROR(__xludf.DUMMYFUNCTION("IF('Résultats des tournois'!W$2=0,"""",LET(
lastVal, INDEX(FILTER($B100:W100, ISNUMBER($B100:W100)), COUNTA(FILTER($B100:W100, ISNUMBER($B100:W100)))),
IFERROR(
IF('Résultats des tournois'!W100="""", INDEX(FILTER($C100:W100, ISNUMBER($C100:W100)), COUNTA("&amp;"FILTER($C100:W100, ISNUMBER($C100:W100)))),
lastVal + 'K dynamique'!W100 * ((SQRT('Résultats des tournois'!W$2 + 1)/'Résultats des tournois'!W100) - (1 / (1 + 10^((W$103 - lastVal)/400)))))
)
))"),"")</f>
        <v/>
      </c>
      <c r="Y100" s="32" t="str">
        <f>IFERROR(__xludf.DUMMYFUNCTION("IF('Résultats des tournois'!X$2=0,"""",LET(
lastVal, INDEX(FILTER($B100:X100, ISNUMBER($B100:X100)), COUNTA(FILTER($B100:X100, ISNUMBER($B100:X100)))),
IFERROR(
IF('Résultats des tournois'!X100="""", INDEX(FILTER($C100:X100, ISNUMBER($C100:X100)), COUNTA("&amp;"FILTER($C100:X100, ISNUMBER($C100:X100)))),
lastVal + 'K dynamique'!X100 * ((SQRT('Résultats des tournois'!X$2 + 1)/'Résultats des tournois'!X100) - (1 / (1 + 10^((X$103 - lastVal)/400)))))
)
))"),"")</f>
        <v/>
      </c>
      <c r="Z100" s="32" t="str">
        <f>IFERROR(__xludf.DUMMYFUNCTION("IF('Résultats des tournois'!Y$2=0,"""",LET(
lastVal, INDEX(FILTER($B100:Y100, ISNUMBER($B100:Y100)), COUNTA(FILTER($B100:Y100, ISNUMBER($B100:Y100)))),
IFERROR(
IF('Résultats des tournois'!Y100="""", INDEX(FILTER($C100:Y100, ISNUMBER($C100:Y100)), COUNTA("&amp;"FILTER($C100:Y100, ISNUMBER($C100:Y100)))),
lastVal + 'K dynamique'!Y100 * ((SQRT('Résultats des tournois'!Y$2 + 1)/'Résultats des tournois'!Y100) - (1 / (1 + 10^((Y$103 - lastVal)/400)))))
)
))"),"")</f>
        <v/>
      </c>
      <c r="AA100" s="32" t="str">
        <f>IFERROR(__xludf.DUMMYFUNCTION("IF('Résultats des tournois'!Z$2=0,"""",LET(
lastVal, INDEX(FILTER($B100:Z100, ISNUMBER($B100:Z100)), COUNTA(FILTER($B100:Z100, ISNUMBER($B100:Z100)))),
IFERROR(
IF('Résultats des tournois'!Z100="""", INDEX(FILTER($C100:Z100, ISNUMBER($C100:Z100)), COUNTA("&amp;"FILTER($C100:Z100, ISNUMBER($C100:Z100)))),
lastVal + 'K dynamique'!Z100 * ((SQRT('Résultats des tournois'!Z$2 + 1)/'Résultats des tournois'!Z100) - (1 / (1 + 10^((Z$103 - lastVal)/400)))))
)
))"),"")</f>
        <v/>
      </c>
      <c r="AB100" s="32" t="str">
        <f>IFERROR(__xludf.DUMMYFUNCTION("IF('Résultats des tournois'!AA$2=0,"""",LET(
lastVal, INDEX(FILTER($B100:AA100, ISNUMBER($B100:AA100)), COUNTA(FILTER($B100:AA100, ISNUMBER($B100:AA100)))),
IFERROR(
IF('Résultats des tournois'!AA100="""", INDEX(FILTER($C100:AA100, ISNUMBER($C100:AA100)),"&amp;" COUNTA(FILTER($C100:AA100, ISNUMBER($C100:AA100)))),
lastVal + 'K dynamique'!AA100 * ((SQRT('Résultats des tournois'!AA$2 + 1)/'Résultats des tournois'!AA100) - (1 / (1 + 10^((AA$103 - lastVal)/400)))))
)
))"),"")</f>
        <v/>
      </c>
      <c r="AC100" s="32" t="str">
        <f>IFERROR(__xludf.DUMMYFUNCTION("IF('Résultats des tournois'!AB$2=0,"""",LET(
lastVal, INDEX(FILTER($B100:AB100, ISNUMBER($B100:AB100)), COUNTA(FILTER($B100:AB100, ISNUMBER($B100:AB100)))),
IFERROR(
IF('Résultats des tournois'!AB100="""", INDEX(FILTER($C100:AB100, ISNUMBER($C100:AB100)),"&amp;" COUNTA(FILTER($C100:AB100, ISNUMBER($C100:AB100)))),
lastVal + 'K dynamique'!AB100 * ((SQRT('Résultats des tournois'!AB$2 + 1)/'Résultats des tournois'!AB100) - (1 / (1 + 10^((AB$103 - lastVal)/400)))))
)
))"),"")</f>
        <v/>
      </c>
      <c r="AD100" s="32" t="str">
        <f>IFERROR(__xludf.DUMMYFUNCTION("IF('Résultats des tournois'!AC$2=0,"""",LET(
lastVal, INDEX(FILTER($B100:AC100, ISNUMBER($B100:AC100)), COUNTA(FILTER($B100:AC100, ISNUMBER($B100:AC100)))),
IFERROR(
IF('Résultats des tournois'!AC100="""", INDEX(FILTER($C100:AC100, ISNUMBER($C100:AC100)),"&amp;" COUNTA(FILTER($C100:AC100, ISNUMBER($C100:AC100)))),
lastVal + 'K dynamique'!AC100 * ((SQRT('Résultats des tournois'!AC$2 + 1)/'Résultats des tournois'!AC100) - (1 / (1 + 10^((AC$103 - lastVal)/400)))))
)
))"),"")</f>
        <v/>
      </c>
      <c r="AE100" s="32" t="str">
        <f>IFERROR(__xludf.DUMMYFUNCTION("IF('Résultats des tournois'!AD$2=0,"""",LET(
lastVal, INDEX(FILTER($B100:AD100, ISNUMBER($B100:AD100)), COUNTA(FILTER($B100:AD100, ISNUMBER($B100:AD100)))),
IFERROR(
IF('Résultats des tournois'!AD100="""", INDEX(FILTER($C100:AD100, ISNUMBER($C100:AD100)),"&amp;" COUNTA(FILTER($C100:AD100, ISNUMBER($C100:AD100)))),
lastVal + 'K dynamique'!AD100 * ((SQRT('Résultats des tournois'!AD$2 + 1)/'Résultats des tournois'!AD100) - (1 / (1 + 10^((AD$103 - lastVal)/400)))))
)
))"),"")</f>
        <v/>
      </c>
      <c r="AF100" s="32" t="str">
        <f>IFERROR(__xludf.DUMMYFUNCTION("IF('Résultats des tournois'!AE$2=0,"""",LET(
lastVal, INDEX(FILTER($B100:AE100, ISNUMBER($B100:AE100)), COUNTA(FILTER($B100:AE100, ISNUMBER($B100:AE100)))),
IFERROR(
IF('Résultats des tournois'!AE100="""", INDEX(FILTER($C100:AE100, ISNUMBER($C100:AE100)),"&amp;" COUNTA(FILTER($C100:AE100, ISNUMBER($C100:AE100)))),
lastVal + 'K dynamique'!AE100 * ((SQRT('Résultats des tournois'!AE$2 + 1)/'Résultats des tournois'!AE100) - (1 / (1 + 10^((AE$103 - lastVal)/400)))))
)
))"),"")</f>
        <v/>
      </c>
      <c r="AG100" s="32" t="str">
        <f>IFERROR(__xludf.DUMMYFUNCTION("IF('Résultats des tournois'!AF$2=0,"""",LET(
lastVal, INDEX(FILTER($B100:AF100, ISNUMBER($B100:AF100)), COUNTA(FILTER($B100:AF100, ISNUMBER($B100:AF100)))),
IFERROR(
IF('Résultats des tournois'!AF100="""", INDEX(FILTER($C100:AF100, ISNUMBER($C100:AF100)),"&amp;" COUNTA(FILTER($C100:AF100, ISNUMBER($C100:AF100)))),
lastVal + 'K dynamique'!AF100 * ((SQRT('Résultats des tournois'!AF$2 + 1)/'Résultats des tournois'!AF100) - (1 / (1 + 10^((AF$103 - lastVal)/400)))))
)
))"),"")</f>
        <v/>
      </c>
      <c r="AH100" s="32" t="str">
        <f>IFERROR(__xludf.DUMMYFUNCTION("IF('Résultats des tournois'!AG$2=0,"""",LET(
lastVal, INDEX(FILTER($B100:AG100, ISNUMBER($B100:AG100)), COUNTA(FILTER($B100:AG100, ISNUMBER($B100:AG100)))),
IFERROR(
IF('Résultats des tournois'!AG100="""", INDEX(FILTER($C100:AG100, ISNUMBER($C100:AG100)),"&amp;" COUNTA(FILTER($C100:AG100, ISNUMBER($C100:AG100)))),
lastVal + 'K dynamique'!AG100 * ((SQRT('Résultats des tournois'!AG$2 + 1)/'Résultats des tournois'!AG100) - (1 / (1 + 10^((AG$103 - lastVal)/400)))))
)
))"),"")</f>
        <v/>
      </c>
      <c r="AI100" s="32" t="str">
        <f>IFERROR(__xludf.DUMMYFUNCTION("IF('Résultats des tournois'!AH$2=0,"""",LET(
lastVal, INDEX(FILTER($B100:AH100, ISNUMBER($B100:AH100)), COUNTA(FILTER($B100:AH100, ISNUMBER($B100:AH100)))),
IFERROR(
IF('Résultats des tournois'!AH100="""", INDEX(FILTER($C100:AH100, ISNUMBER($C100:AH100)),"&amp;" COUNTA(FILTER($C100:AH100, ISNUMBER($C100:AH100)))),
lastVal + 'K dynamique'!AH100 * ((SQRT('Résultats des tournois'!AH$2 + 1)/'Résultats des tournois'!AH100) - (1 / (1 + 10^((AH$103 - lastVal)/400)))))
)
))"),"")</f>
        <v/>
      </c>
      <c r="AJ100" s="32" t="str">
        <f>IFERROR(__xludf.DUMMYFUNCTION("IF('Résultats des tournois'!AI$2=0,"""",LET(
lastVal, INDEX(FILTER($B100:AI100, ISNUMBER($B100:AI100)), COUNTA(FILTER($B100:AI100, ISNUMBER($B100:AI100)))),
IFERROR(
IF('Résultats des tournois'!AI100="""", INDEX(FILTER($C100:AI100, ISNUMBER($C100:AI100)),"&amp;" COUNTA(FILTER($C100:AI100, ISNUMBER($C100:AI100)))),
lastVal + 'K dynamique'!AI100 * ((SQRT('Résultats des tournois'!AI$2 + 1)/'Résultats des tournois'!AI100) - (1 / (1 + 10^((AI$103 - lastVal)/400)))))
)
))"),"")</f>
        <v/>
      </c>
      <c r="AK100" s="32" t="str">
        <f>IFERROR(__xludf.DUMMYFUNCTION("IF('Résultats des tournois'!AJ$2=0,"""",LET(
lastVal, INDEX(FILTER($B100:AJ100, ISNUMBER($B100:AJ100)), COUNTA(FILTER($B100:AJ100, ISNUMBER($B100:AJ100)))),
IFERROR(
IF('Résultats des tournois'!AJ100="""", INDEX(FILTER($C100:AJ100, ISNUMBER($C100:AJ100)),"&amp;" COUNTA(FILTER($C100:AJ100, ISNUMBER($C100:AJ100)))),
lastVal + 'K dynamique'!AJ100 * ((SQRT('Résultats des tournois'!AJ$2 + 1)/'Résultats des tournois'!AJ100) - (1 / (1 + 10^((AJ$103 - lastVal)/400)))))
)
))"),"")</f>
        <v/>
      </c>
      <c r="AL100" s="32" t="str">
        <f>IFERROR(__xludf.DUMMYFUNCTION("IF('Résultats des tournois'!AK$2=0,"""",LET(
lastVal, INDEX(FILTER($B100:AK100, ISNUMBER($B100:AK100)), COUNTA(FILTER($B100:AK100, ISNUMBER($B100:AK100)))),
IFERROR(
IF('Résultats des tournois'!AK100="""", INDEX(FILTER($C100:AK100, ISNUMBER($C100:AK100)),"&amp;" COUNTA(FILTER($C100:AK100, ISNUMBER($C100:AK100)))),
lastVal + 'K dynamique'!AK100 * ((SQRT('Résultats des tournois'!AK$2 + 1)/'Résultats des tournois'!AK100) - (1 / (1 + 10^((AK$103 - lastVal)/400)))))
)
))"),"")</f>
        <v/>
      </c>
      <c r="AM100" s="32" t="str">
        <f>IFERROR(__xludf.DUMMYFUNCTION("IF('Résultats des tournois'!AL$2=0,"""",LET(
lastVal, INDEX(FILTER($B100:AL100, ISNUMBER($B100:AL100)), COUNTA(FILTER($B100:AL100, ISNUMBER($B100:AL100)))),
IFERROR(
IF('Résultats des tournois'!AL100="""", INDEX(FILTER($C100:AL100, ISNUMBER($C100:AL100)),"&amp;" COUNTA(FILTER($C100:AL100, ISNUMBER($C100:AL100)))),
lastVal + 'K dynamique'!AL100 * ((SQRT('Résultats des tournois'!AL$2 + 1)/'Résultats des tournois'!AL100) - (1 / (1 + 10^((AL$103 - lastVal)/400)))))
)
))"),"")</f>
        <v/>
      </c>
      <c r="AN100" s="32" t="str">
        <f>IFERROR(__xludf.DUMMYFUNCTION("IF('Résultats des tournois'!AM$2=0,"""",LET(
lastVal, INDEX(FILTER($B100:AM100, ISNUMBER($B100:AM100)), COUNTA(FILTER($B100:AM100, ISNUMBER($B100:AM100)))),
IFERROR(
IF('Résultats des tournois'!AM100="""", INDEX(FILTER($C100:AM100, ISNUMBER($C100:AM100)),"&amp;" COUNTA(FILTER($C100:AM100, ISNUMBER($C100:AM100)))),
lastVal + 'K dynamique'!AM100 * ((SQRT('Résultats des tournois'!AM$2 + 1)/'Résultats des tournois'!AM100) - (1 / (1 + 10^((AM$103 - lastVal)/400)))))
)
))"),"")</f>
        <v/>
      </c>
      <c r="AO100" s="32" t="str">
        <f>IFERROR(__xludf.DUMMYFUNCTION("IF('Résultats des tournois'!AN$2=0,"""",LET(
lastVal, INDEX(FILTER($B100:AN100, ISNUMBER($B100:AN100)), COUNTA(FILTER($B100:AN100, ISNUMBER($B100:AN100)))),
IFERROR(
IF('Résultats des tournois'!AN100="""", INDEX(FILTER($C100:AN100, ISNUMBER($C100:AN100)),"&amp;" COUNTA(FILTER($C100:AN100, ISNUMBER($C100:AN100)))),
lastVal + 'K dynamique'!AN100 * ((SQRT('Résultats des tournois'!AN$2 + 1)/'Résultats des tournois'!AN100) - (1 / (1 + 10^((AN$103 - lastVal)/400)))))
)
))"),"")</f>
        <v/>
      </c>
      <c r="AP100" s="32" t="str">
        <f>IFERROR(__xludf.DUMMYFUNCTION("IF('Résultats des tournois'!AO$2=0,"""",LET(
lastVal, INDEX(FILTER($B100:AO100, ISNUMBER($B100:AO100)), COUNTA(FILTER($B100:AO100, ISNUMBER($B100:AO100)))),
IFERROR(
IF('Résultats des tournois'!AO100="""", INDEX(FILTER($C100:AO100, ISNUMBER($C100:AO100)),"&amp;" COUNTA(FILTER($C100:AO100, ISNUMBER($C100:AO100)))),
lastVal + 'K dynamique'!AO100 * ((SQRT('Résultats des tournois'!AO$2 + 1)/'Résultats des tournois'!AO100) - (1 / (1 + 10^((AO$103 - lastVal)/400)))))
)
))"),"")</f>
        <v/>
      </c>
      <c r="AQ100" s="32" t="str">
        <f>IFERROR(__xludf.DUMMYFUNCTION("IF('Résultats des tournois'!AP$2=0,"""",LET(
lastVal, INDEX(FILTER($B100:AP100, ISNUMBER($B100:AP100)), COUNTA(FILTER($B100:AP100, ISNUMBER($B100:AP100)))),
IFERROR(
IF('Résultats des tournois'!AP100="""", INDEX(FILTER($C100:AP100, ISNUMBER($C100:AP100)),"&amp;" COUNTA(FILTER($C100:AP100, ISNUMBER($C100:AP100)))),
lastVal + 'K dynamique'!AP100 * ((SQRT('Résultats des tournois'!AP$2 + 1)/'Résultats des tournois'!AP100) - (1 / (1 + 10^((AP$103 - lastVal)/400)))))
)
))"),"")</f>
        <v/>
      </c>
      <c r="AR100" s="32" t="str">
        <f>IFERROR(__xludf.DUMMYFUNCTION("IF('Résultats des tournois'!AQ$2=0,"""",LET(
lastVal, INDEX(FILTER($B100:AQ100, ISNUMBER($B100:AQ100)), COUNTA(FILTER($B100:AQ100, ISNUMBER($B100:AQ100)))),
IFERROR(
IF('Résultats des tournois'!AQ100="""", INDEX(FILTER($C100:AQ100, ISNUMBER($C100:AQ100)),"&amp;" COUNTA(FILTER($C100:AQ100, ISNUMBER($C100:AQ100)))),
lastVal + 'K dynamique'!AQ100 * ((SQRT('Résultats des tournois'!AQ$2 + 1)/'Résultats des tournois'!AQ100) - (1 / (1 + 10^((AQ$103 - lastVal)/400)))))
)
))"),"")</f>
        <v/>
      </c>
      <c r="AS100" s="32" t="str">
        <f>IFERROR(__xludf.DUMMYFUNCTION("IF('Résultats des tournois'!AR$2=0,"""",LET(
lastVal, INDEX(FILTER($B100:AR100, ISNUMBER($B100:AR100)), COUNTA(FILTER($B100:AR100, ISNUMBER($B100:AR100)))),
IFERROR(
IF('Résultats des tournois'!AR100="""", INDEX(FILTER($C100:AR100, ISNUMBER($C100:AR100)),"&amp;" COUNTA(FILTER($C100:AR100, ISNUMBER($C100:AR100)))),
lastVal + 'K dynamique'!AR100 * ((SQRT('Résultats des tournois'!AR$2 + 1)/'Résultats des tournois'!AR100) - (1 / (1 + 10^((AR$103 - lastVal)/400)))))
)
))"),"")</f>
        <v/>
      </c>
      <c r="AT100" s="32" t="str">
        <f>IFERROR(__xludf.DUMMYFUNCTION("IF('Résultats des tournois'!AS$2=0,"""",LET(
lastVal, INDEX(FILTER($B100:AS100, ISNUMBER($B100:AS100)), COUNTA(FILTER($B100:AS100, ISNUMBER($B100:AS100)))),
IFERROR(
IF('Résultats des tournois'!AS100="""", INDEX(FILTER($C100:AS100, ISNUMBER($C100:AS100)),"&amp;" COUNTA(FILTER($C100:AS100, ISNUMBER($C100:AS100)))),
lastVal + 'K dynamique'!AS100 * ((SQRT('Résultats des tournois'!AS$2 + 1)/'Résultats des tournois'!AS100) - (1 / (1 + 10^((AS$103 - lastVal)/400)))))
)
))"),"")</f>
        <v/>
      </c>
      <c r="AU100" s="32" t="str">
        <f>IFERROR(__xludf.DUMMYFUNCTION("IF('Résultats des tournois'!AT$2=0,"""",LET(
lastVal, INDEX(FILTER($B100:AT100, ISNUMBER($B100:AT100)), COUNTA(FILTER($B100:AT100, ISNUMBER($B100:AT100)))),
IFERROR(
IF('Résultats des tournois'!AT100="""", INDEX(FILTER($C100:AT100, ISNUMBER($C100:AT100)),"&amp;" COUNTA(FILTER($C100:AT100, ISNUMBER($C100:AT100)))),
lastVal + 'K dynamique'!AT100 * ((SQRT('Résultats des tournois'!AT$2 + 1)/'Résultats des tournois'!AT100) - (1 / (1 + 10^((AT$103 - lastVal)/400)))))
)
))"),"")</f>
        <v/>
      </c>
      <c r="AV100" s="32" t="str">
        <f>IFERROR(__xludf.DUMMYFUNCTION("IF('Résultats des tournois'!AU$2=0,"""",LET(
lastVal, INDEX(FILTER($B100:AU100, ISNUMBER($B100:AU100)), COUNTA(FILTER($B100:AU100, ISNUMBER($B100:AU100)))),
IFERROR(
IF('Résultats des tournois'!AU100="""", INDEX(FILTER($C100:AU100, ISNUMBER($C100:AU100)),"&amp;" COUNTA(FILTER($C100:AU100, ISNUMBER($C100:AU100)))),
lastVal + 'K dynamique'!AU100 * ((SQRT('Résultats des tournois'!AU$2 + 1)/'Résultats des tournois'!AU100) - (1 / (1 + 10^((AU$103 - lastVal)/400)))))
)
))"),"")</f>
        <v/>
      </c>
      <c r="AW100" s="32" t="str">
        <f>IFERROR(__xludf.DUMMYFUNCTION("IF('Résultats des tournois'!AV$2=0,"""",LET(
lastVal, INDEX(FILTER($B100:AV100, ISNUMBER($B100:AV100)), COUNTA(FILTER($B100:AV100, ISNUMBER($B100:AV100)))),
IFERROR(
IF('Résultats des tournois'!AV100="""", INDEX(FILTER($C100:AV100, ISNUMBER($C100:AV100)),"&amp;" COUNTA(FILTER($C100:AV100, ISNUMBER($C100:AV100)))),
lastVal + 'K dynamique'!AV100 * ((SQRT('Résultats des tournois'!AV$2 + 1)/'Résultats des tournois'!AV100) - (1 / (1 + 10^((AV$103 - lastVal)/400)))))
)
))"),"")</f>
        <v/>
      </c>
      <c r="AX100" s="32" t="str">
        <f>IFERROR(__xludf.DUMMYFUNCTION("IF('Résultats des tournois'!AW$2=0,"""",LET(
lastVal, INDEX(FILTER($B100:AW100, ISNUMBER($B100:AW100)), COUNTA(FILTER($B100:AW100, ISNUMBER($B100:AW100)))),
IFERROR(
IF('Résultats des tournois'!AW100="""", INDEX(FILTER($C100:AW100, ISNUMBER($C100:AW100)),"&amp;" COUNTA(FILTER($C100:AW100, ISNUMBER($C100:AW100)))),
lastVal + 'K dynamique'!AW100 * ((SQRT('Résultats des tournois'!AW$2 + 1)/'Résultats des tournois'!AW100) - (1 / (1 + 10^((AW$103 - lastVal)/400)))))
)
))"),"")</f>
        <v/>
      </c>
      <c r="AY100" s="32" t="str">
        <f>IFERROR(__xludf.DUMMYFUNCTION("IF('Résultats des tournois'!AX$2=0,"""",LET(
lastVal, INDEX(FILTER($B100:AX100, ISNUMBER($B100:AX100)), COUNTA(FILTER($B100:AX100, ISNUMBER($B100:AX100)))),
IFERROR(
IF('Résultats des tournois'!AX100="""", INDEX(FILTER($C100:AX100, ISNUMBER($C100:AX100)),"&amp;" COUNTA(FILTER($C100:AX100, ISNUMBER($C100:AX100)))),
lastVal + 'K dynamique'!AX100 * ((SQRT('Résultats des tournois'!AX$2 + 1)/'Résultats des tournois'!AX100) - (1 / (1 + 10^((AX$103 - lastVal)/400)))))
)
))"),"")</f>
        <v/>
      </c>
      <c r="AZ100" s="4" t="str">
        <f t="array" ref="AZ100">IF(MAX(($C100:AY100&lt;&gt;"")*COLUMN($C100:AY100))=0,"",INDEX($C100:AY100,1,MAX(($C100:AY100&lt;&gt;"")*COLUMN($C100:AY100))-COLUMN($C100)+1))</f>
        <v/>
      </c>
      <c r="BA100" s="33" t="str">
        <f t="shared" si="1"/>
        <v/>
      </c>
    </row>
    <row r="101" ht="14.25" customHeight="1">
      <c r="A101" s="32" t="str">
        <f>IF('Résultats des tournois'!A101="","",'Résultats des tournois'!A101)</f>
        <v/>
      </c>
      <c r="B101" s="32">
        <v>1500.0</v>
      </c>
      <c r="C101" s="32" t="str">
        <f>IF('Résultats des tournois'!B101="","",B101+'K dynamique'!B101*((SQRT('Résultats des tournois'!B$2+1)/'Résultats des tournois'!B101)-(1/(1+10^((B101-B101)/400)))))</f>
        <v/>
      </c>
      <c r="D101" s="32" t="str">
        <f>IFERROR(__xludf.DUMMYFUNCTION("IF('Résultats des tournois'!C$2=0,"""",LET(
lastVal, INDEX(FILTER($B101:C101, ISNUMBER($B101:C101)), COUNTA(FILTER($B101:C101, ISNUMBER($B101:C101)))),
IFERROR(
IF('Résultats des tournois'!C101="""", INDEX(FILTER($C101:C101, ISNUMBER($C101:C101)), COUNTA("&amp;"FILTER($C101:C101, ISNUMBER($C101:C101)))),
lastVal + 'K dynamique'!C101 * ((SQRT('Résultats des tournois'!C$2 + 1)/'Résultats des tournois'!C101) - (1 / (1 + 10^((C$103 - lastVal)/400)))))
)
))"),"")</f>
        <v/>
      </c>
      <c r="E101" s="32" t="str">
        <f>IFERROR(__xludf.DUMMYFUNCTION("IF('Résultats des tournois'!D$2=0,"""",LET(
lastVal, INDEX(FILTER($B101:D101, ISNUMBER($B101:D101)), COUNTA(FILTER($B101:D101, ISNUMBER($B101:D101)))),
IFERROR(
IF('Résultats des tournois'!D101="""", INDEX(FILTER($C101:D101, ISNUMBER($C101:D101)), COUNTA("&amp;"FILTER($C101:D101, ISNUMBER($C101:D101)))),
lastVal + 'K dynamique'!D101 * ((SQRT('Résultats des tournois'!D$2 + 1)/'Résultats des tournois'!D101) - (1 / (1 + 10^((D$103 - lastVal)/400)))))
)
))"),"")</f>
        <v/>
      </c>
      <c r="F101" s="32" t="str">
        <f>IFERROR(__xludf.DUMMYFUNCTION("IF('Résultats des tournois'!E$2=0,"""",LET(
lastVal, INDEX(FILTER($B101:E101, ISNUMBER($B101:E101)), COUNTA(FILTER($B101:E101, ISNUMBER($B101:E101)))),
IFERROR(
IF('Résultats des tournois'!E101="""", INDEX(FILTER($C101:E101, ISNUMBER($C101:E101)), COUNTA("&amp;"FILTER($C101:E101, ISNUMBER($C101:E101)))),
lastVal + 'K dynamique'!E101 * ((SQRT('Résultats des tournois'!E$2 + 1)/'Résultats des tournois'!E101) - (1 / (1 + 10^((E$103 - lastVal)/400)))))
)
))"),"")</f>
        <v/>
      </c>
      <c r="G101" s="32" t="str">
        <f>IFERROR(__xludf.DUMMYFUNCTION("IF('Résultats des tournois'!F$2=0,"""",LET(
lastVal, INDEX(FILTER($B101:F101, ISNUMBER($B101:F101)), COUNTA(FILTER($B101:F101, ISNUMBER($B101:F101)))),
IFERROR(
IF('Résultats des tournois'!F101="""", INDEX(FILTER($C101:F101, ISNUMBER($C101:F101)), COUNTA("&amp;"FILTER($C101:F101, ISNUMBER($C101:F101)))),
lastVal + 'K dynamique'!F101 * ((SQRT('Résultats des tournois'!F$2 + 1)/'Résultats des tournois'!F101) - (1 / (1 + 10^((F$103 - lastVal)/400)))))
)
))"),"")</f>
        <v/>
      </c>
      <c r="H101" s="32" t="str">
        <f>IFERROR(__xludf.DUMMYFUNCTION("IF('Résultats des tournois'!G$2=0,"""",LET(
lastVal, INDEX(FILTER($B101:G101, ISNUMBER($B101:G101)), COUNTA(FILTER($B101:G101, ISNUMBER($B101:G101)))),
IFERROR(
IF('Résultats des tournois'!G101="""", INDEX(FILTER($C101:G101, ISNUMBER($C101:G101)), COUNTA("&amp;"FILTER($C101:G101, ISNUMBER($C101:G101)))),
lastVal + 'K dynamique'!G101 * ((SQRT('Résultats des tournois'!G$2 + 1)/'Résultats des tournois'!G101) - (1 / (1 + 10^((G$103 - lastVal)/400)))))
)
))"),"")</f>
        <v/>
      </c>
      <c r="I101" s="32" t="str">
        <f>IFERROR(__xludf.DUMMYFUNCTION("IF('Résultats des tournois'!H$2=0,"""",LET(
lastVal, INDEX(FILTER($B101:H101, ISNUMBER($B101:H101)), COUNTA(FILTER($B101:H101, ISNUMBER($B101:H101)))),
IFERROR(
IF('Résultats des tournois'!H101="""", INDEX(FILTER($C101:H101, ISNUMBER($C101:H101)), COUNTA("&amp;"FILTER($C101:H101, ISNUMBER($C101:H101)))),
lastVal + 'K dynamique'!H101 * ((SQRT('Résultats des tournois'!H$2 + 1)/'Résultats des tournois'!H101) - (1 / (1 + 10^((H$103 - lastVal)/400)))))
)
))"),"")</f>
        <v/>
      </c>
      <c r="J101" s="32" t="str">
        <f>IFERROR(__xludf.DUMMYFUNCTION("IF('Résultats des tournois'!I$2=0,"""",LET(
lastVal, INDEX(FILTER($B101:I101, ISNUMBER($B101:I101)), COUNTA(FILTER($B101:I101, ISNUMBER($B101:I101)))),
IFERROR(
IF('Résultats des tournois'!I101="""", INDEX(FILTER($C101:I101, ISNUMBER($C101:I101)), COUNTA("&amp;"FILTER($C101:I101, ISNUMBER($C101:I101)))),
lastVal + 'K dynamique'!I101 * ((SQRT('Résultats des tournois'!I$2 + 1)/'Résultats des tournois'!I101) - (1 / (1 + 10^((I$103 - lastVal)/400)))))
)
))"),"")</f>
        <v/>
      </c>
      <c r="K101" s="32" t="str">
        <f>IFERROR(__xludf.DUMMYFUNCTION("IF('Résultats des tournois'!J$2=0,"""",LET(
lastVal, INDEX(FILTER($B101:J101, ISNUMBER($B101:J101)), COUNTA(FILTER($B101:J101, ISNUMBER($B101:J101)))),
IFERROR(
IF('Résultats des tournois'!J101="""", INDEX(FILTER($C101:J101, ISNUMBER($C101:J101)), COUNTA("&amp;"FILTER($C101:J101, ISNUMBER($C101:J101)))),
lastVal + 'K dynamique'!J101 * ((SQRT('Résultats des tournois'!J$2 + 1)/'Résultats des tournois'!J101) - (1 / (1 + 10^((J$103 - lastVal)/400)))))
)
))"),"")</f>
        <v/>
      </c>
      <c r="L101" s="32" t="str">
        <f>IFERROR(__xludf.DUMMYFUNCTION("IF('Résultats des tournois'!K$2=0,"""",LET(
lastVal, INDEX(FILTER($B101:K101, ISNUMBER($B101:K101)), COUNTA(FILTER($B101:K101, ISNUMBER($B101:K101)))),
IFERROR(
IF('Résultats des tournois'!K101="""", INDEX(FILTER($C101:K101, ISNUMBER($C101:K101)), COUNTA("&amp;"FILTER($C101:K101, ISNUMBER($C101:K101)))),
lastVal + 'K dynamique'!K101 * ((SQRT('Résultats des tournois'!K$2 + 1)/'Résultats des tournois'!K101) - (1 / (1 + 10^((K$103 - lastVal)/400)))))
)
))"),"")</f>
        <v/>
      </c>
      <c r="M101" s="32" t="str">
        <f>IFERROR(__xludf.DUMMYFUNCTION("IF('Résultats des tournois'!L$2=0,"""",LET(
lastVal, INDEX(FILTER($B101:L101, ISNUMBER($B101:L101)), COUNTA(FILTER($B101:L101, ISNUMBER($B101:L101)))),
IFERROR(
IF('Résultats des tournois'!L101="""", INDEX(FILTER($C101:L101, ISNUMBER($C101:L101)), COUNTA("&amp;"FILTER($C101:L101, ISNUMBER($C101:L101)))),
lastVal + 'K dynamique'!L101 * ((SQRT('Résultats des tournois'!L$2 + 1)/'Résultats des tournois'!L101) - (1 / (1 + 10^((L$103 - lastVal)/400)))))
)
))"),"")</f>
        <v/>
      </c>
      <c r="N101" s="32" t="str">
        <f>IFERROR(__xludf.DUMMYFUNCTION("IF('Résultats des tournois'!M$2=0,"""",LET(
lastVal, INDEX(FILTER($B101:M101, ISNUMBER($B101:M101)), COUNTA(FILTER($B101:M101, ISNUMBER($B101:M101)))),
IFERROR(
IF('Résultats des tournois'!M101="""", INDEX(FILTER($C101:M101, ISNUMBER($C101:M101)), COUNTA("&amp;"FILTER($C101:M101, ISNUMBER($C101:M101)))),
lastVal + 'K dynamique'!M101 * ((SQRT('Résultats des tournois'!M$2 + 1)/'Résultats des tournois'!M101) - (1 / (1 + 10^((M$103 - lastVal)/400)))))
)
))"),"")</f>
        <v/>
      </c>
      <c r="O101" s="32" t="str">
        <f>IFERROR(__xludf.DUMMYFUNCTION("IF('Résultats des tournois'!N$2=0,"""",LET(
lastVal, INDEX(FILTER($B101:N101, ISNUMBER($B101:N101)), COUNTA(FILTER($B101:N101, ISNUMBER($B101:N101)))),
IFERROR(
IF('Résultats des tournois'!N101="""", INDEX(FILTER($C101:N101, ISNUMBER($C101:N101)), COUNTA("&amp;"FILTER($C101:N101, ISNUMBER($C101:N101)))),
lastVal + 'K dynamique'!N101 * ((SQRT('Résultats des tournois'!N$2 + 1)/'Résultats des tournois'!N101) - (1 / (1 + 10^((N$103 - lastVal)/400)))))
)
))"),"")</f>
        <v/>
      </c>
      <c r="P101" s="32" t="str">
        <f>IFERROR(__xludf.DUMMYFUNCTION("IF('Résultats des tournois'!O$2=0,"""",LET(
lastVal, INDEX(FILTER($B101:O101, ISNUMBER($B101:O101)), COUNTA(FILTER($B101:O101, ISNUMBER($B101:O101)))),
IFERROR(
IF('Résultats des tournois'!O101="""", INDEX(FILTER($C101:O101, ISNUMBER($C101:O101)), COUNTA("&amp;"FILTER($C101:O101, ISNUMBER($C101:O101)))),
lastVal + 'K dynamique'!O101 * ((SQRT('Résultats des tournois'!O$2 + 1)/'Résultats des tournois'!O101) - (1 / (1 + 10^((O$103 - lastVal)/400)))))
)
))"),"")</f>
        <v/>
      </c>
      <c r="Q101" s="32" t="str">
        <f>IFERROR(__xludf.DUMMYFUNCTION("IF('Résultats des tournois'!P$2=0,"""",LET(
lastVal, INDEX(FILTER($B101:P101, ISNUMBER($B101:P101)), COUNTA(FILTER($B101:P101, ISNUMBER($B101:P101)))),
IFERROR(
IF('Résultats des tournois'!P101="""", INDEX(FILTER($C101:P101, ISNUMBER($C101:P101)), COUNTA("&amp;"FILTER($C101:P101, ISNUMBER($C101:P101)))),
lastVal + 'K dynamique'!P101 * ((SQRT('Résultats des tournois'!P$2 + 1)/'Résultats des tournois'!P101) - (1 / (1 + 10^((P$103 - lastVal)/400)))))
)
))"),"")</f>
        <v/>
      </c>
      <c r="R101" s="32" t="str">
        <f>IFERROR(__xludf.DUMMYFUNCTION("IF('Résultats des tournois'!Q$2=0,"""",LET(
lastVal, INDEX(FILTER($B101:Q101, ISNUMBER($B101:Q101)), COUNTA(FILTER($B101:Q101, ISNUMBER($B101:Q101)))),
IFERROR(
IF('Résultats des tournois'!Q101="""", INDEX(FILTER($C101:Q101, ISNUMBER($C101:Q101)), COUNTA("&amp;"FILTER($C101:Q101, ISNUMBER($C101:Q101)))),
lastVal + 'K dynamique'!Q101 * ((SQRT('Résultats des tournois'!Q$2 + 1)/'Résultats des tournois'!Q101) - (1 / (1 + 10^((Q$103 - lastVal)/400)))))
)
))"),"")</f>
        <v/>
      </c>
      <c r="S101" s="32" t="str">
        <f>IFERROR(__xludf.DUMMYFUNCTION("IF('Résultats des tournois'!R$2=0,"""",LET(
lastVal, INDEX(FILTER($B101:R101, ISNUMBER($B101:R101)), COUNTA(FILTER($B101:R101, ISNUMBER($B101:R101)))),
IFERROR(
IF('Résultats des tournois'!R101="""", INDEX(FILTER($C101:R101, ISNUMBER($C101:R101)), COUNTA("&amp;"FILTER($C101:R101, ISNUMBER($C101:R101)))),
lastVal + 'K dynamique'!R101 * ((SQRT('Résultats des tournois'!R$2 + 1)/'Résultats des tournois'!R101) - (1 / (1 + 10^((R$103 - lastVal)/400)))))
)
))"),"")</f>
        <v/>
      </c>
      <c r="T101" s="32" t="str">
        <f>IFERROR(__xludf.DUMMYFUNCTION("IF('Résultats des tournois'!S$2=0,"""",LET(
lastVal, INDEX(FILTER($B101:S101, ISNUMBER($B101:S101)), COUNTA(FILTER($B101:S101, ISNUMBER($B101:S101)))),
IFERROR(
IF('Résultats des tournois'!S101="""", INDEX(FILTER($C101:S101, ISNUMBER($C101:S101)), COUNTA("&amp;"FILTER($C101:S101, ISNUMBER($C101:S101)))),
lastVal + 'K dynamique'!S101 * ((SQRT('Résultats des tournois'!S$2 + 1)/'Résultats des tournois'!S101) - (1 / (1 + 10^((S$103 - lastVal)/400)))))
)
))"),"")</f>
        <v/>
      </c>
      <c r="U101" s="32" t="str">
        <f>IFERROR(__xludf.DUMMYFUNCTION("IF('Résultats des tournois'!T$2=0,"""",LET(
lastVal, INDEX(FILTER($B101:T101, ISNUMBER($B101:T101)), COUNTA(FILTER($B101:T101, ISNUMBER($B101:T101)))),
IFERROR(
IF('Résultats des tournois'!T101="""", INDEX(FILTER($C101:T101, ISNUMBER($C101:T101)), COUNTA("&amp;"FILTER($C101:T101, ISNUMBER($C101:T101)))),
lastVal + 'K dynamique'!T101 * ((SQRT('Résultats des tournois'!T$2 + 1)/'Résultats des tournois'!T101) - (1 / (1 + 10^((T$103 - lastVal)/400)))))
)
))"),"")</f>
        <v/>
      </c>
      <c r="V101" s="32" t="str">
        <f>IFERROR(__xludf.DUMMYFUNCTION("IF('Résultats des tournois'!U$2=0,"""",LET(
lastVal, INDEX(FILTER($B101:U101, ISNUMBER($B101:U101)), COUNTA(FILTER($B101:U101, ISNUMBER($B101:U101)))),
IFERROR(
IF('Résultats des tournois'!U101="""", INDEX(FILTER($C101:U101, ISNUMBER($C101:U101)), COUNTA("&amp;"FILTER($C101:U101, ISNUMBER($C101:U101)))),
lastVal + 'K dynamique'!U101 * ((SQRT('Résultats des tournois'!U$2 + 1)/'Résultats des tournois'!U101) - (1 / (1 + 10^((U$103 - lastVal)/400)))))
)
))"),"")</f>
        <v/>
      </c>
      <c r="W101" s="32" t="str">
        <f>IFERROR(__xludf.DUMMYFUNCTION("IF('Résultats des tournois'!V$2=0,"""",LET(
lastVal, INDEX(FILTER($B101:V101, ISNUMBER($B101:V101)), COUNTA(FILTER($B101:V101, ISNUMBER($B101:V101)))),
IFERROR(
IF('Résultats des tournois'!V101="""", INDEX(FILTER($C101:V101, ISNUMBER($C101:V101)), COUNTA("&amp;"FILTER($C101:V101, ISNUMBER($C101:V101)))),
lastVal + 'K dynamique'!V101 * ((SQRT('Résultats des tournois'!V$2 + 1)/'Résultats des tournois'!V101) - (1 / (1 + 10^((V$103 - lastVal)/400)))))
)
))"),"")</f>
        <v/>
      </c>
      <c r="X101" s="32" t="str">
        <f>IFERROR(__xludf.DUMMYFUNCTION("IF('Résultats des tournois'!W$2=0,"""",LET(
lastVal, INDEX(FILTER($B101:W101, ISNUMBER($B101:W101)), COUNTA(FILTER($B101:W101, ISNUMBER($B101:W101)))),
IFERROR(
IF('Résultats des tournois'!W101="""", INDEX(FILTER($C101:W101, ISNUMBER($C101:W101)), COUNTA("&amp;"FILTER($C101:W101, ISNUMBER($C101:W101)))),
lastVal + 'K dynamique'!W101 * ((SQRT('Résultats des tournois'!W$2 + 1)/'Résultats des tournois'!W101) - (1 / (1 + 10^((W$103 - lastVal)/400)))))
)
))"),"")</f>
        <v/>
      </c>
      <c r="Y101" s="32" t="str">
        <f>IFERROR(__xludf.DUMMYFUNCTION("IF('Résultats des tournois'!X$2=0,"""",LET(
lastVal, INDEX(FILTER($B101:X101, ISNUMBER($B101:X101)), COUNTA(FILTER($B101:X101, ISNUMBER($B101:X101)))),
IFERROR(
IF('Résultats des tournois'!X101="""", INDEX(FILTER($C101:X101, ISNUMBER($C101:X101)), COUNTA("&amp;"FILTER($C101:X101, ISNUMBER($C101:X101)))),
lastVal + 'K dynamique'!X101 * ((SQRT('Résultats des tournois'!X$2 + 1)/'Résultats des tournois'!X101) - (1 / (1 + 10^((X$103 - lastVal)/400)))))
)
))"),"")</f>
        <v/>
      </c>
      <c r="Z101" s="32" t="str">
        <f>IFERROR(__xludf.DUMMYFUNCTION("IF('Résultats des tournois'!Y$2=0,"""",LET(
lastVal, INDEX(FILTER($B101:Y101, ISNUMBER($B101:Y101)), COUNTA(FILTER($B101:Y101, ISNUMBER($B101:Y101)))),
IFERROR(
IF('Résultats des tournois'!Y101="""", INDEX(FILTER($C101:Y101, ISNUMBER($C101:Y101)), COUNTA("&amp;"FILTER($C101:Y101, ISNUMBER($C101:Y101)))),
lastVal + 'K dynamique'!Y101 * ((SQRT('Résultats des tournois'!Y$2 + 1)/'Résultats des tournois'!Y101) - (1 / (1 + 10^((Y$103 - lastVal)/400)))))
)
))"),"")</f>
        <v/>
      </c>
      <c r="AA101" s="32" t="str">
        <f>IFERROR(__xludf.DUMMYFUNCTION("IF('Résultats des tournois'!Z$2=0,"""",LET(
lastVal, INDEX(FILTER($B101:Z101, ISNUMBER($B101:Z101)), COUNTA(FILTER($B101:Z101, ISNUMBER($B101:Z101)))),
IFERROR(
IF('Résultats des tournois'!Z101="""", INDEX(FILTER($C101:Z101, ISNUMBER($C101:Z101)), COUNTA("&amp;"FILTER($C101:Z101, ISNUMBER($C101:Z101)))),
lastVal + 'K dynamique'!Z101 * ((SQRT('Résultats des tournois'!Z$2 + 1)/'Résultats des tournois'!Z101) - (1 / (1 + 10^((Z$103 - lastVal)/400)))))
)
))"),"")</f>
        <v/>
      </c>
      <c r="AB101" s="32" t="str">
        <f>IFERROR(__xludf.DUMMYFUNCTION("IF('Résultats des tournois'!AA$2=0,"""",LET(
lastVal, INDEX(FILTER($B101:AA101, ISNUMBER($B101:AA101)), COUNTA(FILTER($B101:AA101, ISNUMBER($B101:AA101)))),
IFERROR(
IF('Résultats des tournois'!AA101="""", INDEX(FILTER($C101:AA101, ISNUMBER($C101:AA101)),"&amp;" COUNTA(FILTER($C101:AA101, ISNUMBER($C101:AA101)))),
lastVal + 'K dynamique'!AA101 * ((SQRT('Résultats des tournois'!AA$2 + 1)/'Résultats des tournois'!AA101) - (1 / (1 + 10^((AA$103 - lastVal)/400)))))
)
))"),"")</f>
        <v/>
      </c>
      <c r="AC101" s="32" t="str">
        <f>IFERROR(__xludf.DUMMYFUNCTION("IF('Résultats des tournois'!AB$2=0,"""",LET(
lastVal, INDEX(FILTER($B101:AB101, ISNUMBER($B101:AB101)), COUNTA(FILTER($B101:AB101, ISNUMBER($B101:AB101)))),
IFERROR(
IF('Résultats des tournois'!AB101="""", INDEX(FILTER($C101:AB101, ISNUMBER($C101:AB101)),"&amp;" COUNTA(FILTER($C101:AB101, ISNUMBER($C101:AB101)))),
lastVal + 'K dynamique'!AB101 * ((SQRT('Résultats des tournois'!AB$2 + 1)/'Résultats des tournois'!AB101) - (1 / (1 + 10^((AB$103 - lastVal)/400)))))
)
))"),"")</f>
        <v/>
      </c>
      <c r="AD101" s="32" t="str">
        <f>IFERROR(__xludf.DUMMYFUNCTION("IF('Résultats des tournois'!AC$2=0,"""",LET(
lastVal, INDEX(FILTER($B101:AC101, ISNUMBER($B101:AC101)), COUNTA(FILTER($B101:AC101, ISNUMBER($B101:AC101)))),
IFERROR(
IF('Résultats des tournois'!AC101="""", INDEX(FILTER($C101:AC101, ISNUMBER($C101:AC101)),"&amp;" COUNTA(FILTER($C101:AC101, ISNUMBER($C101:AC101)))),
lastVal + 'K dynamique'!AC101 * ((SQRT('Résultats des tournois'!AC$2 + 1)/'Résultats des tournois'!AC101) - (1 / (1 + 10^((AC$103 - lastVal)/400)))))
)
))"),"")</f>
        <v/>
      </c>
      <c r="AE101" s="32" t="str">
        <f>IFERROR(__xludf.DUMMYFUNCTION("IF('Résultats des tournois'!AD$2=0,"""",LET(
lastVal, INDEX(FILTER($B101:AD101, ISNUMBER($B101:AD101)), COUNTA(FILTER($B101:AD101, ISNUMBER($B101:AD101)))),
IFERROR(
IF('Résultats des tournois'!AD101="""", INDEX(FILTER($C101:AD101, ISNUMBER($C101:AD101)),"&amp;" COUNTA(FILTER($C101:AD101, ISNUMBER($C101:AD101)))),
lastVal + 'K dynamique'!AD101 * ((SQRT('Résultats des tournois'!AD$2 + 1)/'Résultats des tournois'!AD101) - (1 / (1 + 10^((AD$103 - lastVal)/400)))))
)
))"),"")</f>
        <v/>
      </c>
      <c r="AF101" s="32" t="str">
        <f>IFERROR(__xludf.DUMMYFUNCTION("IF('Résultats des tournois'!AE$2=0,"""",LET(
lastVal, INDEX(FILTER($B101:AE101, ISNUMBER($B101:AE101)), COUNTA(FILTER($B101:AE101, ISNUMBER($B101:AE101)))),
IFERROR(
IF('Résultats des tournois'!AE101="""", INDEX(FILTER($C101:AE101, ISNUMBER($C101:AE101)),"&amp;" COUNTA(FILTER($C101:AE101, ISNUMBER($C101:AE101)))),
lastVal + 'K dynamique'!AE101 * ((SQRT('Résultats des tournois'!AE$2 + 1)/'Résultats des tournois'!AE101) - (1 / (1 + 10^((AE$103 - lastVal)/400)))))
)
))"),"")</f>
        <v/>
      </c>
      <c r="AG101" s="32" t="str">
        <f>IFERROR(__xludf.DUMMYFUNCTION("IF('Résultats des tournois'!AF$2=0,"""",LET(
lastVal, INDEX(FILTER($B101:AF101, ISNUMBER($B101:AF101)), COUNTA(FILTER($B101:AF101, ISNUMBER($B101:AF101)))),
IFERROR(
IF('Résultats des tournois'!AF101="""", INDEX(FILTER($C101:AF101, ISNUMBER($C101:AF101)),"&amp;" COUNTA(FILTER($C101:AF101, ISNUMBER($C101:AF101)))),
lastVal + 'K dynamique'!AF101 * ((SQRT('Résultats des tournois'!AF$2 + 1)/'Résultats des tournois'!AF101) - (1 / (1 + 10^((AF$103 - lastVal)/400)))))
)
))"),"")</f>
        <v/>
      </c>
      <c r="AH101" s="32" t="str">
        <f>IFERROR(__xludf.DUMMYFUNCTION("IF('Résultats des tournois'!AG$2=0,"""",LET(
lastVal, INDEX(FILTER($B101:AG101, ISNUMBER($B101:AG101)), COUNTA(FILTER($B101:AG101, ISNUMBER($B101:AG101)))),
IFERROR(
IF('Résultats des tournois'!AG101="""", INDEX(FILTER($C101:AG101, ISNUMBER($C101:AG101)),"&amp;" COUNTA(FILTER($C101:AG101, ISNUMBER($C101:AG101)))),
lastVal + 'K dynamique'!AG101 * ((SQRT('Résultats des tournois'!AG$2 + 1)/'Résultats des tournois'!AG101) - (1 / (1 + 10^((AG$103 - lastVal)/400)))))
)
))"),"")</f>
        <v/>
      </c>
      <c r="AI101" s="32" t="str">
        <f>IFERROR(__xludf.DUMMYFUNCTION("IF('Résultats des tournois'!AH$2=0,"""",LET(
lastVal, INDEX(FILTER($B101:AH101, ISNUMBER($B101:AH101)), COUNTA(FILTER($B101:AH101, ISNUMBER($B101:AH101)))),
IFERROR(
IF('Résultats des tournois'!AH101="""", INDEX(FILTER($C101:AH101, ISNUMBER($C101:AH101)),"&amp;" COUNTA(FILTER($C101:AH101, ISNUMBER($C101:AH101)))),
lastVal + 'K dynamique'!AH101 * ((SQRT('Résultats des tournois'!AH$2 + 1)/'Résultats des tournois'!AH101) - (1 / (1 + 10^((AH$103 - lastVal)/400)))))
)
))"),"")</f>
        <v/>
      </c>
      <c r="AJ101" s="32" t="str">
        <f>IFERROR(__xludf.DUMMYFUNCTION("IF('Résultats des tournois'!AI$2=0,"""",LET(
lastVal, INDEX(FILTER($B101:AI101, ISNUMBER($B101:AI101)), COUNTA(FILTER($B101:AI101, ISNUMBER($B101:AI101)))),
IFERROR(
IF('Résultats des tournois'!AI101="""", INDEX(FILTER($C101:AI101, ISNUMBER($C101:AI101)),"&amp;" COUNTA(FILTER($C101:AI101, ISNUMBER($C101:AI101)))),
lastVal + 'K dynamique'!AI101 * ((SQRT('Résultats des tournois'!AI$2 + 1)/'Résultats des tournois'!AI101) - (1 / (1 + 10^((AI$103 - lastVal)/400)))))
)
))"),"")</f>
        <v/>
      </c>
      <c r="AK101" s="32" t="str">
        <f>IFERROR(__xludf.DUMMYFUNCTION("IF('Résultats des tournois'!AJ$2=0,"""",LET(
lastVal, INDEX(FILTER($B101:AJ101, ISNUMBER($B101:AJ101)), COUNTA(FILTER($B101:AJ101, ISNUMBER($B101:AJ101)))),
IFERROR(
IF('Résultats des tournois'!AJ101="""", INDEX(FILTER($C101:AJ101, ISNUMBER($C101:AJ101)),"&amp;" COUNTA(FILTER($C101:AJ101, ISNUMBER($C101:AJ101)))),
lastVal + 'K dynamique'!AJ101 * ((SQRT('Résultats des tournois'!AJ$2 + 1)/'Résultats des tournois'!AJ101) - (1 / (1 + 10^((AJ$103 - lastVal)/400)))))
)
))"),"")</f>
        <v/>
      </c>
      <c r="AL101" s="32" t="str">
        <f>IFERROR(__xludf.DUMMYFUNCTION("IF('Résultats des tournois'!AK$2=0,"""",LET(
lastVal, INDEX(FILTER($B101:AK101, ISNUMBER($B101:AK101)), COUNTA(FILTER($B101:AK101, ISNUMBER($B101:AK101)))),
IFERROR(
IF('Résultats des tournois'!AK101="""", INDEX(FILTER($C101:AK101, ISNUMBER($C101:AK101)),"&amp;" COUNTA(FILTER($C101:AK101, ISNUMBER($C101:AK101)))),
lastVal + 'K dynamique'!AK101 * ((SQRT('Résultats des tournois'!AK$2 + 1)/'Résultats des tournois'!AK101) - (1 / (1 + 10^((AK$103 - lastVal)/400)))))
)
))"),"")</f>
        <v/>
      </c>
      <c r="AM101" s="32" t="str">
        <f>IFERROR(__xludf.DUMMYFUNCTION("IF('Résultats des tournois'!AL$2=0,"""",LET(
lastVal, INDEX(FILTER($B101:AL101, ISNUMBER($B101:AL101)), COUNTA(FILTER($B101:AL101, ISNUMBER($B101:AL101)))),
IFERROR(
IF('Résultats des tournois'!AL101="""", INDEX(FILTER($C101:AL101, ISNUMBER($C101:AL101)),"&amp;" COUNTA(FILTER($C101:AL101, ISNUMBER($C101:AL101)))),
lastVal + 'K dynamique'!AL101 * ((SQRT('Résultats des tournois'!AL$2 + 1)/'Résultats des tournois'!AL101) - (1 / (1 + 10^((AL$103 - lastVal)/400)))))
)
))"),"")</f>
        <v/>
      </c>
      <c r="AN101" s="32" t="str">
        <f>IFERROR(__xludf.DUMMYFUNCTION("IF('Résultats des tournois'!AM$2=0,"""",LET(
lastVal, INDEX(FILTER($B101:AM101, ISNUMBER($B101:AM101)), COUNTA(FILTER($B101:AM101, ISNUMBER($B101:AM101)))),
IFERROR(
IF('Résultats des tournois'!AM101="""", INDEX(FILTER($C101:AM101, ISNUMBER($C101:AM101)),"&amp;" COUNTA(FILTER($C101:AM101, ISNUMBER($C101:AM101)))),
lastVal + 'K dynamique'!AM101 * ((SQRT('Résultats des tournois'!AM$2 + 1)/'Résultats des tournois'!AM101) - (1 / (1 + 10^((AM$103 - lastVal)/400)))))
)
))"),"")</f>
        <v/>
      </c>
      <c r="AO101" s="32" t="str">
        <f>IFERROR(__xludf.DUMMYFUNCTION("IF('Résultats des tournois'!AN$2=0,"""",LET(
lastVal, INDEX(FILTER($B101:AN101, ISNUMBER($B101:AN101)), COUNTA(FILTER($B101:AN101, ISNUMBER($B101:AN101)))),
IFERROR(
IF('Résultats des tournois'!AN101="""", INDEX(FILTER($C101:AN101, ISNUMBER($C101:AN101)),"&amp;" COUNTA(FILTER($C101:AN101, ISNUMBER($C101:AN101)))),
lastVal + 'K dynamique'!AN101 * ((SQRT('Résultats des tournois'!AN$2 + 1)/'Résultats des tournois'!AN101) - (1 / (1 + 10^((AN$103 - lastVal)/400)))))
)
))"),"")</f>
        <v/>
      </c>
      <c r="AP101" s="32" t="str">
        <f>IFERROR(__xludf.DUMMYFUNCTION("IF('Résultats des tournois'!AO$2=0,"""",LET(
lastVal, INDEX(FILTER($B101:AO101, ISNUMBER($B101:AO101)), COUNTA(FILTER($B101:AO101, ISNUMBER($B101:AO101)))),
IFERROR(
IF('Résultats des tournois'!AO101="""", INDEX(FILTER($C101:AO101, ISNUMBER($C101:AO101)),"&amp;" COUNTA(FILTER($C101:AO101, ISNUMBER($C101:AO101)))),
lastVal + 'K dynamique'!AO101 * ((SQRT('Résultats des tournois'!AO$2 + 1)/'Résultats des tournois'!AO101) - (1 / (1 + 10^((AO$103 - lastVal)/400)))))
)
))"),"")</f>
        <v/>
      </c>
      <c r="AQ101" s="32" t="str">
        <f>IFERROR(__xludf.DUMMYFUNCTION("IF('Résultats des tournois'!AP$2=0,"""",LET(
lastVal, INDEX(FILTER($B101:AP101, ISNUMBER($B101:AP101)), COUNTA(FILTER($B101:AP101, ISNUMBER($B101:AP101)))),
IFERROR(
IF('Résultats des tournois'!AP101="""", INDEX(FILTER($C101:AP101, ISNUMBER($C101:AP101)),"&amp;" COUNTA(FILTER($C101:AP101, ISNUMBER($C101:AP101)))),
lastVal + 'K dynamique'!AP101 * ((SQRT('Résultats des tournois'!AP$2 + 1)/'Résultats des tournois'!AP101) - (1 / (1 + 10^((AP$103 - lastVal)/400)))))
)
))"),"")</f>
        <v/>
      </c>
      <c r="AR101" s="32" t="str">
        <f>IFERROR(__xludf.DUMMYFUNCTION("IF('Résultats des tournois'!AQ$2=0,"""",LET(
lastVal, INDEX(FILTER($B101:AQ101, ISNUMBER($B101:AQ101)), COUNTA(FILTER($B101:AQ101, ISNUMBER($B101:AQ101)))),
IFERROR(
IF('Résultats des tournois'!AQ101="""", INDEX(FILTER($C101:AQ101, ISNUMBER($C101:AQ101)),"&amp;" COUNTA(FILTER($C101:AQ101, ISNUMBER($C101:AQ101)))),
lastVal + 'K dynamique'!AQ101 * ((SQRT('Résultats des tournois'!AQ$2 + 1)/'Résultats des tournois'!AQ101) - (1 / (1 + 10^((AQ$103 - lastVal)/400)))))
)
))"),"")</f>
        <v/>
      </c>
      <c r="AS101" s="32" t="str">
        <f>IFERROR(__xludf.DUMMYFUNCTION("IF('Résultats des tournois'!AR$2=0,"""",LET(
lastVal, INDEX(FILTER($B101:AR101, ISNUMBER($B101:AR101)), COUNTA(FILTER($B101:AR101, ISNUMBER($B101:AR101)))),
IFERROR(
IF('Résultats des tournois'!AR101="""", INDEX(FILTER($C101:AR101, ISNUMBER($C101:AR101)),"&amp;" COUNTA(FILTER($C101:AR101, ISNUMBER($C101:AR101)))),
lastVal + 'K dynamique'!AR101 * ((SQRT('Résultats des tournois'!AR$2 + 1)/'Résultats des tournois'!AR101) - (1 / (1 + 10^((AR$103 - lastVal)/400)))))
)
))"),"")</f>
        <v/>
      </c>
      <c r="AT101" s="32" t="str">
        <f>IFERROR(__xludf.DUMMYFUNCTION("IF('Résultats des tournois'!AS$2=0,"""",LET(
lastVal, INDEX(FILTER($B101:AS101, ISNUMBER($B101:AS101)), COUNTA(FILTER($B101:AS101, ISNUMBER($B101:AS101)))),
IFERROR(
IF('Résultats des tournois'!AS101="""", INDEX(FILTER($C101:AS101, ISNUMBER($C101:AS101)),"&amp;" COUNTA(FILTER($C101:AS101, ISNUMBER($C101:AS101)))),
lastVal + 'K dynamique'!AS101 * ((SQRT('Résultats des tournois'!AS$2 + 1)/'Résultats des tournois'!AS101) - (1 / (1 + 10^((AS$103 - lastVal)/400)))))
)
))"),"")</f>
        <v/>
      </c>
      <c r="AU101" s="32" t="str">
        <f>IFERROR(__xludf.DUMMYFUNCTION("IF('Résultats des tournois'!AT$2=0,"""",LET(
lastVal, INDEX(FILTER($B101:AT101, ISNUMBER($B101:AT101)), COUNTA(FILTER($B101:AT101, ISNUMBER($B101:AT101)))),
IFERROR(
IF('Résultats des tournois'!AT101="""", INDEX(FILTER($C101:AT101, ISNUMBER($C101:AT101)),"&amp;" COUNTA(FILTER($C101:AT101, ISNUMBER($C101:AT101)))),
lastVal + 'K dynamique'!AT101 * ((SQRT('Résultats des tournois'!AT$2 + 1)/'Résultats des tournois'!AT101) - (1 / (1 + 10^((AT$103 - lastVal)/400)))))
)
))"),"")</f>
        <v/>
      </c>
      <c r="AV101" s="32" t="str">
        <f>IFERROR(__xludf.DUMMYFUNCTION("IF('Résultats des tournois'!AU$2=0,"""",LET(
lastVal, INDEX(FILTER($B101:AU101, ISNUMBER($B101:AU101)), COUNTA(FILTER($B101:AU101, ISNUMBER($B101:AU101)))),
IFERROR(
IF('Résultats des tournois'!AU101="""", INDEX(FILTER($C101:AU101, ISNUMBER($C101:AU101)),"&amp;" COUNTA(FILTER($C101:AU101, ISNUMBER($C101:AU101)))),
lastVal + 'K dynamique'!AU101 * ((SQRT('Résultats des tournois'!AU$2 + 1)/'Résultats des tournois'!AU101) - (1 / (1 + 10^((AU$103 - lastVal)/400)))))
)
))"),"")</f>
        <v/>
      </c>
      <c r="AW101" s="32" t="str">
        <f>IFERROR(__xludf.DUMMYFUNCTION("IF('Résultats des tournois'!AV$2=0,"""",LET(
lastVal, INDEX(FILTER($B101:AV101, ISNUMBER($B101:AV101)), COUNTA(FILTER($B101:AV101, ISNUMBER($B101:AV101)))),
IFERROR(
IF('Résultats des tournois'!AV101="""", INDEX(FILTER($C101:AV101, ISNUMBER($C101:AV101)),"&amp;" COUNTA(FILTER($C101:AV101, ISNUMBER($C101:AV101)))),
lastVal + 'K dynamique'!AV101 * ((SQRT('Résultats des tournois'!AV$2 + 1)/'Résultats des tournois'!AV101) - (1 / (1 + 10^((AV$103 - lastVal)/400)))))
)
))"),"")</f>
        <v/>
      </c>
      <c r="AX101" s="32" t="str">
        <f>IFERROR(__xludf.DUMMYFUNCTION("IF('Résultats des tournois'!AW$2=0,"""",LET(
lastVal, INDEX(FILTER($B101:AW101, ISNUMBER($B101:AW101)), COUNTA(FILTER($B101:AW101, ISNUMBER($B101:AW101)))),
IFERROR(
IF('Résultats des tournois'!AW101="""", INDEX(FILTER($C101:AW101, ISNUMBER($C101:AW101)),"&amp;" COUNTA(FILTER($C101:AW101, ISNUMBER($C101:AW101)))),
lastVal + 'K dynamique'!AW101 * ((SQRT('Résultats des tournois'!AW$2 + 1)/'Résultats des tournois'!AW101) - (1 / (1 + 10^((AW$103 - lastVal)/400)))))
)
))"),"")</f>
        <v/>
      </c>
      <c r="AY101" s="32" t="str">
        <f>IFERROR(__xludf.DUMMYFUNCTION("IF('Résultats des tournois'!AX$2=0,"""",LET(
lastVal, INDEX(FILTER($B101:AX101, ISNUMBER($B101:AX101)), COUNTA(FILTER($B101:AX101, ISNUMBER($B101:AX101)))),
IFERROR(
IF('Résultats des tournois'!AX101="""", INDEX(FILTER($C101:AX101, ISNUMBER($C101:AX101)),"&amp;" COUNTA(FILTER($C101:AX101, ISNUMBER($C101:AX101)))),
lastVal + 'K dynamique'!AX101 * ((SQRT('Résultats des tournois'!AX$2 + 1)/'Résultats des tournois'!AX101) - (1 / (1 + 10^((AX$103 - lastVal)/400)))))
)
))"),"")</f>
        <v/>
      </c>
      <c r="AZ101" s="4" t="str">
        <f t="array" ref="AZ101">IF(MAX(($C101:AY101&lt;&gt;"")*COLUMN($C101:AY101))=0,"",INDEX($C101:AY101,1,MAX(($C101:AY101&lt;&gt;"")*COLUMN($C101:AY101))-COLUMN($C101)+1))</f>
        <v/>
      </c>
      <c r="BA101" s="33" t="str">
        <f t="shared" si="1"/>
        <v/>
      </c>
    </row>
    <row r="102" ht="14.25" customHeight="1">
      <c r="A102" s="32" t="str">
        <f>IF('Résultats des tournois'!A102="","",'Résultats des tournois'!A102)</f>
        <v/>
      </c>
      <c r="B102" s="32">
        <v>1500.0</v>
      </c>
      <c r="C102" s="32" t="str">
        <f>IF('Résultats des tournois'!B102="","",B102+'K dynamique'!B102*((SQRT('Résultats des tournois'!B$2+1)/'Résultats des tournois'!B102)-(1/(1+10^((B102-B102)/400)))))</f>
        <v/>
      </c>
      <c r="D102" s="32" t="str">
        <f>IFERROR(__xludf.DUMMYFUNCTION("IF('Résultats des tournois'!C$2=0,"""",LET(
lastVal, INDEX(FILTER($B102:C102, ISNUMBER($B102:C102)), COUNTA(FILTER($B102:C102, ISNUMBER($B102:C102)))),
IFERROR(
IF('Résultats des tournois'!C102="""", INDEX(FILTER($C102:C102, ISNUMBER($C102:C102)), COUNTA("&amp;"FILTER($C102:C102, ISNUMBER($C102:C102)))),
lastVal + 'K dynamique'!C102 * ((SQRT('Résultats des tournois'!C$2 + 1)/'Résultats des tournois'!C102) - (1 / (1 + 10^((C$103 - lastVal)/400)))))
)
))"),"")</f>
        <v/>
      </c>
      <c r="E102" s="32" t="str">
        <f>IFERROR(__xludf.DUMMYFUNCTION("IF('Résultats des tournois'!D$2=0,"""",LET(
lastVal, INDEX(FILTER($B102:D102, ISNUMBER($B102:D102)), COUNTA(FILTER($B102:D102, ISNUMBER($B102:D102)))),
IFERROR(
IF('Résultats des tournois'!D102="""", INDEX(FILTER($C102:D102, ISNUMBER($C102:D102)), COUNTA("&amp;"FILTER($C102:D102, ISNUMBER($C102:D102)))),
lastVal + 'K dynamique'!D102 * ((SQRT('Résultats des tournois'!D$2 + 1)/'Résultats des tournois'!D102) - (1 / (1 + 10^((D$103 - lastVal)/400)))))
)
))"),"")</f>
        <v/>
      </c>
      <c r="F102" s="32" t="str">
        <f>IFERROR(__xludf.DUMMYFUNCTION("IF('Résultats des tournois'!E$2=0,"""",LET(
lastVal, INDEX(FILTER($B102:E102, ISNUMBER($B102:E102)), COUNTA(FILTER($B102:E102, ISNUMBER($B102:E102)))),
IFERROR(
IF('Résultats des tournois'!E102="""", INDEX(FILTER($C102:E102, ISNUMBER($C102:E102)), COUNTA("&amp;"FILTER($C102:E102, ISNUMBER($C102:E102)))),
lastVal + 'K dynamique'!E102 * ((SQRT('Résultats des tournois'!E$2 + 1)/'Résultats des tournois'!E102) - (1 / (1 + 10^((E$103 - lastVal)/400)))))
)
))"),"")</f>
        <v/>
      </c>
      <c r="G102" s="32" t="str">
        <f>IFERROR(__xludf.DUMMYFUNCTION("IF('Résultats des tournois'!F$2=0,"""",LET(
lastVal, INDEX(FILTER($B102:F102, ISNUMBER($B102:F102)), COUNTA(FILTER($B102:F102, ISNUMBER($B102:F102)))),
IFERROR(
IF('Résultats des tournois'!F102="""", INDEX(FILTER($C102:F102, ISNUMBER($C102:F102)), COUNTA("&amp;"FILTER($C102:F102, ISNUMBER($C102:F102)))),
lastVal + 'K dynamique'!F102 * ((SQRT('Résultats des tournois'!F$2 + 1)/'Résultats des tournois'!F102) - (1 / (1 + 10^((F$103 - lastVal)/400)))))
)
))"),"")</f>
        <v/>
      </c>
      <c r="H102" s="32" t="str">
        <f>IFERROR(__xludf.DUMMYFUNCTION("IF('Résultats des tournois'!G$2=0,"""",LET(
lastVal, INDEX(FILTER($B102:G102, ISNUMBER($B102:G102)), COUNTA(FILTER($B102:G102, ISNUMBER($B102:G102)))),
IFERROR(
IF('Résultats des tournois'!G102="""", INDEX(FILTER($C102:G102, ISNUMBER($C102:G102)), COUNTA("&amp;"FILTER($C102:G102, ISNUMBER($C102:G102)))),
lastVal + 'K dynamique'!G102 * ((SQRT('Résultats des tournois'!G$2 + 1)/'Résultats des tournois'!G102) - (1 / (1 + 10^((G$103 - lastVal)/400)))))
)
))"),"")</f>
        <v/>
      </c>
      <c r="I102" s="32" t="str">
        <f>IFERROR(__xludf.DUMMYFUNCTION("IF('Résultats des tournois'!H$2=0,"""",LET(
lastVal, INDEX(FILTER($B102:H102, ISNUMBER($B102:H102)), COUNTA(FILTER($B102:H102, ISNUMBER($B102:H102)))),
IFERROR(
IF('Résultats des tournois'!H102="""", INDEX(FILTER($C102:H102, ISNUMBER($C102:H102)), COUNTA("&amp;"FILTER($C102:H102, ISNUMBER($C102:H102)))),
lastVal + 'K dynamique'!H102 * ((SQRT('Résultats des tournois'!H$2 + 1)/'Résultats des tournois'!H102) - (1 / (1 + 10^((H$103 - lastVal)/400)))))
)
))"),"")</f>
        <v/>
      </c>
      <c r="J102" s="32" t="str">
        <f>IFERROR(__xludf.DUMMYFUNCTION("IF('Résultats des tournois'!I$2=0,"""",LET(
lastVal, INDEX(FILTER($B102:I102, ISNUMBER($B102:I102)), COUNTA(FILTER($B102:I102, ISNUMBER($B102:I102)))),
IFERROR(
IF('Résultats des tournois'!I102="""", INDEX(FILTER($C102:I102, ISNUMBER($C102:I102)), COUNTA("&amp;"FILTER($C102:I102, ISNUMBER($C102:I102)))),
lastVal + 'K dynamique'!I102 * ((SQRT('Résultats des tournois'!I$2 + 1)/'Résultats des tournois'!I102) - (1 / (1 + 10^((I$103 - lastVal)/400)))))
)
))"),"")</f>
        <v/>
      </c>
      <c r="K102" s="32" t="str">
        <f>IFERROR(__xludf.DUMMYFUNCTION("IF('Résultats des tournois'!J$2=0,"""",LET(
lastVal, INDEX(FILTER($B102:J102, ISNUMBER($B102:J102)), COUNTA(FILTER($B102:J102, ISNUMBER($B102:J102)))),
IFERROR(
IF('Résultats des tournois'!J102="""", INDEX(FILTER($C102:J102, ISNUMBER($C102:J102)), COUNTA("&amp;"FILTER($C102:J102, ISNUMBER($C102:J102)))),
lastVal + 'K dynamique'!J102 * ((SQRT('Résultats des tournois'!J$2 + 1)/'Résultats des tournois'!J102) - (1 / (1 + 10^((J$103 - lastVal)/400)))))
)
))"),"")</f>
        <v/>
      </c>
      <c r="L102" s="32" t="str">
        <f>IFERROR(__xludf.DUMMYFUNCTION("IF('Résultats des tournois'!K$2=0,"""",LET(
lastVal, INDEX(FILTER($B102:K102, ISNUMBER($B102:K102)), COUNTA(FILTER($B102:K102, ISNUMBER($B102:K102)))),
IFERROR(
IF('Résultats des tournois'!K102="""", INDEX(FILTER($C102:K102, ISNUMBER($C102:K102)), COUNTA("&amp;"FILTER($C102:K102, ISNUMBER($C102:K102)))),
lastVal + 'K dynamique'!K102 * ((SQRT('Résultats des tournois'!K$2 + 1)/'Résultats des tournois'!K102) - (1 / (1 + 10^((K$103 - lastVal)/400)))))
)
))"),"")</f>
        <v/>
      </c>
      <c r="M102" s="32" t="str">
        <f>IFERROR(__xludf.DUMMYFUNCTION("IF('Résultats des tournois'!L$2=0,"""",LET(
lastVal, INDEX(FILTER($B102:L102, ISNUMBER($B102:L102)), COUNTA(FILTER($B102:L102, ISNUMBER($B102:L102)))),
IFERROR(
IF('Résultats des tournois'!L102="""", INDEX(FILTER($C102:L102, ISNUMBER($C102:L102)), COUNTA("&amp;"FILTER($C102:L102, ISNUMBER($C102:L102)))),
lastVal + 'K dynamique'!L102 * ((SQRT('Résultats des tournois'!L$2 + 1)/'Résultats des tournois'!L102) - (1 / (1 + 10^((L$103 - lastVal)/400)))))
)
))"),"")</f>
        <v/>
      </c>
      <c r="N102" s="32" t="str">
        <f>IFERROR(__xludf.DUMMYFUNCTION("IF('Résultats des tournois'!M$2=0,"""",LET(
lastVal, INDEX(FILTER($B102:M102, ISNUMBER($B102:M102)), COUNTA(FILTER($B102:M102, ISNUMBER($B102:M102)))),
IFERROR(
IF('Résultats des tournois'!M102="""", INDEX(FILTER($C102:M102, ISNUMBER($C102:M102)), COUNTA("&amp;"FILTER($C102:M102, ISNUMBER($C102:M102)))),
lastVal + 'K dynamique'!M102 * ((SQRT('Résultats des tournois'!M$2 + 1)/'Résultats des tournois'!M102) - (1 / (1 + 10^((M$103 - lastVal)/400)))))
)
))"),"")</f>
        <v/>
      </c>
      <c r="O102" s="32" t="str">
        <f>IFERROR(__xludf.DUMMYFUNCTION("IF('Résultats des tournois'!N$2=0,"""",LET(
lastVal, INDEX(FILTER($B102:N102, ISNUMBER($B102:N102)), COUNTA(FILTER($B102:N102, ISNUMBER($B102:N102)))),
IFERROR(
IF('Résultats des tournois'!N102="""", INDEX(FILTER($C102:N102, ISNUMBER($C102:N102)), COUNTA("&amp;"FILTER($C102:N102, ISNUMBER($C102:N102)))),
lastVal + 'K dynamique'!N102 * ((SQRT('Résultats des tournois'!N$2 + 1)/'Résultats des tournois'!N102) - (1 / (1 + 10^((N$103 - lastVal)/400)))))
)
))"),"")</f>
        <v/>
      </c>
      <c r="P102" s="32" t="str">
        <f>IFERROR(__xludf.DUMMYFUNCTION("IF('Résultats des tournois'!O$2=0,"""",LET(
lastVal, INDEX(FILTER($B102:O102, ISNUMBER($B102:O102)), COUNTA(FILTER($B102:O102, ISNUMBER($B102:O102)))),
IFERROR(
IF('Résultats des tournois'!O102="""", INDEX(FILTER($C102:O102, ISNUMBER($C102:O102)), COUNTA("&amp;"FILTER($C102:O102, ISNUMBER($C102:O102)))),
lastVal + 'K dynamique'!O102 * ((SQRT('Résultats des tournois'!O$2 + 1)/'Résultats des tournois'!O102) - (1 / (1 + 10^((O$103 - lastVal)/400)))))
)
))"),"")</f>
        <v/>
      </c>
      <c r="Q102" s="32" t="str">
        <f>IFERROR(__xludf.DUMMYFUNCTION("IF('Résultats des tournois'!P$2=0,"""",LET(
lastVal, INDEX(FILTER($B102:P102, ISNUMBER($B102:P102)), COUNTA(FILTER($B102:P102, ISNUMBER($B102:P102)))),
IFERROR(
IF('Résultats des tournois'!P102="""", INDEX(FILTER($C102:P102, ISNUMBER($C102:P102)), COUNTA("&amp;"FILTER($C102:P102, ISNUMBER($C102:P102)))),
lastVal + 'K dynamique'!P102 * ((SQRT('Résultats des tournois'!P$2 + 1)/'Résultats des tournois'!P102) - (1 / (1 + 10^((P$103 - lastVal)/400)))))
)
))"),"")</f>
        <v/>
      </c>
      <c r="R102" s="32" t="str">
        <f>IFERROR(__xludf.DUMMYFUNCTION("IF('Résultats des tournois'!Q$2=0,"""",LET(
lastVal, INDEX(FILTER($B102:Q102, ISNUMBER($B102:Q102)), COUNTA(FILTER($B102:Q102, ISNUMBER($B102:Q102)))),
IFERROR(
IF('Résultats des tournois'!Q102="""", INDEX(FILTER($C102:Q102, ISNUMBER($C102:Q102)), COUNTA("&amp;"FILTER($C102:Q102, ISNUMBER($C102:Q102)))),
lastVal + 'K dynamique'!Q102 * ((SQRT('Résultats des tournois'!Q$2 + 1)/'Résultats des tournois'!Q102) - (1 / (1 + 10^((Q$103 - lastVal)/400)))))
)
))"),"")</f>
        <v/>
      </c>
      <c r="S102" s="32" t="str">
        <f>IFERROR(__xludf.DUMMYFUNCTION("IF('Résultats des tournois'!R$2=0,"""",LET(
lastVal, INDEX(FILTER($B102:R102, ISNUMBER($B102:R102)), COUNTA(FILTER($B102:R102, ISNUMBER($B102:R102)))),
IFERROR(
IF('Résultats des tournois'!R102="""", INDEX(FILTER($C102:R102, ISNUMBER($C102:R102)), COUNTA("&amp;"FILTER($C102:R102, ISNUMBER($C102:R102)))),
lastVal + 'K dynamique'!R102 * ((SQRT('Résultats des tournois'!R$2 + 1)/'Résultats des tournois'!R102) - (1 / (1 + 10^((R$103 - lastVal)/400)))))
)
))"),"")</f>
        <v/>
      </c>
      <c r="T102" s="32" t="str">
        <f>IFERROR(__xludf.DUMMYFUNCTION("IF('Résultats des tournois'!S$2=0,"""",LET(
lastVal, INDEX(FILTER($B102:S102, ISNUMBER($B102:S102)), COUNTA(FILTER($B102:S102, ISNUMBER($B102:S102)))),
IFERROR(
IF('Résultats des tournois'!S102="""", INDEX(FILTER($C102:S102, ISNUMBER($C102:S102)), COUNTA("&amp;"FILTER($C102:S102, ISNUMBER($C102:S102)))),
lastVal + 'K dynamique'!S102 * ((SQRT('Résultats des tournois'!S$2 + 1)/'Résultats des tournois'!S102) - (1 / (1 + 10^((S$103 - lastVal)/400)))))
)
))"),"")</f>
        <v/>
      </c>
      <c r="U102" s="32" t="str">
        <f>IFERROR(__xludf.DUMMYFUNCTION("IF('Résultats des tournois'!T$2=0,"""",LET(
lastVal, INDEX(FILTER($B102:T102, ISNUMBER($B102:T102)), COUNTA(FILTER($B102:T102, ISNUMBER($B102:T102)))),
IFERROR(
IF('Résultats des tournois'!T102="""", INDEX(FILTER($C102:T102, ISNUMBER($C102:T102)), COUNTA("&amp;"FILTER($C102:T102, ISNUMBER($C102:T102)))),
lastVal + 'K dynamique'!T102 * ((SQRT('Résultats des tournois'!T$2 + 1)/'Résultats des tournois'!T102) - (1 / (1 + 10^((T$103 - lastVal)/400)))))
)
))"),"")</f>
        <v/>
      </c>
      <c r="V102" s="32" t="str">
        <f>IFERROR(__xludf.DUMMYFUNCTION("IF('Résultats des tournois'!U$2=0,"""",LET(
lastVal, INDEX(FILTER($B102:U102, ISNUMBER($B102:U102)), COUNTA(FILTER($B102:U102, ISNUMBER($B102:U102)))),
IFERROR(
IF('Résultats des tournois'!U102="""", INDEX(FILTER($C102:U102, ISNUMBER($C102:U102)), COUNTA("&amp;"FILTER($C102:U102, ISNUMBER($C102:U102)))),
lastVal + 'K dynamique'!U102 * ((SQRT('Résultats des tournois'!U$2 + 1)/'Résultats des tournois'!U102) - (1 / (1 + 10^((U$103 - lastVal)/400)))))
)
))"),"")</f>
        <v/>
      </c>
      <c r="W102" s="32" t="str">
        <f>IFERROR(__xludf.DUMMYFUNCTION("IF('Résultats des tournois'!V$2=0,"""",LET(
lastVal, INDEX(FILTER($B102:V102, ISNUMBER($B102:V102)), COUNTA(FILTER($B102:V102, ISNUMBER($B102:V102)))),
IFERROR(
IF('Résultats des tournois'!V102="""", INDEX(FILTER($C102:V102, ISNUMBER($C102:V102)), COUNTA("&amp;"FILTER($C102:V102, ISNUMBER($C102:V102)))),
lastVal + 'K dynamique'!V102 * ((SQRT('Résultats des tournois'!V$2 + 1)/'Résultats des tournois'!V102) - (1 / (1 + 10^((V$103 - lastVal)/400)))))
)
))"),"")</f>
        <v/>
      </c>
      <c r="X102" s="32" t="str">
        <f>IFERROR(__xludf.DUMMYFUNCTION("IF('Résultats des tournois'!W$2=0,"""",LET(
lastVal, INDEX(FILTER($B102:W102, ISNUMBER($B102:W102)), COUNTA(FILTER($B102:W102, ISNUMBER($B102:W102)))),
IFERROR(
IF('Résultats des tournois'!W102="""", INDEX(FILTER($C102:W102, ISNUMBER($C102:W102)), COUNTA("&amp;"FILTER($C102:W102, ISNUMBER($C102:W102)))),
lastVal + 'K dynamique'!W102 * ((SQRT('Résultats des tournois'!W$2 + 1)/'Résultats des tournois'!W102) - (1 / (1 + 10^((W$103 - lastVal)/400)))))
)
))"),"")</f>
        <v/>
      </c>
      <c r="Y102" s="32" t="str">
        <f>IFERROR(__xludf.DUMMYFUNCTION("IF('Résultats des tournois'!X$2=0,"""",LET(
lastVal, INDEX(FILTER($B102:X102, ISNUMBER($B102:X102)), COUNTA(FILTER($B102:X102, ISNUMBER($B102:X102)))),
IFERROR(
IF('Résultats des tournois'!X102="""", INDEX(FILTER($C102:X102, ISNUMBER($C102:X102)), COUNTA("&amp;"FILTER($C102:X102, ISNUMBER($C102:X102)))),
lastVal + 'K dynamique'!X102 * ((SQRT('Résultats des tournois'!X$2 + 1)/'Résultats des tournois'!X102) - (1 / (1 + 10^((X$103 - lastVal)/400)))))
)
))"),"")</f>
        <v/>
      </c>
      <c r="Z102" s="32" t="str">
        <f>IFERROR(__xludf.DUMMYFUNCTION("IF('Résultats des tournois'!Y$2=0,"""",LET(
lastVal, INDEX(FILTER($B102:Y102, ISNUMBER($B102:Y102)), COUNTA(FILTER($B102:Y102, ISNUMBER($B102:Y102)))),
IFERROR(
IF('Résultats des tournois'!Y102="""", INDEX(FILTER($C102:Y102, ISNUMBER($C102:Y102)), COUNTA("&amp;"FILTER($C102:Y102, ISNUMBER($C102:Y102)))),
lastVal + 'K dynamique'!Y102 * ((SQRT('Résultats des tournois'!Y$2 + 1)/'Résultats des tournois'!Y102) - (1 / (1 + 10^((Y$103 - lastVal)/400)))))
)
))"),"")</f>
        <v/>
      </c>
      <c r="AA102" s="32" t="str">
        <f>IFERROR(__xludf.DUMMYFUNCTION("IF('Résultats des tournois'!Z$2=0,"""",LET(
lastVal, INDEX(FILTER($B102:Z102, ISNUMBER($B102:Z102)), COUNTA(FILTER($B102:Z102, ISNUMBER($B102:Z102)))),
IFERROR(
IF('Résultats des tournois'!Z102="""", INDEX(FILTER($C102:Z102, ISNUMBER($C102:Z102)), COUNTA("&amp;"FILTER($C102:Z102, ISNUMBER($C102:Z102)))),
lastVal + 'K dynamique'!Z102 * ((SQRT('Résultats des tournois'!Z$2 + 1)/'Résultats des tournois'!Z102) - (1 / (1 + 10^((Z$103 - lastVal)/400)))))
)
))"),"")</f>
        <v/>
      </c>
      <c r="AB102" s="32" t="str">
        <f>IFERROR(__xludf.DUMMYFUNCTION("IF('Résultats des tournois'!AA$2=0,"""",LET(
lastVal, INDEX(FILTER($B102:AA102, ISNUMBER($B102:AA102)), COUNTA(FILTER($B102:AA102, ISNUMBER($B102:AA102)))),
IFERROR(
IF('Résultats des tournois'!AA102="""", INDEX(FILTER($C102:AA102, ISNUMBER($C102:AA102)),"&amp;" COUNTA(FILTER($C102:AA102, ISNUMBER($C102:AA102)))),
lastVal + 'K dynamique'!AA102 * ((SQRT('Résultats des tournois'!AA$2 + 1)/'Résultats des tournois'!AA102) - (1 / (1 + 10^((AA$103 - lastVal)/400)))))
)
))"),"")</f>
        <v/>
      </c>
      <c r="AC102" s="32" t="str">
        <f>IFERROR(__xludf.DUMMYFUNCTION("IF('Résultats des tournois'!AB$2=0,"""",LET(
lastVal, INDEX(FILTER($B102:AB102, ISNUMBER($B102:AB102)), COUNTA(FILTER($B102:AB102, ISNUMBER($B102:AB102)))),
IFERROR(
IF('Résultats des tournois'!AB102="""", INDEX(FILTER($C102:AB102, ISNUMBER($C102:AB102)),"&amp;" COUNTA(FILTER($C102:AB102, ISNUMBER($C102:AB102)))),
lastVal + 'K dynamique'!AB102 * ((SQRT('Résultats des tournois'!AB$2 + 1)/'Résultats des tournois'!AB102) - (1 / (1 + 10^((AB$103 - lastVal)/400)))))
)
))"),"")</f>
        <v/>
      </c>
      <c r="AD102" s="32" t="str">
        <f>IFERROR(__xludf.DUMMYFUNCTION("IF('Résultats des tournois'!AC$2=0,"""",LET(
lastVal, INDEX(FILTER($B102:AC102, ISNUMBER($B102:AC102)), COUNTA(FILTER($B102:AC102, ISNUMBER($B102:AC102)))),
IFERROR(
IF('Résultats des tournois'!AC102="""", INDEX(FILTER($C102:AC102, ISNUMBER($C102:AC102)),"&amp;" COUNTA(FILTER($C102:AC102, ISNUMBER($C102:AC102)))),
lastVal + 'K dynamique'!AC102 * ((SQRT('Résultats des tournois'!AC$2 + 1)/'Résultats des tournois'!AC102) - (1 / (1 + 10^((AC$103 - lastVal)/400)))))
)
))"),"")</f>
        <v/>
      </c>
      <c r="AE102" s="32" t="str">
        <f>IFERROR(__xludf.DUMMYFUNCTION("IF('Résultats des tournois'!AD$2=0,"""",LET(
lastVal, INDEX(FILTER($B102:AD102, ISNUMBER($B102:AD102)), COUNTA(FILTER($B102:AD102, ISNUMBER($B102:AD102)))),
IFERROR(
IF('Résultats des tournois'!AD102="""", INDEX(FILTER($C102:AD102, ISNUMBER($C102:AD102)),"&amp;" COUNTA(FILTER($C102:AD102, ISNUMBER($C102:AD102)))),
lastVal + 'K dynamique'!AD102 * ((SQRT('Résultats des tournois'!AD$2 + 1)/'Résultats des tournois'!AD102) - (1 / (1 + 10^((AD$103 - lastVal)/400)))))
)
))"),"")</f>
        <v/>
      </c>
      <c r="AF102" s="32" t="str">
        <f>IFERROR(__xludf.DUMMYFUNCTION("IF('Résultats des tournois'!AE$2=0,"""",LET(
lastVal, INDEX(FILTER($B102:AE102, ISNUMBER($B102:AE102)), COUNTA(FILTER($B102:AE102, ISNUMBER($B102:AE102)))),
IFERROR(
IF('Résultats des tournois'!AE102="""", INDEX(FILTER($C102:AE102, ISNUMBER($C102:AE102)),"&amp;" COUNTA(FILTER($C102:AE102, ISNUMBER($C102:AE102)))),
lastVal + 'K dynamique'!AE102 * ((SQRT('Résultats des tournois'!AE$2 + 1)/'Résultats des tournois'!AE102) - (1 / (1 + 10^((AE$103 - lastVal)/400)))))
)
))"),"")</f>
        <v/>
      </c>
      <c r="AG102" s="32" t="str">
        <f>IFERROR(__xludf.DUMMYFUNCTION("IF('Résultats des tournois'!AF$2=0,"""",LET(
lastVal, INDEX(FILTER($B102:AF102, ISNUMBER($B102:AF102)), COUNTA(FILTER($B102:AF102, ISNUMBER($B102:AF102)))),
IFERROR(
IF('Résultats des tournois'!AF102="""", INDEX(FILTER($C102:AF102, ISNUMBER($C102:AF102)),"&amp;" COUNTA(FILTER($C102:AF102, ISNUMBER($C102:AF102)))),
lastVal + 'K dynamique'!AF102 * ((SQRT('Résultats des tournois'!AF$2 + 1)/'Résultats des tournois'!AF102) - (1 / (1 + 10^((AF$103 - lastVal)/400)))))
)
))"),"")</f>
        <v/>
      </c>
      <c r="AH102" s="32" t="str">
        <f>IFERROR(__xludf.DUMMYFUNCTION("IF('Résultats des tournois'!AG$2=0,"""",LET(
lastVal, INDEX(FILTER($B102:AG102, ISNUMBER($B102:AG102)), COUNTA(FILTER($B102:AG102, ISNUMBER($B102:AG102)))),
IFERROR(
IF('Résultats des tournois'!AG102="""", INDEX(FILTER($C102:AG102, ISNUMBER($C102:AG102)),"&amp;" COUNTA(FILTER($C102:AG102, ISNUMBER($C102:AG102)))),
lastVal + 'K dynamique'!AG102 * ((SQRT('Résultats des tournois'!AG$2 + 1)/'Résultats des tournois'!AG102) - (1 / (1 + 10^((AG$103 - lastVal)/400)))))
)
))"),"")</f>
        <v/>
      </c>
      <c r="AI102" s="32" t="str">
        <f>IFERROR(__xludf.DUMMYFUNCTION("IF('Résultats des tournois'!AH$2=0,"""",LET(
lastVal, INDEX(FILTER($B102:AH102, ISNUMBER($B102:AH102)), COUNTA(FILTER($B102:AH102, ISNUMBER($B102:AH102)))),
IFERROR(
IF('Résultats des tournois'!AH102="""", INDEX(FILTER($C102:AH102, ISNUMBER($C102:AH102)),"&amp;" COUNTA(FILTER($C102:AH102, ISNUMBER($C102:AH102)))),
lastVal + 'K dynamique'!AH102 * ((SQRT('Résultats des tournois'!AH$2 + 1)/'Résultats des tournois'!AH102) - (1 / (1 + 10^((AH$103 - lastVal)/400)))))
)
))"),"")</f>
        <v/>
      </c>
      <c r="AJ102" s="32" t="str">
        <f>IFERROR(__xludf.DUMMYFUNCTION("IF('Résultats des tournois'!AI$2=0,"""",LET(
lastVal, INDEX(FILTER($B102:AI102, ISNUMBER($B102:AI102)), COUNTA(FILTER($B102:AI102, ISNUMBER($B102:AI102)))),
IFERROR(
IF('Résultats des tournois'!AI102="""", INDEX(FILTER($C102:AI102, ISNUMBER($C102:AI102)),"&amp;" COUNTA(FILTER($C102:AI102, ISNUMBER($C102:AI102)))),
lastVal + 'K dynamique'!AI102 * ((SQRT('Résultats des tournois'!AI$2 + 1)/'Résultats des tournois'!AI102) - (1 / (1 + 10^((AI$103 - lastVal)/400)))))
)
))"),"")</f>
        <v/>
      </c>
      <c r="AK102" s="32" t="str">
        <f>IFERROR(__xludf.DUMMYFUNCTION("IF('Résultats des tournois'!AJ$2=0,"""",LET(
lastVal, INDEX(FILTER($B102:AJ102, ISNUMBER($B102:AJ102)), COUNTA(FILTER($B102:AJ102, ISNUMBER($B102:AJ102)))),
IFERROR(
IF('Résultats des tournois'!AJ102="""", INDEX(FILTER($C102:AJ102, ISNUMBER($C102:AJ102)),"&amp;" COUNTA(FILTER($C102:AJ102, ISNUMBER($C102:AJ102)))),
lastVal + 'K dynamique'!AJ102 * ((SQRT('Résultats des tournois'!AJ$2 + 1)/'Résultats des tournois'!AJ102) - (1 / (1 + 10^((AJ$103 - lastVal)/400)))))
)
))"),"")</f>
        <v/>
      </c>
      <c r="AL102" s="32" t="str">
        <f>IFERROR(__xludf.DUMMYFUNCTION("IF('Résultats des tournois'!AK$2=0,"""",LET(
lastVal, INDEX(FILTER($B102:AK102, ISNUMBER($B102:AK102)), COUNTA(FILTER($B102:AK102, ISNUMBER($B102:AK102)))),
IFERROR(
IF('Résultats des tournois'!AK102="""", INDEX(FILTER($C102:AK102, ISNUMBER($C102:AK102)),"&amp;" COUNTA(FILTER($C102:AK102, ISNUMBER($C102:AK102)))),
lastVal + 'K dynamique'!AK102 * ((SQRT('Résultats des tournois'!AK$2 + 1)/'Résultats des tournois'!AK102) - (1 / (1 + 10^((AK$103 - lastVal)/400)))))
)
))"),"")</f>
        <v/>
      </c>
      <c r="AM102" s="32" t="str">
        <f>IFERROR(__xludf.DUMMYFUNCTION("IF('Résultats des tournois'!AL$2=0,"""",LET(
lastVal, INDEX(FILTER($B102:AL102, ISNUMBER($B102:AL102)), COUNTA(FILTER($B102:AL102, ISNUMBER($B102:AL102)))),
IFERROR(
IF('Résultats des tournois'!AL102="""", INDEX(FILTER($C102:AL102, ISNUMBER($C102:AL102)),"&amp;" COUNTA(FILTER($C102:AL102, ISNUMBER($C102:AL102)))),
lastVal + 'K dynamique'!AL102 * ((SQRT('Résultats des tournois'!AL$2 + 1)/'Résultats des tournois'!AL102) - (1 / (1 + 10^((AL$103 - lastVal)/400)))))
)
))"),"")</f>
        <v/>
      </c>
      <c r="AN102" s="32" t="str">
        <f>IFERROR(__xludf.DUMMYFUNCTION("IF('Résultats des tournois'!AM$2=0,"""",LET(
lastVal, INDEX(FILTER($B102:AM102, ISNUMBER($B102:AM102)), COUNTA(FILTER($B102:AM102, ISNUMBER($B102:AM102)))),
IFERROR(
IF('Résultats des tournois'!AM102="""", INDEX(FILTER($C102:AM102, ISNUMBER($C102:AM102)),"&amp;" COUNTA(FILTER($C102:AM102, ISNUMBER($C102:AM102)))),
lastVal + 'K dynamique'!AM102 * ((SQRT('Résultats des tournois'!AM$2 + 1)/'Résultats des tournois'!AM102) - (1 / (1 + 10^((AM$103 - lastVal)/400)))))
)
))"),"")</f>
        <v/>
      </c>
      <c r="AO102" s="32" t="str">
        <f>IFERROR(__xludf.DUMMYFUNCTION("IF('Résultats des tournois'!AN$2=0,"""",LET(
lastVal, INDEX(FILTER($B102:AN102, ISNUMBER($B102:AN102)), COUNTA(FILTER($B102:AN102, ISNUMBER($B102:AN102)))),
IFERROR(
IF('Résultats des tournois'!AN102="""", INDEX(FILTER($C102:AN102, ISNUMBER($C102:AN102)),"&amp;" COUNTA(FILTER($C102:AN102, ISNUMBER($C102:AN102)))),
lastVal + 'K dynamique'!AN102 * ((SQRT('Résultats des tournois'!AN$2 + 1)/'Résultats des tournois'!AN102) - (1 / (1 + 10^((AN$103 - lastVal)/400)))))
)
))"),"")</f>
        <v/>
      </c>
      <c r="AP102" s="32" t="str">
        <f>IFERROR(__xludf.DUMMYFUNCTION("IF('Résultats des tournois'!AO$2=0,"""",LET(
lastVal, INDEX(FILTER($B102:AO102, ISNUMBER($B102:AO102)), COUNTA(FILTER($B102:AO102, ISNUMBER($B102:AO102)))),
IFERROR(
IF('Résultats des tournois'!AO102="""", INDEX(FILTER($C102:AO102, ISNUMBER($C102:AO102)),"&amp;" COUNTA(FILTER($C102:AO102, ISNUMBER($C102:AO102)))),
lastVal + 'K dynamique'!AO102 * ((SQRT('Résultats des tournois'!AO$2 + 1)/'Résultats des tournois'!AO102) - (1 / (1 + 10^((AO$103 - lastVal)/400)))))
)
))"),"")</f>
        <v/>
      </c>
      <c r="AQ102" s="32" t="str">
        <f>IFERROR(__xludf.DUMMYFUNCTION("IF('Résultats des tournois'!AP$2=0,"""",LET(
lastVal, INDEX(FILTER($B102:AP102, ISNUMBER($B102:AP102)), COUNTA(FILTER($B102:AP102, ISNUMBER($B102:AP102)))),
IFERROR(
IF('Résultats des tournois'!AP102="""", INDEX(FILTER($C102:AP102, ISNUMBER($C102:AP102)),"&amp;" COUNTA(FILTER($C102:AP102, ISNUMBER($C102:AP102)))),
lastVal + 'K dynamique'!AP102 * ((SQRT('Résultats des tournois'!AP$2 + 1)/'Résultats des tournois'!AP102) - (1 / (1 + 10^((AP$103 - lastVal)/400)))))
)
))"),"")</f>
        <v/>
      </c>
      <c r="AR102" s="32" t="str">
        <f>IFERROR(__xludf.DUMMYFUNCTION("IF('Résultats des tournois'!AQ$2=0,"""",LET(
lastVal, INDEX(FILTER($B102:AQ102, ISNUMBER($B102:AQ102)), COUNTA(FILTER($B102:AQ102, ISNUMBER($B102:AQ102)))),
IFERROR(
IF('Résultats des tournois'!AQ102="""", INDEX(FILTER($C102:AQ102, ISNUMBER($C102:AQ102)),"&amp;" COUNTA(FILTER($C102:AQ102, ISNUMBER($C102:AQ102)))),
lastVal + 'K dynamique'!AQ102 * ((SQRT('Résultats des tournois'!AQ$2 + 1)/'Résultats des tournois'!AQ102) - (1 / (1 + 10^((AQ$103 - lastVal)/400)))))
)
))"),"")</f>
        <v/>
      </c>
      <c r="AS102" s="32" t="str">
        <f>IFERROR(__xludf.DUMMYFUNCTION("IF('Résultats des tournois'!AR$2=0,"""",LET(
lastVal, INDEX(FILTER($B102:AR102, ISNUMBER($B102:AR102)), COUNTA(FILTER($B102:AR102, ISNUMBER($B102:AR102)))),
IFERROR(
IF('Résultats des tournois'!AR102="""", INDEX(FILTER($C102:AR102, ISNUMBER($C102:AR102)),"&amp;" COUNTA(FILTER($C102:AR102, ISNUMBER($C102:AR102)))),
lastVal + 'K dynamique'!AR102 * ((SQRT('Résultats des tournois'!AR$2 + 1)/'Résultats des tournois'!AR102) - (1 / (1 + 10^((AR$103 - lastVal)/400)))))
)
))"),"")</f>
        <v/>
      </c>
      <c r="AT102" s="32" t="str">
        <f>IFERROR(__xludf.DUMMYFUNCTION("IF('Résultats des tournois'!AS$2=0,"""",LET(
lastVal, INDEX(FILTER($B102:AS102, ISNUMBER($B102:AS102)), COUNTA(FILTER($B102:AS102, ISNUMBER($B102:AS102)))),
IFERROR(
IF('Résultats des tournois'!AS102="""", INDEX(FILTER($C102:AS102, ISNUMBER($C102:AS102)),"&amp;" COUNTA(FILTER($C102:AS102, ISNUMBER($C102:AS102)))),
lastVal + 'K dynamique'!AS102 * ((SQRT('Résultats des tournois'!AS$2 + 1)/'Résultats des tournois'!AS102) - (1 / (1 + 10^((AS$103 - lastVal)/400)))))
)
))"),"")</f>
        <v/>
      </c>
      <c r="AU102" s="32" t="str">
        <f>IFERROR(__xludf.DUMMYFUNCTION("IF('Résultats des tournois'!AT$2=0,"""",LET(
lastVal, INDEX(FILTER($B102:AT102, ISNUMBER($B102:AT102)), COUNTA(FILTER($B102:AT102, ISNUMBER($B102:AT102)))),
IFERROR(
IF('Résultats des tournois'!AT102="""", INDEX(FILTER($C102:AT102, ISNUMBER($C102:AT102)),"&amp;" COUNTA(FILTER($C102:AT102, ISNUMBER($C102:AT102)))),
lastVal + 'K dynamique'!AT102 * ((SQRT('Résultats des tournois'!AT$2 + 1)/'Résultats des tournois'!AT102) - (1 / (1 + 10^((AT$103 - lastVal)/400)))))
)
))"),"")</f>
        <v/>
      </c>
      <c r="AV102" s="32" t="str">
        <f>IFERROR(__xludf.DUMMYFUNCTION("IF('Résultats des tournois'!AU$2=0,"""",LET(
lastVal, INDEX(FILTER($B102:AU102, ISNUMBER($B102:AU102)), COUNTA(FILTER($B102:AU102, ISNUMBER($B102:AU102)))),
IFERROR(
IF('Résultats des tournois'!AU102="""", INDEX(FILTER($C102:AU102, ISNUMBER($C102:AU102)),"&amp;" COUNTA(FILTER($C102:AU102, ISNUMBER($C102:AU102)))),
lastVal + 'K dynamique'!AU102 * ((SQRT('Résultats des tournois'!AU$2 + 1)/'Résultats des tournois'!AU102) - (1 / (1 + 10^((AU$103 - lastVal)/400)))))
)
))"),"")</f>
        <v/>
      </c>
      <c r="AW102" s="32" t="str">
        <f>IFERROR(__xludf.DUMMYFUNCTION("IF('Résultats des tournois'!AV$2=0,"""",LET(
lastVal, INDEX(FILTER($B102:AV102, ISNUMBER($B102:AV102)), COUNTA(FILTER($B102:AV102, ISNUMBER($B102:AV102)))),
IFERROR(
IF('Résultats des tournois'!AV102="""", INDEX(FILTER($C102:AV102, ISNUMBER($C102:AV102)),"&amp;" COUNTA(FILTER($C102:AV102, ISNUMBER($C102:AV102)))),
lastVal + 'K dynamique'!AV102 * ((SQRT('Résultats des tournois'!AV$2 + 1)/'Résultats des tournois'!AV102) - (1 / (1 + 10^((AV$103 - lastVal)/400)))))
)
))"),"")</f>
        <v/>
      </c>
      <c r="AX102" s="32" t="str">
        <f>IFERROR(__xludf.DUMMYFUNCTION("IF('Résultats des tournois'!AW$2=0,"""",LET(
lastVal, INDEX(FILTER($B102:AW102, ISNUMBER($B102:AW102)), COUNTA(FILTER($B102:AW102, ISNUMBER($B102:AW102)))),
IFERROR(
IF('Résultats des tournois'!AW102="""", INDEX(FILTER($C102:AW102, ISNUMBER($C102:AW102)),"&amp;" COUNTA(FILTER($C102:AW102, ISNUMBER($C102:AW102)))),
lastVal + 'K dynamique'!AW102 * ((SQRT('Résultats des tournois'!AW$2 + 1)/'Résultats des tournois'!AW102) - (1 / (1 + 10^((AW$103 - lastVal)/400)))))
)
))"),"")</f>
        <v/>
      </c>
      <c r="AY102" s="32" t="str">
        <f>IFERROR(__xludf.DUMMYFUNCTION("IF('Résultats des tournois'!AX$2=0,"""",LET(
lastVal, INDEX(FILTER($B102:AX102, ISNUMBER($B102:AX102)), COUNTA(FILTER($B102:AX102, ISNUMBER($B102:AX102)))),
IFERROR(
IF('Résultats des tournois'!AX102="""", INDEX(FILTER($C102:AX102, ISNUMBER($C102:AX102)),"&amp;" COUNTA(FILTER($C102:AX102, ISNUMBER($C102:AX102)))),
lastVal + 'K dynamique'!AX102 * ((SQRT('Résultats des tournois'!AX$2 + 1)/'Résultats des tournois'!AX102) - (1 / (1 + 10^((AX$103 - lastVal)/400)))))
)
))"),"")</f>
        <v/>
      </c>
      <c r="AZ102" s="4" t="str">
        <f t="array" ref="AZ102">IF(MAX(($C102:AY102&lt;&gt;"")*COLUMN($C102:AY102))=0,"",INDEX($C102:AY102,1,MAX(($C102:AY102&lt;&gt;"")*COLUMN($C102:AY102))-COLUMN($C102)+1))</f>
        <v/>
      </c>
      <c r="BA102" s="33" t="str">
        <f t="shared" si="1"/>
        <v/>
      </c>
    </row>
    <row r="103" ht="14.25" customHeight="1">
      <c r="A103" s="34" t="s">
        <v>44</v>
      </c>
      <c r="B103" s="32">
        <v>1500.0</v>
      </c>
      <c r="C103" s="32">
        <f t="shared" ref="C103:AY103" si="2">IF(COUNT(C4:C102)=0,"",AVERAGE(C4:C102))</f>
        <v>1513.289775</v>
      </c>
      <c r="D103" s="32">
        <f t="shared" si="2"/>
        <v>1523.701364</v>
      </c>
      <c r="E103" s="32">
        <f t="shared" si="2"/>
        <v>1531.967167</v>
      </c>
      <c r="F103" s="32">
        <f t="shared" si="2"/>
        <v>1541.59441</v>
      </c>
      <c r="G103" s="32">
        <f t="shared" si="2"/>
        <v>1548.720346</v>
      </c>
      <c r="H103" s="32">
        <f t="shared" si="2"/>
        <v>1548.349953</v>
      </c>
      <c r="I103" s="32">
        <f t="shared" si="2"/>
        <v>1556.307569</v>
      </c>
      <c r="J103" s="32">
        <f t="shared" si="2"/>
        <v>1561.527966</v>
      </c>
      <c r="K103" s="32">
        <f t="shared" si="2"/>
        <v>1569.684388</v>
      </c>
      <c r="L103" s="32">
        <f t="shared" si="2"/>
        <v>1573.212952</v>
      </c>
      <c r="M103" s="32">
        <f t="shared" si="2"/>
        <v>1574.889522</v>
      </c>
      <c r="N103" s="32" t="str">
        <f t="shared" si="2"/>
        <v/>
      </c>
      <c r="O103" s="32" t="str">
        <f t="shared" si="2"/>
        <v/>
      </c>
      <c r="P103" s="32" t="str">
        <f t="shared" si="2"/>
        <v/>
      </c>
      <c r="Q103" s="32" t="str">
        <f t="shared" si="2"/>
        <v/>
      </c>
      <c r="R103" s="32" t="str">
        <f t="shared" si="2"/>
        <v/>
      </c>
      <c r="S103" s="32" t="str">
        <f t="shared" si="2"/>
        <v/>
      </c>
      <c r="T103" s="32" t="str">
        <f t="shared" si="2"/>
        <v/>
      </c>
      <c r="U103" s="32" t="str">
        <f t="shared" si="2"/>
        <v/>
      </c>
      <c r="V103" s="32" t="str">
        <f t="shared" si="2"/>
        <v/>
      </c>
      <c r="W103" s="32" t="str">
        <f t="shared" si="2"/>
        <v/>
      </c>
      <c r="X103" s="32" t="str">
        <f t="shared" si="2"/>
        <v/>
      </c>
      <c r="Y103" s="32" t="str">
        <f t="shared" si="2"/>
        <v/>
      </c>
      <c r="Z103" s="32" t="str">
        <f t="shared" si="2"/>
        <v/>
      </c>
      <c r="AA103" s="32" t="str">
        <f t="shared" si="2"/>
        <v/>
      </c>
      <c r="AB103" s="32" t="str">
        <f t="shared" si="2"/>
        <v/>
      </c>
      <c r="AC103" s="32" t="str">
        <f t="shared" si="2"/>
        <v/>
      </c>
      <c r="AD103" s="32" t="str">
        <f t="shared" si="2"/>
        <v/>
      </c>
      <c r="AE103" s="32" t="str">
        <f t="shared" si="2"/>
        <v/>
      </c>
      <c r="AF103" s="32" t="str">
        <f t="shared" si="2"/>
        <v/>
      </c>
      <c r="AG103" s="32" t="str">
        <f t="shared" si="2"/>
        <v/>
      </c>
      <c r="AH103" s="32" t="str">
        <f t="shared" si="2"/>
        <v/>
      </c>
      <c r="AI103" s="32" t="str">
        <f t="shared" si="2"/>
        <v/>
      </c>
      <c r="AJ103" s="32" t="str">
        <f t="shared" si="2"/>
        <v/>
      </c>
      <c r="AK103" s="32" t="str">
        <f t="shared" si="2"/>
        <v/>
      </c>
      <c r="AL103" s="32" t="str">
        <f t="shared" si="2"/>
        <v/>
      </c>
      <c r="AM103" s="32" t="str">
        <f t="shared" si="2"/>
        <v/>
      </c>
      <c r="AN103" s="32" t="str">
        <f t="shared" si="2"/>
        <v/>
      </c>
      <c r="AO103" s="32" t="str">
        <f t="shared" si="2"/>
        <v/>
      </c>
      <c r="AP103" s="32" t="str">
        <f t="shared" si="2"/>
        <v/>
      </c>
      <c r="AQ103" s="32" t="str">
        <f t="shared" si="2"/>
        <v/>
      </c>
      <c r="AR103" s="32" t="str">
        <f t="shared" si="2"/>
        <v/>
      </c>
      <c r="AS103" s="32" t="str">
        <f t="shared" si="2"/>
        <v/>
      </c>
      <c r="AT103" s="32" t="str">
        <f t="shared" si="2"/>
        <v/>
      </c>
      <c r="AU103" s="32" t="str">
        <f t="shared" si="2"/>
        <v/>
      </c>
      <c r="AV103" s="32" t="str">
        <f t="shared" si="2"/>
        <v/>
      </c>
      <c r="AW103" s="32" t="str">
        <f t="shared" si="2"/>
        <v/>
      </c>
      <c r="AX103" s="32" t="str">
        <f t="shared" si="2"/>
        <v/>
      </c>
      <c r="AY103" s="32" t="str">
        <f t="shared" si="2"/>
        <v/>
      </c>
      <c r="AZ103" s="4"/>
      <c r="BA103" s="4"/>
    </row>
    <row r="104" ht="14.25" customHeight="1">
      <c r="AZ104" s="4"/>
    </row>
    <row r="105" ht="14.25" customHeight="1">
      <c r="AZ105" s="4"/>
    </row>
    <row r="106" ht="14.25" customHeight="1">
      <c r="AZ106" s="4"/>
    </row>
    <row r="107" ht="14.25" customHeight="1">
      <c r="AZ107" s="4"/>
    </row>
    <row r="108" ht="14.25" customHeight="1">
      <c r="AZ108" s="4"/>
    </row>
    <row r="109" ht="14.25" customHeight="1">
      <c r="AZ109" s="4"/>
    </row>
    <row r="110" ht="14.25" customHeight="1">
      <c r="AZ110" s="4"/>
    </row>
    <row r="111" ht="14.25" customHeight="1">
      <c r="AZ111" s="4"/>
    </row>
    <row r="112" ht="14.25" customHeight="1">
      <c r="AZ112" s="4"/>
    </row>
    <row r="113" ht="14.25" customHeight="1">
      <c r="AZ113" s="4"/>
    </row>
    <row r="114" ht="14.25" customHeight="1">
      <c r="AZ114" s="4"/>
    </row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0" width="10.71"/>
  </cols>
  <sheetData>
    <row r="1" ht="14.25" customHeight="1">
      <c r="A1" s="15" t="s">
        <v>50</v>
      </c>
      <c r="B1" s="15" t="s">
        <v>51</v>
      </c>
      <c r="C1" s="15" t="s">
        <v>52</v>
      </c>
      <c r="D1" s="15" t="s">
        <v>53</v>
      </c>
      <c r="E1" s="15" t="s">
        <v>54</v>
      </c>
      <c r="F1" s="15" t="s">
        <v>55</v>
      </c>
      <c r="G1" s="15" t="s">
        <v>56</v>
      </c>
      <c r="H1" s="15" t="s">
        <v>57</v>
      </c>
      <c r="I1" s="15" t="s">
        <v>58</v>
      </c>
      <c r="J1" s="15" t="s">
        <v>59</v>
      </c>
      <c r="K1" s="15" t="s">
        <v>60</v>
      </c>
      <c r="L1" s="15" t="s">
        <v>61</v>
      </c>
      <c r="M1" s="15" t="s">
        <v>62</v>
      </c>
      <c r="N1" s="15" t="s">
        <v>63</v>
      </c>
      <c r="O1" s="15" t="s">
        <v>64</v>
      </c>
      <c r="P1" s="15" t="s">
        <v>65</v>
      </c>
      <c r="Q1" s="15" t="s">
        <v>66</v>
      </c>
      <c r="R1" s="15" t="s">
        <v>67</v>
      </c>
      <c r="S1" s="15" t="s">
        <v>68</v>
      </c>
      <c r="T1" s="15" t="s">
        <v>69</v>
      </c>
      <c r="U1" s="15" t="s">
        <v>70</v>
      </c>
      <c r="V1" s="15" t="s">
        <v>71</v>
      </c>
      <c r="W1" s="15" t="s">
        <v>72</v>
      </c>
      <c r="X1" s="15" t="s">
        <v>73</v>
      </c>
      <c r="Y1" s="15" t="s">
        <v>74</v>
      </c>
      <c r="Z1" s="15" t="s">
        <v>75</v>
      </c>
      <c r="AA1" s="15" t="s">
        <v>76</v>
      </c>
      <c r="AB1" s="15" t="s">
        <v>77</v>
      </c>
      <c r="AC1" s="15" t="s">
        <v>78</v>
      </c>
      <c r="AD1" s="15" t="s">
        <v>79</v>
      </c>
      <c r="AE1" s="15" t="s">
        <v>80</v>
      </c>
      <c r="AF1" s="15" t="s">
        <v>81</v>
      </c>
      <c r="AG1" s="15" t="s">
        <v>82</v>
      </c>
      <c r="AH1" s="15" t="s">
        <v>83</v>
      </c>
      <c r="AI1" s="15" t="s">
        <v>84</v>
      </c>
      <c r="AJ1" s="15" t="s">
        <v>85</v>
      </c>
      <c r="AK1" s="15" t="s">
        <v>86</v>
      </c>
      <c r="AL1" s="15" t="s">
        <v>87</v>
      </c>
      <c r="AM1" s="15" t="s">
        <v>88</v>
      </c>
      <c r="AN1" s="15" t="s">
        <v>89</v>
      </c>
      <c r="AO1" s="15" t="s">
        <v>90</v>
      </c>
      <c r="AP1" s="15" t="s">
        <v>91</v>
      </c>
      <c r="AQ1" s="15" t="s">
        <v>92</v>
      </c>
      <c r="AR1" s="15" t="s">
        <v>93</v>
      </c>
      <c r="AS1" s="15" t="s">
        <v>94</v>
      </c>
      <c r="AT1" s="15" t="s">
        <v>95</v>
      </c>
      <c r="AU1" s="15" t="s">
        <v>96</v>
      </c>
      <c r="AV1" s="15" t="s">
        <v>97</v>
      </c>
      <c r="AW1" s="15" t="s">
        <v>98</v>
      </c>
      <c r="AX1" s="15" t="s">
        <v>99</v>
      </c>
    </row>
    <row r="2" ht="14.25" customHeight="1">
      <c r="A2" s="15" t="s">
        <v>100</v>
      </c>
    </row>
    <row r="3" ht="14.25" customHeight="1">
      <c r="A3" s="15" t="s">
        <v>101</v>
      </c>
      <c r="B3" s="15" t="s">
        <v>102</v>
      </c>
      <c r="C3" s="15" t="s">
        <v>102</v>
      </c>
      <c r="D3" s="15" t="s">
        <v>102</v>
      </c>
      <c r="E3" s="15" t="s">
        <v>102</v>
      </c>
      <c r="F3" s="15" t="s">
        <v>102</v>
      </c>
      <c r="G3" s="15" t="s">
        <v>102</v>
      </c>
      <c r="H3" s="15" t="s">
        <v>102</v>
      </c>
      <c r="I3" s="15" t="s">
        <v>102</v>
      </c>
      <c r="J3" s="15" t="s">
        <v>102</v>
      </c>
      <c r="K3" s="15" t="s">
        <v>102</v>
      </c>
      <c r="L3" s="15" t="s">
        <v>102</v>
      </c>
      <c r="M3" s="15" t="s">
        <v>102</v>
      </c>
      <c r="N3" s="15" t="s">
        <v>102</v>
      </c>
      <c r="O3" s="15" t="s">
        <v>102</v>
      </c>
      <c r="P3" s="15" t="s">
        <v>102</v>
      </c>
      <c r="Q3" s="15" t="s">
        <v>102</v>
      </c>
      <c r="R3" s="15" t="s">
        <v>102</v>
      </c>
      <c r="S3" s="15" t="s">
        <v>102</v>
      </c>
      <c r="T3" s="15" t="s">
        <v>102</v>
      </c>
      <c r="U3" s="15" t="s">
        <v>102</v>
      </c>
      <c r="V3" s="15" t="s">
        <v>102</v>
      </c>
      <c r="W3" s="15" t="s">
        <v>102</v>
      </c>
      <c r="X3" s="15" t="s">
        <v>102</v>
      </c>
      <c r="Y3" s="15" t="s">
        <v>102</v>
      </c>
      <c r="Z3" s="15" t="s">
        <v>102</v>
      </c>
      <c r="AA3" s="15" t="s">
        <v>102</v>
      </c>
      <c r="AB3" s="15" t="s">
        <v>102</v>
      </c>
      <c r="AC3" s="15" t="s">
        <v>102</v>
      </c>
      <c r="AD3" s="15" t="s">
        <v>102</v>
      </c>
      <c r="AE3" s="15" t="s">
        <v>102</v>
      </c>
      <c r="AF3" s="15" t="s">
        <v>102</v>
      </c>
      <c r="AG3" s="15" t="s">
        <v>102</v>
      </c>
      <c r="AH3" s="15" t="s">
        <v>102</v>
      </c>
      <c r="AI3" s="15" t="s">
        <v>102</v>
      </c>
      <c r="AJ3" s="15" t="s">
        <v>102</v>
      </c>
      <c r="AK3" s="15" t="s">
        <v>102</v>
      </c>
      <c r="AL3" s="15" t="s">
        <v>102</v>
      </c>
      <c r="AM3" s="15" t="s">
        <v>102</v>
      </c>
      <c r="AN3" s="15" t="s">
        <v>102</v>
      </c>
      <c r="AO3" s="15" t="s">
        <v>102</v>
      </c>
      <c r="AP3" s="15" t="s">
        <v>102</v>
      </c>
      <c r="AQ3" s="15" t="s">
        <v>102</v>
      </c>
      <c r="AR3" s="15" t="s">
        <v>102</v>
      </c>
      <c r="AS3" s="15" t="s">
        <v>102</v>
      </c>
      <c r="AT3" s="15" t="s">
        <v>102</v>
      </c>
      <c r="AU3" s="15" t="s">
        <v>102</v>
      </c>
      <c r="AV3" s="15" t="s">
        <v>102</v>
      </c>
      <c r="AW3" s="15" t="s">
        <v>102</v>
      </c>
      <c r="AX3" s="15" t="s">
        <v>102</v>
      </c>
    </row>
    <row r="4" ht="14.25" customHeight="1">
      <c r="A4" s="15" t="str">
        <f>IF('Résultats des tournois'!A4="","",'Résultats des tournois'!A4)</f>
        <v>Breizhkanaki</v>
      </c>
      <c r="B4" s="15">
        <f>IF(COUNTIF('Résultats des tournois'!B4,"&lt;&gt;")&lt;=5,32,IF(COUNTIF('Résultats des tournois'!B4,"&lt;&gt;")&lt;=15,24,16))</f>
        <v>32</v>
      </c>
      <c r="C4" s="15">
        <f>IF(COUNTIF('Résultats des tournois'!$B4:'Résultats des tournois'!C4,"&lt;&gt;")&lt;=5,32,IF(COUNTIF('Résultats des tournois'!$B4:'Résultats des tournois'!C4,"&lt;&gt;")&lt;=15,24,16))</f>
        <v>32</v>
      </c>
      <c r="D4" s="15">
        <f>IF(COUNTIF('Résultats des tournois'!$B4:'Résultats des tournois'!D4,"&lt;&gt;")&lt;=5,32,IF(COUNTIF('Résultats des tournois'!$B4:'Résultats des tournois'!D4,"&lt;&gt;")&lt;=15,24,16))</f>
        <v>32</v>
      </c>
      <c r="E4" s="15">
        <f>IF(COUNTIF('Résultats des tournois'!$B4:'Résultats des tournois'!E4,"&lt;&gt;")&lt;=5,32,IF(COUNTIF('Résultats des tournois'!$B4:'Résultats des tournois'!E4,"&lt;&gt;")&lt;=15,24,16))</f>
        <v>32</v>
      </c>
      <c r="F4" s="15">
        <f>IF(COUNTIF('Résultats des tournois'!$B4:'Résultats des tournois'!F4,"&lt;&gt;")&lt;=5,32,IF(COUNTIF('Résultats des tournois'!$B4:'Résultats des tournois'!F4,"&lt;&gt;")&lt;=15,24,16))</f>
        <v>32</v>
      </c>
      <c r="G4" s="15">
        <f>IF(COUNTIF('Résultats des tournois'!$B4:'Résultats des tournois'!G4,"&lt;&gt;")&lt;=5,32,IF(COUNTIF('Résultats des tournois'!$B4:'Résultats des tournois'!G4,"&lt;&gt;")&lt;=15,24,16))</f>
        <v>32</v>
      </c>
      <c r="H4" s="15">
        <f>IF(COUNTIF('Résultats des tournois'!$B4:'Résultats des tournois'!H4,"&lt;&gt;")&lt;=5,32,IF(COUNTIF('Résultats des tournois'!$B4:'Résultats des tournois'!H4,"&lt;&gt;")&lt;=15,24,16))</f>
        <v>24</v>
      </c>
      <c r="I4" s="15">
        <f>IF(COUNTIF('Résultats des tournois'!$B4:'Résultats des tournois'!I4,"&lt;&gt;")&lt;=5,32,IF(COUNTIF('Résultats des tournois'!$B4:'Résultats des tournois'!I4,"&lt;&gt;")&lt;=15,24,16))</f>
        <v>24</v>
      </c>
      <c r="J4" s="15">
        <f>IF(COUNTIF('Résultats des tournois'!$B4:'Résultats des tournois'!J4,"&lt;&gt;")&lt;=5,32,IF(COUNTIF('Résultats des tournois'!$B4:'Résultats des tournois'!J4,"&lt;&gt;")&lt;=15,24,16))</f>
        <v>24</v>
      </c>
      <c r="K4" s="15">
        <f>IF(COUNTIF('Résultats des tournois'!$B4:'Résultats des tournois'!K4,"&lt;&gt;")&lt;=5,32,IF(COUNTIF('Résultats des tournois'!$B4:'Résultats des tournois'!K4,"&lt;&gt;")&lt;=15,24,16))</f>
        <v>24</v>
      </c>
      <c r="L4" s="15">
        <f>IF(COUNTIF('Résultats des tournois'!$B4:'Résultats des tournois'!L4,"&lt;&gt;")&lt;=5,32,IF(COUNTIF('Résultats des tournois'!$B4:'Résultats des tournois'!L4,"&lt;&gt;")&lt;=15,24,16))</f>
        <v>24</v>
      </c>
      <c r="M4" s="15">
        <f>IF(COUNTIF('Résultats des tournois'!$B4:'Résultats des tournois'!M4,"&lt;&gt;")&lt;=5,32,IF(COUNTIF('Résultats des tournois'!$B4:'Résultats des tournois'!M4,"&lt;&gt;")&lt;=15,24,16))</f>
        <v>24</v>
      </c>
      <c r="N4" s="15">
        <f>IF(COUNTIF('Résultats des tournois'!$B4:'Résultats des tournois'!N4,"&lt;&gt;")&lt;=5,32,IF(COUNTIF('Résultats des tournois'!$B4:'Résultats des tournois'!N4,"&lt;&gt;")&lt;=15,24,16))</f>
        <v>24</v>
      </c>
      <c r="O4" s="15">
        <f>IF(COUNTIF('Résultats des tournois'!$B4:'Résultats des tournois'!O4,"&lt;&gt;")&lt;=5,32,IF(COUNTIF('Résultats des tournois'!$B4:'Résultats des tournois'!O4,"&lt;&gt;")&lt;=15,24,16))</f>
        <v>24</v>
      </c>
      <c r="P4" s="15">
        <f>IF(COUNTIF('Résultats des tournois'!$B4:'Résultats des tournois'!P4,"&lt;&gt;")&lt;=5,32,IF(COUNTIF('Résultats des tournois'!$B4:'Résultats des tournois'!P4,"&lt;&gt;")&lt;=15,24,16))</f>
        <v>24</v>
      </c>
      <c r="Q4" s="15">
        <f>IF(COUNTIF('Résultats des tournois'!$B4:'Résultats des tournois'!Q4,"&lt;&gt;")&lt;=5,32,IF(COUNTIF('Résultats des tournois'!$B4:'Résultats des tournois'!Q4,"&lt;&gt;")&lt;=15,24,16))</f>
        <v>24</v>
      </c>
      <c r="R4" s="15">
        <f>IF(COUNTIF('Résultats des tournois'!$B4:'Résultats des tournois'!R4,"&lt;&gt;")&lt;=5,32,IF(COUNTIF('Résultats des tournois'!$B4:'Résultats des tournois'!R4,"&lt;&gt;")&lt;=15,24,16))</f>
        <v>24</v>
      </c>
      <c r="S4" s="15">
        <f>IF(COUNTIF('Résultats des tournois'!$B4:'Résultats des tournois'!S4,"&lt;&gt;")&lt;=5,32,IF(COUNTIF('Résultats des tournois'!$B4:'Résultats des tournois'!S4,"&lt;&gt;")&lt;=15,24,16))</f>
        <v>24</v>
      </c>
      <c r="T4" s="15">
        <f>IF(COUNTIF('Résultats des tournois'!$B4:'Résultats des tournois'!T4,"&lt;&gt;")&lt;=5,32,IF(COUNTIF('Résultats des tournois'!$B4:'Résultats des tournois'!T4,"&lt;&gt;")&lt;=15,24,16))</f>
        <v>24</v>
      </c>
      <c r="U4" s="15">
        <f>IF(COUNTIF('Résultats des tournois'!$B4:'Résultats des tournois'!U4,"&lt;&gt;")&lt;=5,32,IF(COUNTIF('Résultats des tournois'!$B4:'Résultats des tournois'!U4,"&lt;&gt;")&lt;=15,24,16))</f>
        <v>24</v>
      </c>
      <c r="V4" s="15">
        <f>IF(COUNTIF('Résultats des tournois'!$B4:'Résultats des tournois'!V4,"&lt;&gt;")&lt;=5,32,IF(COUNTIF('Résultats des tournois'!$B4:'Résultats des tournois'!V4,"&lt;&gt;")&lt;=15,24,16))</f>
        <v>24</v>
      </c>
      <c r="W4" s="15">
        <f>IF(COUNTIF('Résultats des tournois'!$B4:'Résultats des tournois'!W4,"&lt;&gt;")&lt;=5,32,IF(COUNTIF('Résultats des tournois'!$B4:'Résultats des tournois'!W4,"&lt;&gt;")&lt;=15,24,16))</f>
        <v>24</v>
      </c>
      <c r="X4" s="15">
        <f>IF(COUNTIF('Résultats des tournois'!$B4:'Résultats des tournois'!X4,"&lt;&gt;")&lt;=5,32,IF(COUNTIF('Résultats des tournois'!$B4:'Résultats des tournois'!X4,"&lt;&gt;")&lt;=15,24,16))</f>
        <v>24</v>
      </c>
      <c r="Y4" s="15">
        <f>IF(COUNTIF('Résultats des tournois'!$B4:'Résultats des tournois'!Y4,"&lt;&gt;")&lt;=5,32,IF(COUNTIF('Résultats des tournois'!$B4:'Résultats des tournois'!Y4,"&lt;&gt;")&lt;=15,24,16))</f>
        <v>24</v>
      </c>
      <c r="Z4" s="15">
        <f>IF(COUNTIF('Résultats des tournois'!$B4:'Résultats des tournois'!Z4,"&lt;&gt;")&lt;=5,32,IF(COUNTIF('Résultats des tournois'!$B4:'Résultats des tournois'!Z4,"&lt;&gt;")&lt;=15,24,16))</f>
        <v>24</v>
      </c>
      <c r="AA4" s="15">
        <f>IF(COUNTIF('Résultats des tournois'!$B4:'Résultats des tournois'!AA4,"&lt;&gt;")&lt;=5,32,IF(COUNTIF('Résultats des tournois'!$B4:'Résultats des tournois'!AA4,"&lt;&gt;")&lt;=15,24,16))</f>
        <v>24</v>
      </c>
      <c r="AB4" s="15">
        <f>IF(COUNTIF('Résultats des tournois'!$B4:'Résultats des tournois'!AB4,"&lt;&gt;")&lt;=5,32,IF(COUNTIF('Résultats des tournois'!$B4:'Résultats des tournois'!AB4,"&lt;&gt;")&lt;=15,24,16))</f>
        <v>24</v>
      </c>
      <c r="AC4" s="15">
        <f>IF(COUNTIF('Résultats des tournois'!$B4:'Résultats des tournois'!AC4,"&lt;&gt;")&lt;=5,32,IF(COUNTIF('Résultats des tournois'!$B4:'Résultats des tournois'!AC4,"&lt;&gt;")&lt;=15,24,16))</f>
        <v>24</v>
      </c>
      <c r="AD4" s="15">
        <f>IF(COUNTIF('Résultats des tournois'!$B4:'Résultats des tournois'!AD4,"&lt;&gt;")&lt;=5,32,IF(COUNTIF('Résultats des tournois'!$B4:'Résultats des tournois'!AD4,"&lt;&gt;")&lt;=15,24,16))</f>
        <v>24</v>
      </c>
      <c r="AE4" s="15">
        <f>IF(COUNTIF('Résultats des tournois'!$B4:'Résultats des tournois'!AE4,"&lt;&gt;")&lt;=5,32,IF(COUNTIF('Résultats des tournois'!$B4:'Résultats des tournois'!AE4,"&lt;&gt;")&lt;=15,24,16))</f>
        <v>24</v>
      </c>
      <c r="AF4" s="15">
        <f>IF(COUNTIF('Résultats des tournois'!$B4:'Résultats des tournois'!AF4,"&lt;&gt;")&lt;=5,32,IF(COUNTIF('Résultats des tournois'!$B4:'Résultats des tournois'!AF4,"&lt;&gt;")&lt;=15,24,16))</f>
        <v>24</v>
      </c>
      <c r="AG4" s="15">
        <f>IF(COUNTIF('Résultats des tournois'!$B4:'Résultats des tournois'!AG4,"&lt;&gt;")&lt;=5,32,IF(COUNTIF('Résultats des tournois'!$B4:'Résultats des tournois'!AG4,"&lt;&gt;")&lt;=15,24,16))</f>
        <v>24</v>
      </c>
      <c r="AH4" s="15">
        <f>IF(COUNTIF('Résultats des tournois'!$B4:'Résultats des tournois'!AH4,"&lt;&gt;")&lt;=5,32,IF(COUNTIF('Résultats des tournois'!$B4:'Résultats des tournois'!AH4,"&lt;&gt;")&lt;=15,24,16))</f>
        <v>24</v>
      </c>
      <c r="AI4" s="15">
        <f>IF(COUNTIF('Résultats des tournois'!$B4:'Résultats des tournois'!AI4,"&lt;&gt;")&lt;=5,32,IF(COUNTIF('Résultats des tournois'!$B4:'Résultats des tournois'!AI4,"&lt;&gt;")&lt;=15,24,16))</f>
        <v>24</v>
      </c>
      <c r="AJ4" s="15">
        <f>IF(COUNTIF('Résultats des tournois'!$B4:'Résultats des tournois'!AJ4,"&lt;&gt;")&lt;=5,32,IF(COUNTIF('Résultats des tournois'!$B4:'Résultats des tournois'!AJ4,"&lt;&gt;")&lt;=15,24,16))</f>
        <v>24</v>
      </c>
      <c r="AK4" s="15">
        <f>IF(COUNTIF('Résultats des tournois'!$B4:'Résultats des tournois'!AK4,"&lt;&gt;")&lt;=5,32,IF(COUNTIF('Résultats des tournois'!$B4:'Résultats des tournois'!AK4,"&lt;&gt;")&lt;=15,24,16))</f>
        <v>24</v>
      </c>
      <c r="AL4" s="15">
        <f>IF(COUNTIF('Résultats des tournois'!$B4:'Résultats des tournois'!AL4,"&lt;&gt;")&lt;=5,32,IF(COUNTIF('Résultats des tournois'!$B4:'Résultats des tournois'!AL4,"&lt;&gt;")&lt;=15,24,16))</f>
        <v>24</v>
      </c>
      <c r="AM4" s="15">
        <f>IF(COUNTIF('Résultats des tournois'!$B4:'Résultats des tournois'!AM4,"&lt;&gt;")&lt;=5,32,IF(COUNTIF('Résultats des tournois'!$B4:'Résultats des tournois'!AM4,"&lt;&gt;")&lt;=15,24,16))</f>
        <v>24</v>
      </c>
      <c r="AN4" s="15">
        <f>IF(COUNTIF('Résultats des tournois'!$B4:'Résultats des tournois'!AN4,"&lt;&gt;")&lt;=5,32,IF(COUNTIF('Résultats des tournois'!$B4:'Résultats des tournois'!AN4,"&lt;&gt;")&lt;=15,24,16))</f>
        <v>24</v>
      </c>
      <c r="AO4" s="15">
        <f>IF(COUNTIF('Résultats des tournois'!$B4:'Résultats des tournois'!AO4,"&lt;&gt;")&lt;=5,32,IF(COUNTIF('Résultats des tournois'!$B4:'Résultats des tournois'!AO4,"&lt;&gt;")&lt;=15,24,16))</f>
        <v>24</v>
      </c>
      <c r="AP4" s="15">
        <f>IF(COUNTIF('Résultats des tournois'!$B4:'Résultats des tournois'!AP4,"&lt;&gt;")&lt;=5,32,IF(COUNTIF('Résultats des tournois'!$B4:'Résultats des tournois'!AP4,"&lt;&gt;")&lt;=15,24,16))</f>
        <v>24</v>
      </c>
      <c r="AQ4" s="15">
        <f>IF(COUNTIF('Résultats des tournois'!$B4:'Résultats des tournois'!AQ4,"&lt;&gt;")&lt;=5,32,IF(COUNTIF('Résultats des tournois'!$B4:'Résultats des tournois'!AQ4,"&lt;&gt;")&lt;=15,24,16))</f>
        <v>24</v>
      </c>
      <c r="AR4" s="15">
        <f>IF(COUNTIF('Résultats des tournois'!$B4:'Résultats des tournois'!AR4,"&lt;&gt;")&lt;=5,32,IF(COUNTIF('Résultats des tournois'!$B4:'Résultats des tournois'!AR4,"&lt;&gt;")&lt;=15,24,16))</f>
        <v>24</v>
      </c>
      <c r="AS4" s="15">
        <f>IF(COUNTIF('Résultats des tournois'!$B4:'Résultats des tournois'!AS4,"&lt;&gt;")&lt;=5,32,IF(COUNTIF('Résultats des tournois'!$B4:'Résultats des tournois'!AS4,"&lt;&gt;")&lt;=15,24,16))</f>
        <v>24</v>
      </c>
      <c r="AT4" s="15">
        <f>IF(COUNTIF('Résultats des tournois'!$B4:'Résultats des tournois'!AT4,"&lt;&gt;")&lt;=5,32,IF(COUNTIF('Résultats des tournois'!$B4:'Résultats des tournois'!AT4,"&lt;&gt;")&lt;=15,24,16))</f>
        <v>24</v>
      </c>
      <c r="AU4" s="15">
        <f>IF(COUNTIF('Résultats des tournois'!$B4:'Résultats des tournois'!AU4,"&lt;&gt;")&lt;=5,32,IF(COUNTIF('Résultats des tournois'!$B4:'Résultats des tournois'!AU4,"&lt;&gt;")&lt;=15,24,16))</f>
        <v>24</v>
      </c>
      <c r="AV4" s="15">
        <f>IF(COUNTIF('Résultats des tournois'!$B4:'Résultats des tournois'!AV4,"&lt;&gt;")&lt;=5,32,IF(COUNTIF('Résultats des tournois'!$B4:'Résultats des tournois'!AV4,"&lt;&gt;")&lt;=15,24,16))</f>
        <v>24</v>
      </c>
      <c r="AW4" s="15">
        <f>IF(COUNTIF('Résultats des tournois'!$B4:'Résultats des tournois'!AW4,"&lt;&gt;")&lt;=5,32,IF(COUNTIF('Résultats des tournois'!$B4:'Résultats des tournois'!AW4,"&lt;&gt;")&lt;=15,24,16))</f>
        <v>24</v>
      </c>
      <c r="AX4" s="15">
        <f>IF(COUNTIF('Résultats des tournois'!$B4:'Résultats des tournois'!AX4,"&lt;&gt;")&lt;=5,32,IF(COUNTIF('Résultats des tournois'!$B4:'Résultats des tournois'!AX4,"&lt;&gt;")&lt;=15,24,16))</f>
        <v>24</v>
      </c>
    </row>
    <row r="5" ht="14.25" customHeight="1">
      <c r="A5" s="15" t="str">
        <f>IF('Résultats des tournois'!A5="","",'Résultats des tournois'!A5)</f>
        <v>Cat</v>
      </c>
      <c r="B5" s="15">
        <f>IF(COUNTIF('Résultats des tournois'!B5,"&lt;&gt;")&lt;=5,32,IF(COUNTIF('Résultats des tournois'!B5,"&lt;&gt;")&lt;=15,24,16))</f>
        <v>32</v>
      </c>
      <c r="C5" s="15">
        <f>IF(COUNTIF('Résultats des tournois'!$B5:'Résultats des tournois'!C5,"&lt;&gt;")&lt;=5,32,IF(COUNTIF('Résultats des tournois'!$B5:'Résultats des tournois'!C5,"&lt;&gt;")&lt;=15,24,16))</f>
        <v>32</v>
      </c>
      <c r="D5" s="15">
        <f>IF(COUNTIF('Résultats des tournois'!$B5:'Résultats des tournois'!D5,"&lt;&gt;")&lt;=5,32,IF(COUNTIF('Résultats des tournois'!$B5:'Résultats des tournois'!D5,"&lt;&gt;")&lt;=15,24,16))</f>
        <v>32</v>
      </c>
      <c r="E5" s="15">
        <f>IF(COUNTIF('Résultats des tournois'!$B5:'Résultats des tournois'!E5,"&lt;&gt;")&lt;=5,32,IF(COUNTIF('Résultats des tournois'!$B5:'Résultats des tournois'!E5,"&lt;&gt;")&lt;=15,24,16))</f>
        <v>32</v>
      </c>
      <c r="F5" s="15">
        <f>IF(COUNTIF('Résultats des tournois'!$B5:'Résultats des tournois'!F5,"&lt;&gt;")&lt;=5,32,IF(COUNTIF('Résultats des tournois'!$B5:'Résultats des tournois'!F5,"&lt;&gt;")&lt;=15,24,16))</f>
        <v>32</v>
      </c>
      <c r="G5" s="15">
        <f>IF(COUNTIF('Résultats des tournois'!$B5:'Résultats des tournois'!G5,"&lt;&gt;")&lt;=5,32,IF(COUNTIF('Résultats des tournois'!$B5:'Résultats des tournois'!G5,"&lt;&gt;")&lt;=15,24,16))</f>
        <v>32</v>
      </c>
      <c r="H5" s="15">
        <f>IF(COUNTIF('Résultats des tournois'!$B5:'Résultats des tournois'!H5,"&lt;&gt;")&lt;=5,32,IF(COUNTIF('Résultats des tournois'!$B5:'Résultats des tournois'!H5,"&lt;&gt;")&lt;=15,24,16))</f>
        <v>32</v>
      </c>
      <c r="I5" s="15">
        <f>IF(COUNTIF('Résultats des tournois'!$B5:'Résultats des tournois'!I5,"&lt;&gt;")&lt;=5,32,IF(COUNTIF('Résultats des tournois'!$B5:'Résultats des tournois'!I5,"&lt;&gt;")&lt;=15,24,16))</f>
        <v>32</v>
      </c>
      <c r="J5" s="15">
        <f>IF(COUNTIF('Résultats des tournois'!$B5:'Résultats des tournois'!J5,"&lt;&gt;")&lt;=5,32,IF(COUNTIF('Résultats des tournois'!$B5:'Résultats des tournois'!J5,"&lt;&gt;")&lt;=15,24,16))</f>
        <v>24</v>
      </c>
      <c r="K5" s="15">
        <f>IF(COUNTIF('Résultats des tournois'!$B5:'Résultats des tournois'!K5,"&lt;&gt;")&lt;=5,32,IF(COUNTIF('Résultats des tournois'!$B5:'Résultats des tournois'!K5,"&lt;&gt;")&lt;=15,24,16))</f>
        <v>24</v>
      </c>
      <c r="L5" s="15">
        <f>IF(COUNTIF('Résultats des tournois'!$B5:'Résultats des tournois'!L5,"&lt;&gt;")&lt;=5,32,IF(COUNTIF('Résultats des tournois'!$B5:'Résultats des tournois'!L5,"&lt;&gt;")&lt;=15,24,16))</f>
        <v>24</v>
      </c>
      <c r="M5" s="15">
        <f>IF(COUNTIF('Résultats des tournois'!$B5:'Résultats des tournois'!M5,"&lt;&gt;")&lt;=5,32,IF(COUNTIF('Résultats des tournois'!$B5:'Résultats des tournois'!M5,"&lt;&gt;")&lt;=15,24,16))</f>
        <v>24</v>
      </c>
      <c r="N5" s="15">
        <f>IF(COUNTIF('Résultats des tournois'!$B5:'Résultats des tournois'!N5,"&lt;&gt;")&lt;=5,32,IF(COUNTIF('Résultats des tournois'!$B5:'Résultats des tournois'!N5,"&lt;&gt;")&lt;=15,24,16))</f>
        <v>24</v>
      </c>
      <c r="O5" s="15">
        <f>IF(COUNTIF('Résultats des tournois'!$B5:'Résultats des tournois'!O5,"&lt;&gt;")&lt;=5,32,IF(COUNTIF('Résultats des tournois'!$B5:'Résultats des tournois'!O5,"&lt;&gt;")&lt;=15,24,16))</f>
        <v>24</v>
      </c>
      <c r="P5" s="15">
        <f>IF(COUNTIF('Résultats des tournois'!$B5:'Résultats des tournois'!P5,"&lt;&gt;")&lt;=5,32,IF(COUNTIF('Résultats des tournois'!$B5:'Résultats des tournois'!P5,"&lt;&gt;")&lt;=15,24,16))</f>
        <v>24</v>
      </c>
      <c r="Q5" s="15">
        <f>IF(COUNTIF('Résultats des tournois'!$B5:'Résultats des tournois'!Q5,"&lt;&gt;")&lt;=5,32,IF(COUNTIF('Résultats des tournois'!$B5:'Résultats des tournois'!Q5,"&lt;&gt;")&lt;=15,24,16))</f>
        <v>24</v>
      </c>
      <c r="R5" s="15">
        <f>IF(COUNTIF('Résultats des tournois'!$B5:'Résultats des tournois'!R5,"&lt;&gt;")&lt;=5,32,IF(COUNTIF('Résultats des tournois'!$B5:'Résultats des tournois'!R5,"&lt;&gt;")&lt;=15,24,16))</f>
        <v>24</v>
      </c>
      <c r="S5" s="15">
        <f>IF(COUNTIF('Résultats des tournois'!$B5:'Résultats des tournois'!S5,"&lt;&gt;")&lt;=5,32,IF(COUNTIF('Résultats des tournois'!$B5:'Résultats des tournois'!S5,"&lt;&gt;")&lt;=15,24,16))</f>
        <v>24</v>
      </c>
      <c r="T5" s="15">
        <f>IF(COUNTIF('Résultats des tournois'!$B5:'Résultats des tournois'!T5,"&lt;&gt;")&lt;=5,32,IF(COUNTIF('Résultats des tournois'!$B5:'Résultats des tournois'!T5,"&lt;&gt;")&lt;=15,24,16))</f>
        <v>24</v>
      </c>
      <c r="U5" s="15">
        <f>IF(COUNTIF('Résultats des tournois'!$B5:'Résultats des tournois'!U5,"&lt;&gt;")&lt;=5,32,IF(COUNTIF('Résultats des tournois'!$B5:'Résultats des tournois'!U5,"&lt;&gt;")&lt;=15,24,16))</f>
        <v>24</v>
      </c>
      <c r="V5" s="15">
        <f>IF(COUNTIF('Résultats des tournois'!$B5:'Résultats des tournois'!V5,"&lt;&gt;")&lt;=5,32,IF(COUNTIF('Résultats des tournois'!$B5:'Résultats des tournois'!V5,"&lt;&gt;")&lt;=15,24,16))</f>
        <v>24</v>
      </c>
      <c r="W5" s="15">
        <f>IF(COUNTIF('Résultats des tournois'!$B5:'Résultats des tournois'!W5,"&lt;&gt;")&lt;=5,32,IF(COUNTIF('Résultats des tournois'!$B5:'Résultats des tournois'!W5,"&lt;&gt;")&lt;=15,24,16))</f>
        <v>24</v>
      </c>
      <c r="X5" s="15">
        <f>IF(COUNTIF('Résultats des tournois'!$B5:'Résultats des tournois'!X5,"&lt;&gt;")&lt;=5,32,IF(COUNTIF('Résultats des tournois'!$B5:'Résultats des tournois'!X5,"&lt;&gt;")&lt;=15,24,16))</f>
        <v>24</v>
      </c>
      <c r="Y5" s="15">
        <f>IF(COUNTIF('Résultats des tournois'!$B5:'Résultats des tournois'!Y5,"&lt;&gt;")&lt;=5,32,IF(COUNTIF('Résultats des tournois'!$B5:'Résultats des tournois'!Y5,"&lt;&gt;")&lt;=15,24,16))</f>
        <v>24</v>
      </c>
      <c r="Z5" s="15">
        <f>IF(COUNTIF('Résultats des tournois'!$B5:'Résultats des tournois'!Z5,"&lt;&gt;")&lt;=5,32,IF(COUNTIF('Résultats des tournois'!$B5:'Résultats des tournois'!Z5,"&lt;&gt;")&lt;=15,24,16))</f>
        <v>24</v>
      </c>
      <c r="AA5" s="15">
        <f>IF(COUNTIF('Résultats des tournois'!$B5:'Résultats des tournois'!AA5,"&lt;&gt;")&lt;=5,32,IF(COUNTIF('Résultats des tournois'!$B5:'Résultats des tournois'!AA5,"&lt;&gt;")&lt;=15,24,16))</f>
        <v>24</v>
      </c>
      <c r="AB5" s="15">
        <f>IF(COUNTIF('Résultats des tournois'!$B5:'Résultats des tournois'!AB5,"&lt;&gt;")&lt;=5,32,IF(COUNTIF('Résultats des tournois'!$B5:'Résultats des tournois'!AB5,"&lt;&gt;")&lt;=15,24,16))</f>
        <v>24</v>
      </c>
      <c r="AC5" s="15">
        <f>IF(COUNTIF('Résultats des tournois'!$B5:'Résultats des tournois'!AC5,"&lt;&gt;")&lt;=5,32,IF(COUNTIF('Résultats des tournois'!$B5:'Résultats des tournois'!AC5,"&lt;&gt;")&lt;=15,24,16))</f>
        <v>24</v>
      </c>
      <c r="AD5" s="15">
        <f>IF(COUNTIF('Résultats des tournois'!$B5:'Résultats des tournois'!AD5,"&lt;&gt;")&lt;=5,32,IF(COUNTIF('Résultats des tournois'!$B5:'Résultats des tournois'!AD5,"&lt;&gt;")&lt;=15,24,16))</f>
        <v>24</v>
      </c>
      <c r="AE5" s="15">
        <f>IF(COUNTIF('Résultats des tournois'!$B5:'Résultats des tournois'!AE5,"&lt;&gt;")&lt;=5,32,IF(COUNTIF('Résultats des tournois'!$B5:'Résultats des tournois'!AE5,"&lt;&gt;")&lt;=15,24,16))</f>
        <v>24</v>
      </c>
      <c r="AF5" s="15">
        <f>IF(COUNTIF('Résultats des tournois'!$B5:'Résultats des tournois'!AF5,"&lt;&gt;")&lt;=5,32,IF(COUNTIF('Résultats des tournois'!$B5:'Résultats des tournois'!AF5,"&lt;&gt;")&lt;=15,24,16))</f>
        <v>24</v>
      </c>
      <c r="AG5" s="15">
        <f>IF(COUNTIF('Résultats des tournois'!$B5:'Résultats des tournois'!AG5,"&lt;&gt;")&lt;=5,32,IF(COUNTIF('Résultats des tournois'!$B5:'Résultats des tournois'!AG5,"&lt;&gt;")&lt;=15,24,16))</f>
        <v>24</v>
      </c>
      <c r="AH5" s="15">
        <f>IF(COUNTIF('Résultats des tournois'!$B5:'Résultats des tournois'!AH5,"&lt;&gt;")&lt;=5,32,IF(COUNTIF('Résultats des tournois'!$B5:'Résultats des tournois'!AH5,"&lt;&gt;")&lt;=15,24,16))</f>
        <v>24</v>
      </c>
      <c r="AI5" s="15">
        <f>IF(COUNTIF('Résultats des tournois'!$B5:'Résultats des tournois'!AI5,"&lt;&gt;")&lt;=5,32,IF(COUNTIF('Résultats des tournois'!$B5:'Résultats des tournois'!AI5,"&lt;&gt;")&lt;=15,24,16))</f>
        <v>24</v>
      </c>
      <c r="AJ5" s="15">
        <f>IF(COUNTIF('Résultats des tournois'!$B5:'Résultats des tournois'!AJ5,"&lt;&gt;")&lt;=5,32,IF(COUNTIF('Résultats des tournois'!$B5:'Résultats des tournois'!AJ5,"&lt;&gt;")&lt;=15,24,16))</f>
        <v>24</v>
      </c>
      <c r="AK5" s="15">
        <f>IF(COUNTIF('Résultats des tournois'!$B5:'Résultats des tournois'!AK5,"&lt;&gt;")&lt;=5,32,IF(COUNTIF('Résultats des tournois'!$B5:'Résultats des tournois'!AK5,"&lt;&gt;")&lt;=15,24,16))</f>
        <v>24</v>
      </c>
      <c r="AL5" s="15">
        <f>IF(COUNTIF('Résultats des tournois'!$B5:'Résultats des tournois'!AL5,"&lt;&gt;")&lt;=5,32,IF(COUNTIF('Résultats des tournois'!$B5:'Résultats des tournois'!AL5,"&lt;&gt;")&lt;=15,24,16))</f>
        <v>24</v>
      </c>
      <c r="AM5" s="15">
        <f>IF(COUNTIF('Résultats des tournois'!$B5:'Résultats des tournois'!AM5,"&lt;&gt;")&lt;=5,32,IF(COUNTIF('Résultats des tournois'!$B5:'Résultats des tournois'!AM5,"&lt;&gt;")&lt;=15,24,16))</f>
        <v>24</v>
      </c>
      <c r="AN5" s="15">
        <f>IF(COUNTIF('Résultats des tournois'!$B5:'Résultats des tournois'!AN5,"&lt;&gt;")&lt;=5,32,IF(COUNTIF('Résultats des tournois'!$B5:'Résultats des tournois'!AN5,"&lt;&gt;")&lt;=15,24,16))</f>
        <v>24</v>
      </c>
      <c r="AO5" s="15">
        <f>IF(COUNTIF('Résultats des tournois'!$B5:'Résultats des tournois'!AO5,"&lt;&gt;")&lt;=5,32,IF(COUNTIF('Résultats des tournois'!$B5:'Résultats des tournois'!AO5,"&lt;&gt;")&lt;=15,24,16))</f>
        <v>24</v>
      </c>
      <c r="AP5" s="15">
        <f>IF(COUNTIF('Résultats des tournois'!$B5:'Résultats des tournois'!AP5,"&lt;&gt;")&lt;=5,32,IF(COUNTIF('Résultats des tournois'!$B5:'Résultats des tournois'!AP5,"&lt;&gt;")&lt;=15,24,16))</f>
        <v>24</v>
      </c>
      <c r="AQ5" s="15">
        <f>IF(COUNTIF('Résultats des tournois'!$B5:'Résultats des tournois'!AQ5,"&lt;&gt;")&lt;=5,32,IF(COUNTIF('Résultats des tournois'!$B5:'Résultats des tournois'!AQ5,"&lt;&gt;")&lt;=15,24,16))</f>
        <v>24</v>
      </c>
      <c r="AR5" s="15">
        <f>IF(COUNTIF('Résultats des tournois'!$B5:'Résultats des tournois'!AR5,"&lt;&gt;")&lt;=5,32,IF(COUNTIF('Résultats des tournois'!$B5:'Résultats des tournois'!AR5,"&lt;&gt;")&lt;=15,24,16))</f>
        <v>24</v>
      </c>
      <c r="AS5" s="15">
        <f>IF(COUNTIF('Résultats des tournois'!$B5:'Résultats des tournois'!AS5,"&lt;&gt;")&lt;=5,32,IF(COUNTIF('Résultats des tournois'!$B5:'Résultats des tournois'!AS5,"&lt;&gt;")&lt;=15,24,16))</f>
        <v>24</v>
      </c>
      <c r="AT5" s="15">
        <f>IF(COUNTIF('Résultats des tournois'!$B5:'Résultats des tournois'!AT5,"&lt;&gt;")&lt;=5,32,IF(COUNTIF('Résultats des tournois'!$B5:'Résultats des tournois'!AT5,"&lt;&gt;")&lt;=15,24,16))</f>
        <v>24</v>
      </c>
      <c r="AU5" s="15">
        <f>IF(COUNTIF('Résultats des tournois'!$B5:'Résultats des tournois'!AU5,"&lt;&gt;")&lt;=5,32,IF(COUNTIF('Résultats des tournois'!$B5:'Résultats des tournois'!AU5,"&lt;&gt;")&lt;=15,24,16))</f>
        <v>24</v>
      </c>
      <c r="AV5" s="15">
        <f>IF(COUNTIF('Résultats des tournois'!$B5:'Résultats des tournois'!AV5,"&lt;&gt;")&lt;=5,32,IF(COUNTIF('Résultats des tournois'!$B5:'Résultats des tournois'!AV5,"&lt;&gt;")&lt;=15,24,16))</f>
        <v>24</v>
      </c>
      <c r="AW5" s="15">
        <f>IF(COUNTIF('Résultats des tournois'!$B5:'Résultats des tournois'!AW5,"&lt;&gt;")&lt;=5,32,IF(COUNTIF('Résultats des tournois'!$B5:'Résultats des tournois'!AW5,"&lt;&gt;")&lt;=15,24,16))</f>
        <v>24</v>
      </c>
      <c r="AX5" s="15">
        <f>IF(COUNTIF('Résultats des tournois'!$B5:'Résultats des tournois'!AX5,"&lt;&gt;")&lt;=5,32,IF(COUNTIF('Résultats des tournois'!$B5:'Résultats des tournois'!AX5,"&lt;&gt;")&lt;=15,24,16))</f>
        <v>24</v>
      </c>
    </row>
    <row r="6" ht="14.25" customHeight="1">
      <c r="A6" s="15" t="str">
        <f>IF('Résultats des tournois'!A6="","",'Résultats des tournois'!A6)</f>
        <v>Gnaffron</v>
      </c>
      <c r="B6" s="15">
        <f>IF(COUNTIF('Résultats des tournois'!B6,"&lt;&gt;")&lt;=5,32,IF(COUNTIF('Résultats des tournois'!B6,"&lt;&gt;")&lt;=15,24,16))</f>
        <v>32</v>
      </c>
      <c r="C6" s="15">
        <f>IF(COUNTIF('Résultats des tournois'!$B6:'Résultats des tournois'!C6,"&lt;&gt;")&lt;=5,32,IF(COUNTIF('Résultats des tournois'!$B6:'Résultats des tournois'!C6,"&lt;&gt;")&lt;=15,24,16))</f>
        <v>32</v>
      </c>
      <c r="D6" s="15">
        <f>IF(COUNTIF('Résultats des tournois'!$B6:'Résultats des tournois'!D6,"&lt;&gt;")&lt;=5,32,IF(COUNTIF('Résultats des tournois'!$B6:'Résultats des tournois'!D6,"&lt;&gt;")&lt;=15,24,16))</f>
        <v>32</v>
      </c>
      <c r="E6" s="15">
        <f>IF(COUNTIF('Résultats des tournois'!$B6:'Résultats des tournois'!E6,"&lt;&gt;")&lt;=5,32,IF(COUNTIF('Résultats des tournois'!$B6:'Résultats des tournois'!E6,"&lt;&gt;")&lt;=15,24,16))</f>
        <v>32</v>
      </c>
      <c r="F6" s="15">
        <f>IF(COUNTIF('Résultats des tournois'!$B6:'Résultats des tournois'!F6,"&lt;&gt;")&lt;=5,32,IF(COUNTIF('Résultats des tournois'!$B6:'Résultats des tournois'!F6,"&lt;&gt;")&lt;=15,24,16))</f>
        <v>32</v>
      </c>
      <c r="G6" s="15">
        <f>IF(COUNTIF('Résultats des tournois'!$B6:'Résultats des tournois'!G6,"&lt;&gt;")&lt;=5,32,IF(COUNTIF('Résultats des tournois'!$B6:'Résultats des tournois'!G6,"&lt;&gt;")&lt;=15,24,16))</f>
        <v>24</v>
      </c>
      <c r="H6" s="15">
        <f>IF(COUNTIF('Résultats des tournois'!$B6:'Résultats des tournois'!H6,"&lt;&gt;")&lt;=5,32,IF(COUNTIF('Résultats des tournois'!$B6:'Résultats des tournois'!H6,"&lt;&gt;")&lt;=15,24,16))</f>
        <v>24</v>
      </c>
      <c r="I6" s="15">
        <f>IF(COUNTIF('Résultats des tournois'!$B6:'Résultats des tournois'!I6,"&lt;&gt;")&lt;=5,32,IF(COUNTIF('Résultats des tournois'!$B6:'Résultats des tournois'!I6,"&lt;&gt;")&lt;=15,24,16))</f>
        <v>24</v>
      </c>
      <c r="J6" s="15">
        <f>IF(COUNTIF('Résultats des tournois'!$B6:'Résultats des tournois'!J6,"&lt;&gt;")&lt;=5,32,IF(COUNTIF('Résultats des tournois'!$B6:'Résultats des tournois'!J6,"&lt;&gt;")&lt;=15,24,16))</f>
        <v>24</v>
      </c>
      <c r="K6" s="15">
        <f>IF(COUNTIF('Résultats des tournois'!$B6:'Résultats des tournois'!K6,"&lt;&gt;")&lt;=5,32,IF(COUNTIF('Résultats des tournois'!$B6:'Résultats des tournois'!K6,"&lt;&gt;")&lt;=15,24,16))</f>
        <v>24</v>
      </c>
      <c r="L6" s="15">
        <f>IF(COUNTIF('Résultats des tournois'!$B6:'Résultats des tournois'!L6,"&lt;&gt;")&lt;=5,32,IF(COUNTIF('Résultats des tournois'!$B6:'Résultats des tournois'!L6,"&lt;&gt;")&lt;=15,24,16))</f>
        <v>24</v>
      </c>
      <c r="M6" s="15">
        <f>IF(COUNTIF('Résultats des tournois'!$B6:'Résultats des tournois'!M6,"&lt;&gt;")&lt;=5,32,IF(COUNTIF('Résultats des tournois'!$B6:'Résultats des tournois'!M6,"&lt;&gt;")&lt;=15,24,16))</f>
        <v>24</v>
      </c>
      <c r="N6" s="15">
        <f>IF(COUNTIF('Résultats des tournois'!$B6:'Résultats des tournois'!N6,"&lt;&gt;")&lt;=5,32,IF(COUNTIF('Résultats des tournois'!$B6:'Résultats des tournois'!N6,"&lt;&gt;")&lt;=15,24,16))</f>
        <v>24</v>
      </c>
      <c r="O6" s="15">
        <f>IF(COUNTIF('Résultats des tournois'!$B6:'Résultats des tournois'!O6,"&lt;&gt;")&lt;=5,32,IF(COUNTIF('Résultats des tournois'!$B6:'Résultats des tournois'!O6,"&lt;&gt;")&lt;=15,24,16))</f>
        <v>24</v>
      </c>
      <c r="P6" s="15">
        <f>IF(COUNTIF('Résultats des tournois'!$B6:'Résultats des tournois'!P6,"&lt;&gt;")&lt;=5,32,IF(COUNTIF('Résultats des tournois'!$B6:'Résultats des tournois'!P6,"&lt;&gt;")&lt;=15,24,16))</f>
        <v>24</v>
      </c>
      <c r="Q6" s="15">
        <f>IF(COUNTIF('Résultats des tournois'!$B6:'Résultats des tournois'!Q6,"&lt;&gt;")&lt;=5,32,IF(COUNTIF('Résultats des tournois'!$B6:'Résultats des tournois'!Q6,"&lt;&gt;")&lt;=15,24,16))</f>
        <v>24</v>
      </c>
      <c r="R6" s="15">
        <f>IF(COUNTIF('Résultats des tournois'!$B6:'Résultats des tournois'!R6,"&lt;&gt;")&lt;=5,32,IF(COUNTIF('Résultats des tournois'!$B6:'Résultats des tournois'!R6,"&lt;&gt;")&lt;=15,24,16))</f>
        <v>24</v>
      </c>
      <c r="S6" s="15">
        <f>IF(COUNTIF('Résultats des tournois'!$B6:'Résultats des tournois'!S6,"&lt;&gt;")&lt;=5,32,IF(COUNTIF('Résultats des tournois'!$B6:'Résultats des tournois'!S6,"&lt;&gt;")&lt;=15,24,16))</f>
        <v>24</v>
      </c>
      <c r="T6" s="15">
        <f>IF(COUNTIF('Résultats des tournois'!$B6:'Résultats des tournois'!T6,"&lt;&gt;")&lt;=5,32,IF(COUNTIF('Résultats des tournois'!$B6:'Résultats des tournois'!T6,"&lt;&gt;")&lt;=15,24,16))</f>
        <v>24</v>
      </c>
      <c r="U6" s="15">
        <f>IF(COUNTIF('Résultats des tournois'!$B6:'Résultats des tournois'!U6,"&lt;&gt;")&lt;=5,32,IF(COUNTIF('Résultats des tournois'!$B6:'Résultats des tournois'!U6,"&lt;&gt;")&lt;=15,24,16))</f>
        <v>24</v>
      </c>
      <c r="V6" s="15">
        <f>IF(COUNTIF('Résultats des tournois'!$B6:'Résultats des tournois'!V6,"&lt;&gt;")&lt;=5,32,IF(COUNTIF('Résultats des tournois'!$B6:'Résultats des tournois'!V6,"&lt;&gt;")&lt;=15,24,16))</f>
        <v>24</v>
      </c>
      <c r="W6" s="15">
        <f>IF(COUNTIF('Résultats des tournois'!$B6:'Résultats des tournois'!W6,"&lt;&gt;")&lt;=5,32,IF(COUNTIF('Résultats des tournois'!$B6:'Résultats des tournois'!W6,"&lt;&gt;")&lt;=15,24,16))</f>
        <v>24</v>
      </c>
      <c r="X6" s="15">
        <f>IF(COUNTIF('Résultats des tournois'!$B6:'Résultats des tournois'!X6,"&lt;&gt;")&lt;=5,32,IF(COUNTIF('Résultats des tournois'!$B6:'Résultats des tournois'!X6,"&lt;&gt;")&lt;=15,24,16))</f>
        <v>24</v>
      </c>
      <c r="Y6" s="15">
        <f>IF(COUNTIF('Résultats des tournois'!$B6:'Résultats des tournois'!Y6,"&lt;&gt;")&lt;=5,32,IF(COUNTIF('Résultats des tournois'!$B6:'Résultats des tournois'!Y6,"&lt;&gt;")&lt;=15,24,16))</f>
        <v>24</v>
      </c>
      <c r="Z6" s="15">
        <f>IF(COUNTIF('Résultats des tournois'!$B6:'Résultats des tournois'!Z6,"&lt;&gt;")&lt;=5,32,IF(COUNTIF('Résultats des tournois'!$B6:'Résultats des tournois'!Z6,"&lt;&gt;")&lt;=15,24,16))</f>
        <v>24</v>
      </c>
      <c r="AA6" s="15">
        <f>IF(COUNTIF('Résultats des tournois'!$B6:'Résultats des tournois'!AA6,"&lt;&gt;")&lt;=5,32,IF(COUNTIF('Résultats des tournois'!$B6:'Résultats des tournois'!AA6,"&lt;&gt;")&lt;=15,24,16))</f>
        <v>24</v>
      </c>
      <c r="AB6" s="15">
        <f>IF(COUNTIF('Résultats des tournois'!$B6:'Résultats des tournois'!AB6,"&lt;&gt;")&lt;=5,32,IF(COUNTIF('Résultats des tournois'!$B6:'Résultats des tournois'!AB6,"&lt;&gt;")&lt;=15,24,16))</f>
        <v>24</v>
      </c>
      <c r="AC6" s="15">
        <f>IF(COUNTIF('Résultats des tournois'!$B6:'Résultats des tournois'!AC6,"&lt;&gt;")&lt;=5,32,IF(COUNTIF('Résultats des tournois'!$B6:'Résultats des tournois'!AC6,"&lt;&gt;")&lt;=15,24,16))</f>
        <v>24</v>
      </c>
      <c r="AD6" s="15">
        <f>IF(COUNTIF('Résultats des tournois'!$B6:'Résultats des tournois'!AD6,"&lt;&gt;")&lt;=5,32,IF(COUNTIF('Résultats des tournois'!$B6:'Résultats des tournois'!AD6,"&lt;&gt;")&lt;=15,24,16))</f>
        <v>24</v>
      </c>
      <c r="AE6" s="15">
        <f>IF(COUNTIF('Résultats des tournois'!$B6:'Résultats des tournois'!AE6,"&lt;&gt;")&lt;=5,32,IF(COUNTIF('Résultats des tournois'!$B6:'Résultats des tournois'!AE6,"&lt;&gt;")&lt;=15,24,16))</f>
        <v>24</v>
      </c>
      <c r="AF6" s="15">
        <f>IF(COUNTIF('Résultats des tournois'!$B6:'Résultats des tournois'!AF6,"&lt;&gt;")&lt;=5,32,IF(COUNTIF('Résultats des tournois'!$B6:'Résultats des tournois'!AF6,"&lt;&gt;")&lt;=15,24,16))</f>
        <v>24</v>
      </c>
      <c r="AG6" s="15">
        <f>IF(COUNTIF('Résultats des tournois'!$B6:'Résultats des tournois'!AG6,"&lt;&gt;")&lt;=5,32,IF(COUNTIF('Résultats des tournois'!$B6:'Résultats des tournois'!AG6,"&lt;&gt;")&lt;=15,24,16))</f>
        <v>24</v>
      </c>
      <c r="AH6" s="15">
        <f>IF(COUNTIF('Résultats des tournois'!$B6:'Résultats des tournois'!AH6,"&lt;&gt;")&lt;=5,32,IF(COUNTIF('Résultats des tournois'!$B6:'Résultats des tournois'!AH6,"&lt;&gt;")&lt;=15,24,16))</f>
        <v>24</v>
      </c>
      <c r="AI6" s="15">
        <f>IF(COUNTIF('Résultats des tournois'!$B6:'Résultats des tournois'!AI6,"&lt;&gt;")&lt;=5,32,IF(COUNTIF('Résultats des tournois'!$B6:'Résultats des tournois'!AI6,"&lt;&gt;")&lt;=15,24,16))</f>
        <v>24</v>
      </c>
      <c r="AJ6" s="15">
        <f>IF(COUNTIF('Résultats des tournois'!$B6:'Résultats des tournois'!AJ6,"&lt;&gt;")&lt;=5,32,IF(COUNTIF('Résultats des tournois'!$B6:'Résultats des tournois'!AJ6,"&lt;&gt;")&lt;=15,24,16))</f>
        <v>24</v>
      </c>
      <c r="AK6" s="15">
        <f>IF(COUNTIF('Résultats des tournois'!$B6:'Résultats des tournois'!AK6,"&lt;&gt;")&lt;=5,32,IF(COUNTIF('Résultats des tournois'!$B6:'Résultats des tournois'!AK6,"&lt;&gt;")&lt;=15,24,16))</f>
        <v>24</v>
      </c>
      <c r="AL6" s="15">
        <f>IF(COUNTIF('Résultats des tournois'!$B6:'Résultats des tournois'!AL6,"&lt;&gt;")&lt;=5,32,IF(COUNTIF('Résultats des tournois'!$B6:'Résultats des tournois'!AL6,"&lt;&gt;")&lt;=15,24,16))</f>
        <v>24</v>
      </c>
      <c r="AM6" s="15">
        <f>IF(COUNTIF('Résultats des tournois'!$B6:'Résultats des tournois'!AM6,"&lt;&gt;")&lt;=5,32,IF(COUNTIF('Résultats des tournois'!$B6:'Résultats des tournois'!AM6,"&lt;&gt;")&lt;=15,24,16))</f>
        <v>24</v>
      </c>
      <c r="AN6" s="15">
        <f>IF(COUNTIF('Résultats des tournois'!$B6:'Résultats des tournois'!AN6,"&lt;&gt;")&lt;=5,32,IF(COUNTIF('Résultats des tournois'!$B6:'Résultats des tournois'!AN6,"&lt;&gt;")&lt;=15,24,16))</f>
        <v>24</v>
      </c>
      <c r="AO6" s="15">
        <f>IF(COUNTIF('Résultats des tournois'!$B6:'Résultats des tournois'!AO6,"&lt;&gt;")&lt;=5,32,IF(COUNTIF('Résultats des tournois'!$B6:'Résultats des tournois'!AO6,"&lt;&gt;")&lt;=15,24,16))</f>
        <v>24</v>
      </c>
      <c r="AP6" s="15">
        <f>IF(COUNTIF('Résultats des tournois'!$B6:'Résultats des tournois'!AP6,"&lt;&gt;")&lt;=5,32,IF(COUNTIF('Résultats des tournois'!$B6:'Résultats des tournois'!AP6,"&lt;&gt;")&lt;=15,24,16))</f>
        <v>24</v>
      </c>
      <c r="AQ6" s="15">
        <f>IF(COUNTIF('Résultats des tournois'!$B6:'Résultats des tournois'!AQ6,"&lt;&gt;")&lt;=5,32,IF(COUNTIF('Résultats des tournois'!$B6:'Résultats des tournois'!AQ6,"&lt;&gt;")&lt;=15,24,16))</f>
        <v>24</v>
      </c>
      <c r="AR6" s="15">
        <f>IF(COUNTIF('Résultats des tournois'!$B6:'Résultats des tournois'!AR6,"&lt;&gt;")&lt;=5,32,IF(COUNTIF('Résultats des tournois'!$B6:'Résultats des tournois'!AR6,"&lt;&gt;")&lt;=15,24,16))</f>
        <v>24</v>
      </c>
      <c r="AS6" s="15">
        <f>IF(COUNTIF('Résultats des tournois'!$B6:'Résultats des tournois'!AS6,"&lt;&gt;")&lt;=5,32,IF(COUNTIF('Résultats des tournois'!$B6:'Résultats des tournois'!AS6,"&lt;&gt;")&lt;=15,24,16))</f>
        <v>24</v>
      </c>
      <c r="AT6" s="15">
        <f>IF(COUNTIF('Résultats des tournois'!$B6:'Résultats des tournois'!AT6,"&lt;&gt;")&lt;=5,32,IF(COUNTIF('Résultats des tournois'!$B6:'Résultats des tournois'!AT6,"&lt;&gt;")&lt;=15,24,16))</f>
        <v>24</v>
      </c>
      <c r="AU6" s="15">
        <f>IF(COUNTIF('Résultats des tournois'!$B6:'Résultats des tournois'!AU6,"&lt;&gt;")&lt;=5,32,IF(COUNTIF('Résultats des tournois'!$B6:'Résultats des tournois'!AU6,"&lt;&gt;")&lt;=15,24,16))</f>
        <v>24</v>
      </c>
      <c r="AV6" s="15">
        <f>IF(COUNTIF('Résultats des tournois'!$B6:'Résultats des tournois'!AV6,"&lt;&gt;")&lt;=5,32,IF(COUNTIF('Résultats des tournois'!$B6:'Résultats des tournois'!AV6,"&lt;&gt;")&lt;=15,24,16))</f>
        <v>24</v>
      </c>
      <c r="AW6" s="15">
        <f>IF(COUNTIF('Résultats des tournois'!$B6:'Résultats des tournois'!AW6,"&lt;&gt;")&lt;=5,32,IF(COUNTIF('Résultats des tournois'!$B6:'Résultats des tournois'!AW6,"&lt;&gt;")&lt;=15,24,16))</f>
        <v>24</v>
      </c>
      <c r="AX6" s="15">
        <f>IF(COUNTIF('Résultats des tournois'!$B6:'Résultats des tournois'!AX6,"&lt;&gt;")&lt;=5,32,IF(COUNTIF('Résultats des tournois'!$B6:'Résultats des tournois'!AX6,"&lt;&gt;")&lt;=15,24,16))</f>
        <v>24</v>
      </c>
    </row>
    <row r="7" ht="14.25" customHeight="1">
      <c r="A7" s="15" t="str">
        <f>IF('Résultats des tournois'!A7="","",'Résultats des tournois'!A7)</f>
        <v>Gwen</v>
      </c>
      <c r="B7" s="15">
        <f>IF(COUNTIF('Résultats des tournois'!B7,"&lt;&gt;")&lt;=5,32,IF(COUNTIF('Résultats des tournois'!B7,"&lt;&gt;")&lt;=15,24,16))</f>
        <v>32</v>
      </c>
      <c r="C7" s="15">
        <f>IF(COUNTIF('Résultats des tournois'!$B7:'Résultats des tournois'!C7,"&lt;&gt;")&lt;=5,32,IF(COUNTIF('Résultats des tournois'!$B7:'Résultats des tournois'!C7,"&lt;&gt;")&lt;=15,24,16))</f>
        <v>32</v>
      </c>
      <c r="D7" s="15">
        <f>IF(COUNTIF('Résultats des tournois'!$B7:'Résultats des tournois'!D7,"&lt;&gt;")&lt;=5,32,IF(COUNTIF('Résultats des tournois'!$B7:'Résultats des tournois'!D7,"&lt;&gt;")&lt;=15,24,16))</f>
        <v>32</v>
      </c>
      <c r="E7" s="15">
        <f>IF(COUNTIF('Résultats des tournois'!$B7:'Résultats des tournois'!E7,"&lt;&gt;")&lt;=5,32,IF(COUNTIF('Résultats des tournois'!$B7:'Résultats des tournois'!E7,"&lt;&gt;")&lt;=15,24,16))</f>
        <v>32</v>
      </c>
      <c r="F7" s="15">
        <f>IF(COUNTIF('Résultats des tournois'!$B7:'Résultats des tournois'!F7,"&lt;&gt;")&lt;=5,32,IF(COUNTIF('Résultats des tournois'!$B7:'Résultats des tournois'!F7,"&lt;&gt;")&lt;=15,24,16))</f>
        <v>32</v>
      </c>
      <c r="G7" s="15">
        <f>IF(COUNTIF('Résultats des tournois'!$B7:'Résultats des tournois'!G7,"&lt;&gt;")&lt;=5,32,IF(COUNTIF('Résultats des tournois'!$B7:'Résultats des tournois'!G7,"&lt;&gt;")&lt;=15,24,16))</f>
        <v>32</v>
      </c>
      <c r="H7" s="15">
        <f>IF(COUNTIF('Résultats des tournois'!$B7:'Résultats des tournois'!H7,"&lt;&gt;")&lt;=5,32,IF(COUNTIF('Résultats des tournois'!$B7:'Résultats des tournois'!H7,"&lt;&gt;")&lt;=15,24,16))</f>
        <v>32</v>
      </c>
      <c r="I7" s="15">
        <f>IF(COUNTIF('Résultats des tournois'!$B7:'Résultats des tournois'!I7,"&lt;&gt;")&lt;=5,32,IF(COUNTIF('Résultats des tournois'!$B7:'Résultats des tournois'!I7,"&lt;&gt;")&lt;=15,24,16))</f>
        <v>32</v>
      </c>
      <c r="J7" s="15">
        <f>IF(COUNTIF('Résultats des tournois'!$B7:'Résultats des tournois'!J7,"&lt;&gt;")&lt;=5,32,IF(COUNTIF('Résultats des tournois'!$B7:'Résultats des tournois'!J7,"&lt;&gt;")&lt;=15,24,16))</f>
        <v>24</v>
      </c>
      <c r="K7" s="15">
        <f>IF(COUNTIF('Résultats des tournois'!$B7:'Résultats des tournois'!K7,"&lt;&gt;")&lt;=5,32,IF(COUNTIF('Résultats des tournois'!$B7:'Résultats des tournois'!K7,"&lt;&gt;")&lt;=15,24,16))</f>
        <v>24</v>
      </c>
      <c r="L7" s="15">
        <f>IF(COUNTIF('Résultats des tournois'!$B7:'Résultats des tournois'!L7,"&lt;&gt;")&lt;=5,32,IF(COUNTIF('Résultats des tournois'!$B7:'Résultats des tournois'!L7,"&lt;&gt;")&lt;=15,24,16))</f>
        <v>24</v>
      </c>
      <c r="M7" s="15">
        <f>IF(COUNTIF('Résultats des tournois'!$B7:'Résultats des tournois'!M7,"&lt;&gt;")&lt;=5,32,IF(COUNTIF('Résultats des tournois'!$B7:'Résultats des tournois'!M7,"&lt;&gt;")&lt;=15,24,16))</f>
        <v>24</v>
      </c>
      <c r="N7" s="15">
        <f>IF(COUNTIF('Résultats des tournois'!$B7:'Résultats des tournois'!N7,"&lt;&gt;")&lt;=5,32,IF(COUNTIF('Résultats des tournois'!$B7:'Résultats des tournois'!N7,"&lt;&gt;")&lt;=15,24,16))</f>
        <v>24</v>
      </c>
      <c r="O7" s="15">
        <f>IF(COUNTIF('Résultats des tournois'!$B7:'Résultats des tournois'!O7,"&lt;&gt;")&lt;=5,32,IF(COUNTIF('Résultats des tournois'!$B7:'Résultats des tournois'!O7,"&lt;&gt;")&lt;=15,24,16))</f>
        <v>24</v>
      </c>
      <c r="P7" s="15">
        <f>IF(COUNTIF('Résultats des tournois'!$B7:'Résultats des tournois'!P7,"&lt;&gt;")&lt;=5,32,IF(COUNTIF('Résultats des tournois'!$B7:'Résultats des tournois'!P7,"&lt;&gt;")&lt;=15,24,16))</f>
        <v>24</v>
      </c>
      <c r="Q7" s="15">
        <f>IF(COUNTIF('Résultats des tournois'!$B7:'Résultats des tournois'!Q7,"&lt;&gt;")&lt;=5,32,IF(COUNTIF('Résultats des tournois'!$B7:'Résultats des tournois'!Q7,"&lt;&gt;")&lt;=15,24,16))</f>
        <v>24</v>
      </c>
      <c r="R7" s="15">
        <f>IF(COUNTIF('Résultats des tournois'!$B7:'Résultats des tournois'!R7,"&lt;&gt;")&lt;=5,32,IF(COUNTIF('Résultats des tournois'!$B7:'Résultats des tournois'!R7,"&lt;&gt;")&lt;=15,24,16))</f>
        <v>24</v>
      </c>
      <c r="S7" s="15">
        <f>IF(COUNTIF('Résultats des tournois'!$B7:'Résultats des tournois'!S7,"&lt;&gt;")&lt;=5,32,IF(COUNTIF('Résultats des tournois'!$B7:'Résultats des tournois'!S7,"&lt;&gt;")&lt;=15,24,16))</f>
        <v>24</v>
      </c>
      <c r="T7" s="15">
        <f>IF(COUNTIF('Résultats des tournois'!$B7:'Résultats des tournois'!T7,"&lt;&gt;")&lt;=5,32,IF(COUNTIF('Résultats des tournois'!$B7:'Résultats des tournois'!T7,"&lt;&gt;")&lt;=15,24,16))</f>
        <v>24</v>
      </c>
      <c r="U7" s="15">
        <f>IF(COUNTIF('Résultats des tournois'!$B7:'Résultats des tournois'!U7,"&lt;&gt;")&lt;=5,32,IF(COUNTIF('Résultats des tournois'!$B7:'Résultats des tournois'!U7,"&lt;&gt;")&lt;=15,24,16))</f>
        <v>24</v>
      </c>
      <c r="V7" s="15">
        <f>IF(COUNTIF('Résultats des tournois'!$B7:'Résultats des tournois'!V7,"&lt;&gt;")&lt;=5,32,IF(COUNTIF('Résultats des tournois'!$B7:'Résultats des tournois'!V7,"&lt;&gt;")&lt;=15,24,16))</f>
        <v>24</v>
      </c>
      <c r="W7" s="15">
        <f>IF(COUNTIF('Résultats des tournois'!$B7:'Résultats des tournois'!W7,"&lt;&gt;")&lt;=5,32,IF(COUNTIF('Résultats des tournois'!$B7:'Résultats des tournois'!W7,"&lt;&gt;")&lt;=15,24,16))</f>
        <v>24</v>
      </c>
      <c r="X7" s="15">
        <f>IF(COUNTIF('Résultats des tournois'!$B7:'Résultats des tournois'!X7,"&lt;&gt;")&lt;=5,32,IF(COUNTIF('Résultats des tournois'!$B7:'Résultats des tournois'!X7,"&lt;&gt;")&lt;=15,24,16))</f>
        <v>24</v>
      </c>
      <c r="Y7" s="15">
        <f>IF(COUNTIF('Résultats des tournois'!$B7:'Résultats des tournois'!Y7,"&lt;&gt;")&lt;=5,32,IF(COUNTIF('Résultats des tournois'!$B7:'Résultats des tournois'!Y7,"&lt;&gt;")&lt;=15,24,16))</f>
        <v>24</v>
      </c>
      <c r="Z7" s="15">
        <f>IF(COUNTIF('Résultats des tournois'!$B7:'Résultats des tournois'!Z7,"&lt;&gt;")&lt;=5,32,IF(COUNTIF('Résultats des tournois'!$B7:'Résultats des tournois'!Z7,"&lt;&gt;")&lt;=15,24,16))</f>
        <v>24</v>
      </c>
      <c r="AA7" s="15">
        <f>IF(COUNTIF('Résultats des tournois'!$B7:'Résultats des tournois'!AA7,"&lt;&gt;")&lt;=5,32,IF(COUNTIF('Résultats des tournois'!$B7:'Résultats des tournois'!AA7,"&lt;&gt;")&lt;=15,24,16))</f>
        <v>24</v>
      </c>
      <c r="AB7" s="15">
        <f>IF(COUNTIF('Résultats des tournois'!$B7:'Résultats des tournois'!AB7,"&lt;&gt;")&lt;=5,32,IF(COUNTIF('Résultats des tournois'!$B7:'Résultats des tournois'!AB7,"&lt;&gt;")&lt;=15,24,16))</f>
        <v>24</v>
      </c>
      <c r="AC7" s="15">
        <f>IF(COUNTIF('Résultats des tournois'!$B7:'Résultats des tournois'!AC7,"&lt;&gt;")&lt;=5,32,IF(COUNTIF('Résultats des tournois'!$B7:'Résultats des tournois'!AC7,"&lt;&gt;")&lt;=15,24,16))</f>
        <v>24</v>
      </c>
      <c r="AD7" s="15">
        <f>IF(COUNTIF('Résultats des tournois'!$B7:'Résultats des tournois'!AD7,"&lt;&gt;")&lt;=5,32,IF(COUNTIF('Résultats des tournois'!$B7:'Résultats des tournois'!AD7,"&lt;&gt;")&lt;=15,24,16))</f>
        <v>24</v>
      </c>
      <c r="AE7" s="15">
        <f>IF(COUNTIF('Résultats des tournois'!$B7:'Résultats des tournois'!AE7,"&lt;&gt;")&lt;=5,32,IF(COUNTIF('Résultats des tournois'!$B7:'Résultats des tournois'!AE7,"&lt;&gt;")&lt;=15,24,16))</f>
        <v>24</v>
      </c>
      <c r="AF7" s="15">
        <f>IF(COUNTIF('Résultats des tournois'!$B7:'Résultats des tournois'!AF7,"&lt;&gt;")&lt;=5,32,IF(COUNTIF('Résultats des tournois'!$B7:'Résultats des tournois'!AF7,"&lt;&gt;")&lt;=15,24,16))</f>
        <v>24</v>
      </c>
      <c r="AG7" s="15">
        <f>IF(COUNTIF('Résultats des tournois'!$B7:'Résultats des tournois'!AG7,"&lt;&gt;")&lt;=5,32,IF(COUNTIF('Résultats des tournois'!$B7:'Résultats des tournois'!AG7,"&lt;&gt;")&lt;=15,24,16))</f>
        <v>24</v>
      </c>
      <c r="AH7" s="15">
        <f>IF(COUNTIF('Résultats des tournois'!$B7:'Résultats des tournois'!AH7,"&lt;&gt;")&lt;=5,32,IF(COUNTIF('Résultats des tournois'!$B7:'Résultats des tournois'!AH7,"&lt;&gt;")&lt;=15,24,16))</f>
        <v>24</v>
      </c>
      <c r="AI7" s="15">
        <f>IF(COUNTIF('Résultats des tournois'!$B7:'Résultats des tournois'!AI7,"&lt;&gt;")&lt;=5,32,IF(COUNTIF('Résultats des tournois'!$B7:'Résultats des tournois'!AI7,"&lt;&gt;")&lt;=15,24,16))</f>
        <v>24</v>
      </c>
      <c r="AJ7" s="15">
        <f>IF(COUNTIF('Résultats des tournois'!$B7:'Résultats des tournois'!AJ7,"&lt;&gt;")&lt;=5,32,IF(COUNTIF('Résultats des tournois'!$B7:'Résultats des tournois'!AJ7,"&lt;&gt;")&lt;=15,24,16))</f>
        <v>24</v>
      </c>
      <c r="AK7" s="15">
        <f>IF(COUNTIF('Résultats des tournois'!$B7:'Résultats des tournois'!AK7,"&lt;&gt;")&lt;=5,32,IF(COUNTIF('Résultats des tournois'!$B7:'Résultats des tournois'!AK7,"&lt;&gt;")&lt;=15,24,16))</f>
        <v>24</v>
      </c>
      <c r="AL7" s="15">
        <f>IF(COUNTIF('Résultats des tournois'!$B7:'Résultats des tournois'!AL7,"&lt;&gt;")&lt;=5,32,IF(COUNTIF('Résultats des tournois'!$B7:'Résultats des tournois'!AL7,"&lt;&gt;")&lt;=15,24,16))</f>
        <v>24</v>
      </c>
      <c r="AM7" s="15">
        <f>IF(COUNTIF('Résultats des tournois'!$B7:'Résultats des tournois'!AM7,"&lt;&gt;")&lt;=5,32,IF(COUNTIF('Résultats des tournois'!$B7:'Résultats des tournois'!AM7,"&lt;&gt;")&lt;=15,24,16))</f>
        <v>24</v>
      </c>
      <c r="AN7" s="15">
        <f>IF(COUNTIF('Résultats des tournois'!$B7:'Résultats des tournois'!AN7,"&lt;&gt;")&lt;=5,32,IF(COUNTIF('Résultats des tournois'!$B7:'Résultats des tournois'!AN7,"&lt;&gt;")&lt;=15,24,16))</f>
        <v>24</v>
      </c>
      <c r="AO7" s="15">
        <f>IF(COUNTIF('Résultats des tournois'!$B7:'Résultats des tournois'!AO7,"&lt;&gt;")&lt;=5,32,IF(COUNTIF('Résultats des tournois'!$B7:'Résultats des tournois'!AO7,"&lt;&gt;")&lt;=15,24,16))</f>
        <v>24</v>
      </c>
      <c r="AP7" s="15">
        <f>IF(COUNTIF('Résultats des tournois'!$B7:'Résultats des tournois'!AP7,"&lt;&gt;")&lt;=5,32,IF(COUNTIF('Résultats des tournois'!$B7:'Résultats des tournois'!AP7,"&lt;&gt;")&lt;=15,24,16))</f>
        <v>24</v>
      </c>
      <c r="AQ7" s="15">
        <f>IF(COUNTIF('Résultats des tournois'!$B7:'Résultats des tournois'!AQ7,"&lt;&gt;")&lt;=5,32,IF(COUNTIF('Résultats des tournois'!$B7:'Résultats des tournois'!AQ7,"&lt;&gt;")&lt;=15,24,16))</f>
        <v>24</v>
      </c>
      <c r="AR7" s="15">
        <f>IF(COUNTIF('Résultats des tournois'!$B7:'Résultats des tournois'!AR7,"&lt;&gt;")&lt;=5,32,IF(COUNTIF('Résultats des tournois'!$B7:'Résultats des tournois'!AR7,"&lt;&gt;")&lt;=15,24,16))</f>
        <v>24</v>
      </c>
      <c r="AS7" s="15">
        <f>IF(COUNTIF('Résultats des tournois'!$B7:'Résultats des tournois'!AS7,"&lt;&gt;")&lt;=5,32,IF(COUNTIF('Résultats des tournois'!$B7:'Résultats des tournois'!AS7,"&lt;&gt;")&lt;=15,24,16))</f>
        <v>24</v>
      </c>
      <c r="AT7" s="15">
        <f>IF(COUNTIF('Résultats des tournois'!$B7:'Résultats des tournois'!AT7,"&lt;&gt;")&lt;=5,32,IF(COUNTIF('Résultats des tournois'!$B7:'Résultats des tournois'!AT7,"&lt;&gt;")&lt;=15,24,16))</f>
        <v>24</v>
      </c>
      <c r="AU7" s="15">
        <f>IF(COUNTIF('Résultats des tournois'!$B7:'Résultats des tournois'!AU7,"&lt;&gt;")&lt;=5,32,IF(COUNTIF('Résultats des tournois'!$B7:'Résultats des tournois'!AU7,"&lt;&gt;")&lt;=15,24,16))</f>
        <v>24</v>
      </c>
      <c r="AV7" s="15">
        <f>IF(COUNTIF('Résultats des tournois'!$B7:'Résultats des tournois'!AV7,"&lt;&gt;")&lt;=5,32,IF(COUNTIF('Résultats des tournois'!$B7:'Résultats des tournois'!AV7,"&lt;&gt;")&lt;=15,24,16))</f>
        <v>24</v>
      </c>
      <c r="AW7" s="15">
        <f>IF(COUNTIF('Résultats des tournois'!$B7:'Résultats des tournois'!AW7,"&lt;&gt;")&lt;=5,32,IF(COUNTIF('Résultats des tournois'!$B7:'Résultats des tournois'!AW7,"&lt;&gt;")&lt;=15,24,16))</f>
        <v>24</v>
      </c>
      <c r="AX7" s="15">
        <f>IF(COUNTIF('Résultats des tournois'!$B7:'Résultats des tournois'!AX7,"&lt;&gt;")&lt;=5,32,IF(COUNTIF('Résultats des tournois'!$B7:'Résultats des tournois'!AX7,"&lt;&gt;")&lt;=15,24,16))</f>
        <v>24</v>
      </c>
    </row>
    <row r="8" ht="14.25" customHeight="1">
      <c r="A8" s="15" t="str">
        <f>IF('Résultats des tournois'!A8="","",'Résultats des tournois'!A8)</f>
        <v>Howie</v>
      </c>
      <c r="B8" s="15">
        <f>IF(COUNTIF('Résultats des tournois'!B8,"&lt;&gt;")&lt;=5,32,IF(COUNTIF('Résultats des tournois'!B8,"&lt;&gt;")&lt;=15,24,16))</f>
        <v>32</v>
      </c>
      <c r="C8" s="15">
        <f>IF(COUNTIF('Résultats des tournois'!$B8:'Résultats des tournois'!C8,"&lt;&gt;")&lt;=5,32,IF(COUNTIF('Résultats des tournois'!$B8:'Résultats des tournois'!C8,"&lt;&gt;")&lt;=15,24,16))</f>
        <v>32</v>
      </c>
      <c r="D8" s="15">
        <f>IF(COUNTIF('Résultats des tournois'!$B8:'Résultats des tournois'!D8,"&lt;&gt;")&lt;=5,32,IF(COUNTIF('Résultats des tournois'!$B8:'Résultats des tournois'!D8,"&lt;&gt;")&lt;=15,24,16))</f>
        <v>32</v>
      </c>
      <c r="E8" s="15">
        <f>IF(COUNTIF('Résultats des tournois'!$B8:'Résultats des tournois'!E8,"&lt;&gt;")&lt;=5,32,IF(COUNTIF('Résultats des tournois'!$B8:'Résultats des tournois'!E8,"&lt;&gt;")&lt;=15,24,16))</f>
        <v>32</v>
      </c>
      <c r="F8" s="15">
        <f>IF(COUNTIF('Résultats des tournois'!$B8:'Résultats des tournois'!F8,"&lt;&gt;")&lt;=5,32,IF(COUNTIF('Résultats des tournois'!$B8:'Résultats des tournois'!F8,"&lt;&gt;")&lt;=15,24,16))</f>
        <v>32</v>
      </c>
      <c r="G8" s="15">
        <f>IF(COUNTIF('Résultats des tournois'!$B8:'Résultats des tournois'!G8,"&lt;&gt;")&lt;=5,32,IF(COUNTIF('Résultats des tournois'!$B8:'Résultats des tournois'!G8,"&lt;&gt;")&lt;=15,24,16))</f>
        <v>32</v>
      </c>
      <c r="H8" s="15">
        <f>IF(COUNTIF('Résultats des tournois'!$B8:'Résultats des tournois'!H8,"&lt;&gt;")&lt;=5,32,IF(COUNTIF('Résultats des tournois'!$B8:'Résultats des tournois'!H8,"&lt;&gt;")&lt;=15,24,16))</f>
        <v>32</v>
      </c>
      <c r="I8" s="15">
        <f>IF(COUNTIF('Résultats des tournois'!$B8:'Résultats des tournois'!I8,"&lt;&gt;")&lt;=5,32,IF(COUNTIF('Résultats des tournois'!$B8:'Résultats des tournois'!I8,"&lt;&gt;")&lt;=15,24,16))</f>
        <v>32</v>
      </c>
      <c r="J8" s="15">
        <f>IF(COUNTIF('Résultats des tournois'!$B8:'Résultats des tournois'!J8,"&lt;&gt;")&lt;=5,32,IF(COUNTIF('Résultats des tournois'!$B8:'Résultats des tournois'!J8,"&lt;&gt;")&lt;=15,24,16))</f>
        <v>32</v>
      </c>
      <c r="K8" s="15">
        <f>IF(COUNTIF('Résultats des tournois'!$B8:'Résultats des tournois'!K8,"&lt;&gt;")&lt;=5,32,IF(COUNTIF('Résultats des tournois'!$B8:'Résultats des tournois'!K8,"&lt;&gt;")&lt;=15,24,16))</f>
        <v>32</v>
      </c>
      <c r="L8" s="15">
        <f>IF(COUNTIF('Résultats des tournois'!$B8:'Résultats des tournois'!L8,"&lt;&gt;")&lt;=5,32,IF(COUNTIF('Résultats des tournois'!$B8:'Résultats des tournois'!L8,"&lt;&gt;")&lt;=15,24,16))</f>
        <v>32</v>
      </c>
      <c r="M8" s="15">
        <f>IF(COUNTIF('Résultats des tournois'!$B8:'Résultats des tournois'!M8,"&lt;&gt;")&lt;=5,32,IF(COUNTIF('Résultats des tournois'!$B8:'Résultats des tournois'!M8,"&lt;&gt;")&lt;=15,24,16))</f>
        <v>32</v>
      </c>
      <c r="N8" s="15">
        <f>IF(COUNTIF('Résultats des tournois'!$B8:'Résultats des tournois'!N8,"&lt;&gt;")&lt;=5,32,IF(COUNTIF('Résultats des tournois'!$B8:'Résultats des tournois'!N8,"&lt;&gt;")&lt;=15,24,16))</f>
        <v>32</v>
      </c>
      <c r="O8" s="15">
        <f>IF(COUNTIF('Résultats des tournois'!$B8:'Résultats des tournois'!O8,"&lt;&gt;")&lt;=5,32,IF(COUNTIF('Résultats des tournois'!$B8:'Résultats des tournois'!O8,"&lt;&gt;")&lt;=15,24,16))</f>
        <v>32</v>
      </c>
      <c r="P8" s="15">
        <f>IF(COUNTIF('Résultats des tournois'!$B8:'Résultats des tournois'!P8,"&lt;&gt;")&lt;=5,32,IF(COUNTIF('Résultats des tournois'!$B8:'Résultats des tournois'!P8,"&lt;&gt;")&lt;=15,24,16))</f>
        <v>32</v>
      </c>
      <c r="Q8" s="15">
        <f>IF(COUNTIF('Résultats des tournois'!$B8:'Résultats des tournois'!Q8,"&lt;&gt;")&lt;=5,32,IF(COUNTIF('Résultats des tournois'!$B8:'Résultats des tournois'!Q8,"&lt;&gt;")&lt;=15,24,16))</f>
        <v>32</v>
      </c>
      <c r="R8" s="15">
        <f>IF(COUNTIF('Résultats des tournois'!$B8:'Résultats des tournois'!R8,"&lt;&gt;")&lt;=5,32,IF(COUNTIF('Résultats des tournois'!$B8:'Résultats des tournois'!R8,"&lt;&gt;")&lt;=15,24,16))</f>
        <v>32</v>
      </c>
      <c r="S8" s="15">
        <f>IF(COUNTIF('Résultats des tournois'!$B8:'Résultats des tournois'!S8,"&lt;&gt;")&lt;=5,32,IF(COUNTIF('Résultats des tournois'!$B8:'Résultats des tournois'!S8,"&lt;&gt;")&lt;=15,24,16))</f>
        <v>32</v>
      </c>
      <c r="T8" s="15">
        <f>IF(COUNTIF('Résultats des tournois'!$B8:'Résultats des tournois'!T8,"&lt;&gt;")&lt;=5,32,IF(COUNTIF('Résultats des tournois'!$B8:'Résultats des tournois'!T8,"&lt;&gt;")&lt;=15,24,16))</f>
        <v>32</v>
      </c>
      <c r="U8" s="15">
        <f>IF(COUNTIF('Résultats des tournois'!$B8:'Résultats des tournois'!U8,"&lt;&gt;")&lt;=5,32,IF(COUNTIF('Résultats des tournois'!$B8:'Résultats des tournois'!U8,"&lt;&gt;")&lt;=15,24,16))</f>
        <v>32</v>
      </c>
      <c r="V8" s="15">
        <f>IF(COUNTIF('Résultats des tournois'!$B8:'Résultats des tournois'!V8,"&lt;&gt;")&lt;=5,32,IF(COUNTIF('Résultats des tournois'!$B8:'Résultats des tournois'!V8,"&lt;&gt;")&lt;=15,24,16))</f>
        <v>32</v>
      </c>
      <c r="W8" s="15">
        <f>IF(COUNTIF('Résultats des tournois'!$B8:'Résultats des tournois'!W8,"&lt;&gt;")&lt;=5,32,IF(COUNTIF('Résultats des tournois'!$B8:'Résultats des tournois'!W8,"&lt;&gt;")&lt;=15,24,16))</f>
        <v>32</v>
      </c>
      <c r="X8" s="15">
        <f>IF(COUNTIF('Résultats des tournois'!$B8:'Résultats des tournois'!X8,"&lt;&gt;")&lt;=5,32,IF(COUNTIF('Résultats des tournois'!$B8:'Résultats des tournois'!X8,"&lt;&gt;")&lt;=15,24,16))</f>
        <v>32</v>
      </c>
      <c r="Y8" s="15">
        <f>IF(COUNTIF('Résultats des tournois'!$B8:'Résultats des tournois'!Y8,"&lt;&gt;")&lt;=5,32,IF(COUNTIF('Résultats des tournois'!$B8:'Résultats des tournois'!Y8,"&lt;&gt;")&lt;=15,24,16))</f>
        <v>32</v>
      </c>
      <c r="Z8" s="15">
        <f>IF(COUNTIF('Résultats des tournois'!$B8:'Résultats des tournois'!Z8,"&lt;&gt;")&lt;=5,32,IF(COUNTIF('Résultats des tournois'!$B8:'Résultats des tournois'!Z8,"&lt;&gt;")&lt;=15,24,16))</f>
        <v>32</v>
      </c>
      <c r="AA8" s="15">
        <f>IF(COUNTIF('Résultats des tournois'!$B8:'Résultats des tournois'!AA8,"&lt;&gt;")&lt;=5,32,IF(COUNTIF('Résultats des tournois'!$B8:'Résultats des tournois'!AA8,"&lt;&gt;")&lt;=15,24,16))</f>
        <v>32</v>
      </c>
      <c r="AB8" s="15">
        <f>IF(COUNTIF('Résultats des tournois'!$B8:'Résultats des tournois'!AB8,"&lt;&gt;")&lt;=5,32,IF(COUNTIF('Résultats des tournois'!$B8:'Résultats des tournois'!AB8,"&lt;&gt;")&lt;=15,24,16))</f>
        <v>32</v>
      </c>
      <c r="AC8" s="15">
        <f>IF(COUNTIF('Résultats des tournois'!$B8:'Résultats des tournois'!AC8,"&lt;&gt;")&lt;=5,32,IF(COUNTIF('Résultats des tournois'!$B8:'Résultats des tournois'!AC8,"&lt;&gt;")&lt;=15,24,16))</f>
        <v>32</v>
      </c>
      <c r="AD8" s="15">
        <f>IF(COUNTIF('Résultats des tournois'!$B8:'Résultats des tournois'!AD8,"&lt;&gt;")&lt;=5,32,IF(COUNTIF('Résultats des tournois'!$B8:'Résultats des tournois'!AD8,"&lt;&gt;")&lt;=15,24,16))</f>
        <v>32</v>
      </c>
      <c r="AE8" s="15">
        <f>IF(COUNTIF('Résultats des tournois'!$B8:'Résultats des tournois'!AE8,"&lt;&gt;")&lt;=5,32,IF(COUNTIF('Résultats des tournois'!$B8:'Résultats des tournois'!AE8,"&lt;&gt;")&lt;=15,24,16))</f>
        <v>32</v>
      </c>
      <c r="AF8" s="15">
        <f>IF(COUNTIF('Résultats des tournois'!$B8:'Résultats des tournois'!AF8,"&lt;&gt;")&lt;=5,32,IF(COUNTIF('Résultats des tournois'!$B8:'Résultats des tournois'!AF8,"&lt;&gt;")&lt;=15,24,16))</f>
        <v>32</v>
      </c>
      <c r="AG8" s="15">
        <f>IF(COUNTIF('Résultats des tournois'!$B8:'Résultats des tournois'!AG8,"&lt;&gt;")&lt;=5,32,IF(COUNTIF('Résultats des tournois'!$B8:'Résultats des tournois'!AG8,"&lt;&gt;")&lt;=15,24,16))</f>
        <v>32</v>
      </c>
      <c r="AH8" s="15">
        <f>IF(COUNTIF('Résultats des tournois'!$B8:'Résultats des tournois'!AH8,"&lt;&gt;")&lt;=5,32,IF(COUNTIF('Résultats des tournois'!$B8:'Résultats des tournois'!AH8,"&lt;&gt;")&lt;=15,24,16))</f>
        <v>32</v>
      </c>
      <c r="AI8" s="15">
        <f>IF(COUNTIF('Résultats des tournois'!$B8:'Résultats des tournois'!AI8,"&lt;&gt;")&lt;=5,32,IF(COUNTIF('Résultats des tournois'!$B8:'Résultats des tournois'!AI8,"&lt;&gt;")&lt;=15,24,16))</f>
        <v>32</v>
      </c>
      <c r="AJ8" s="15">
        <f>IF(COUNTIF('Résultats des tournois'!$B8:'Résultats des tournois'!AJ8,"&lt;&gt;")&lt;=5,32,IF(COUNTIF('Résultats des tournois'!$B8:'Résultats des tournois'!AJ8,"&lt;&gt;")&lt;=15,24,16))</f>
        <v>32</v>
      </c>
      <c r="AK8" s="15">
        <f>IF(COUNTIF('Résultats des tournois'!$B8:'Résultats des tournois'!AK8,"&lt;&gt;")&lt;=5,32,IF(COUNTIF('Résultats des tournois'!$B8:'Résultats des tournois'!AK8,"&lt;&gt;")&lt;=15,24,16))</f>
        <v>32</v>
      </c>
      <c r="AL8" s="15">
        <f>IF(COUNTIF('Résultats des tournois'!$B8:'Résultats des tournois'!AL8,"&lt;&gt;")&lt;=5,32,IF(COUNTIF('Résultats des tournois'!$B8:'Résultats des tournois'!AL8,"&lt;&gt;")&lt;=15,24,16))</f>
        <v>32</v>
      </c>
      <c r="AM8" s="15">
        <f>IF(COUNTIF('Résultats des tournois'!$B8:'Résultats des tournois'!AM8,"&lt;&gt;")&lt;=5,32,IF(COUNTIF('Résultats des tournois'!$B8:'Résultats des tournois'!AM8,"&lt;&gt;")&lt;=15,24,16))</f>
        <v>32</v>
      </c>
      <c r="AN8" s="15">
        <f>IF(COUNTIF('Résultats des tournois'!$B8:'Résultats des tournois'!AN8,"&lt;&gt;")&lt;=5,32,IF(COUNTIF('Résultats des tournois'!$B8:'Résultats des tournois'!AN8,"&lt;&gt;")&lt;=15,24,16))</f>
        <v>32</v>
      </c>
      <c r="AO8" s="15">
        <f>IF(COUNTIF('Résultats des tournois'!$B8:'Résultats des tournois'!AO8,"&lt;&gt;")&lt;=5,32,IF(COUNTIF('Résultats des tournois'!$B8:'Résultats des tournois'!AO8,"&lt;&gt;")&lt;=15,24,16))</f>
        <v>32</v>
      </c>
      <c r="AP8" s="15">
        <f>IF(COUNTIF('Résultats des tournois'!$B8:'Résultats des tournois'!AP8,"&lt;&gt;")&lt;=5,32,IF(COUNTIF('Résultats des tournois'!$B8:'Résultats des tournois'!AP8,"&lt;&gt;")&lt;=15,24,16))</f>
        <v>32</v>
      </c>
      <c r="AQ8" s="15">
        <f>IF(COUNTIF('Résultats des tournois'!$B8:'Résultats des tournois'!AQ8,"&lt;&gt;")&lt;=5,32,IF(COUNTIF('Résultats des tournois'!$B8:'Résultats des tournois'!AQ8,"&lt;&gt;")&lt;=15,24,16))</f>
        <v>32</v>
      </c>
      <c r="AR8" s="15">
        <f>IF(COUNTIF('Résultats des tournois'!$B8:'Résultats des tournois'!AR8,"&lt;&gt;")&lt;=5,32,IF(COUNTIF('Résultats des tournois'!$B8:'Résultats des tournois'!AR8,"&lt;&gt;")&lt;=15,24,16))</f>
        <v>32</v>
      </c>
      <c r="AS8" s="15">
        <f>IF(COUNTIF('Résultats des tournois'!$B8:'Résultats des tournois'!AS8,"&lt;&gt;")&lt;=5,32,IF(COUNTIF('Résultats des tournois'!$B8:'Résultats des tournois'!AS8,"&lt;&gt;")&lt;=15,24,16))</f>
        <v>32</v>
      </c>
      <c r="AT8" s="15">
        <f>IF(COUNTIF('Résultats des tournois'!$B8:'Résultats des tournois'!AT8,"&lt;&gt;")&lt;=5,32,IF(COUNTIF('Résultats des tournois'!$B8:'Résultats des tournois'!AT8,"&lt;&gt;")&lt;=15,24,16))</f>
        <v>32</v>
      </c>
      <c r="AU8" s="15">
        <f>IF(COUNTIF('Résultats des tournois'!$B8:'Résultats des tournois'!AU8,"&lt;&gt;")&lt;=5,32,IF(COUNTIF('Résultats des tournois'!$B8:'Résultats des tournois'!AU8,"&lt;&gt;")&lt;=15,24,16))</f>
        <v>32</v>
      </c>
      <c r="AV8" s="15">
        <f>IF(COUNTIF('Résultats des tournois'!$B8:'Résultats des tournois'!AV8,"&lt;&gt;")&lt;=5,32,IF(COUNTIF('Résultats des tournois'!$B8:'Résultats des tournois'!AV8,"&lt;&gt;")&lt;=15,24,16))</f>
        <v>32</v>
      </c>
      <c r="AW8" s="15">
        <f>IF(COUNTIF('Résultats des tournois'!$B8:'Résultats des tournois'!AW8,"&lt;&gt;")&lt;=5,32,IF(COUNTIF('Résultats des tournois'!$B8:'Résultats des tournois'!AW8,"&lt;&gt;")&lt;=15,24,16))</f>
        <v>32</v>
      </c>
      <c r="AX8" s="15">
        <f>IF(COUNTIF('Résultats des tournois'!$B8:'Résultats des tournois'!AX8,"&lt;&gt;")&lt;=5,32,IF(COUNTIF('Résultats des tournois'!$B8:'Résultats des tournois'!AX8,"&lt;&gt;")&lt;=15,24,16))</f>
        <v>32</v>
      </c>
    </row>
    <row r="9" ht="14.25" customHeight="1">
      <c r="A9" s="15" t="str">
        <f>IF('Résultats des tournois'!A9="","",'Résultats des tournois'!A9)</f>
        <v>Hyppo</v>
      </c>
      <c r="B9" s="15">
        <f>IF(COUNTIF('Résultats des tournois'!B9,"&lt;&gt;")&lt;=5,32,IF(COUNTIF('Résultats des tournois'!B9,"&lt;&gt;")&lt;=15,24,16))</f>
        <v>32</v>
      </c>
      <c r="C9" s="15">
        <f>IF(COUNTIF('Résultats des tournois'!$B9:'Résultats des tournois'!C9,"&lt;&gt;")&lt;=5,32,IF(COUNTIF('Résultats des tournois'!$B9:'Résultats des tournois'!C9,"&lt;&gt;")&lt;=15,24,16))</f>
        <v>32</v>
      </c>
      <c r="D9" s="15">
        <f>IF(COUNTIF('Résultats des tournois'!$B9:'Résultats des tournois'!D9,"&lt;&gt;")&lt;=5,32,IF(COUNTIF('Résultats des tournois'!$B9:'Résultats des tournois'!D9,"&lt;&gt;")&lt;=15,24,16))</f>
        <v>32</v>
      </c>
      <c r="E9" s="15">
        <f>IF(COUNTIF('Résultats des tournois'!$B9:'Résultats des tournois'!E9,"&lt;&gt;")&lt;=5,32,IF(COUNTIF('Résultats des tournois'!$B9:'Résultats des tournois'!E9,"&lt;&gt;")&lt;=15,24,16))</f>
        <v>32</v>
      </c>
      <c r="F9" s="15">
        <f>IF(COUNTIF('Résultats des tournois'!$B9:'Résultats des tournois'!F9,"&lt;&gt;")&lt;=5,32,IF(COUNTIF('Résultats des tournois'!$B9:'Résultats des tournois'!F9,"&lt;&gt;")&lt;=15,24,16))</f>
        <v>32</v>
      </c>
      <c r="G9" s="15">
        <f>IF(COUNTIF('Résultats des tournois'!$B9:'Résultats des tournois'!G9,"&lt;&gt;")&lt;=5,32,IF(COUNTIF('Résultats des tournois'!$B9:'Résultats des tournois'!G9,"&lt;&gt;")&lt;=15,24,16))</f>
        <v>32</v>
      </c>
      <c r="H9" s="15">
        <f>IF(COUNTIF('Résultats des tournois'!$B9:'Résultats des tournois'!H9,"&lt;&gt;")&lt;=5,32,IF(COUNTIF('Résultats des tournois'!$B9:'Résultats des tournois'!H9,"&lt;&gt;")&lt;=15,24,16))</f>
        <v>32</v>
      </c>
      <c r="I9" s="15">
        <f>IF(COUNTIF('Résultats des tournois'!$B9:'Résultats des tournois'!I9,"&lt;&gt;")&lt;=5,32,IF(COUNTIF('Résultats des tournois'!$B9:'Résultats des tournois'!I9,"&lt;&gt;")&lt;=15,24,16))</f>
        <v>32</v>
      </c>
      <c r="J9" s="15">
        <f>IF(COUNTIF('Résultats des tournois'!$B9:'Résultats des tournois'!J9,"&lt;&gt;")&lt;=5,32,IF(COUNTIF('Résultats des tournois'!$B9:'Résultats des tournois'!J9,"&lt;&gt;")&lt;=15,24,16))</f>
        <v>32</v>
      </c>
      <c r="K9" s="15">
        <f>IF(COUNTIF('Résultats des tournois'!$B9:'Résultats des tournois'!K9,"&lt;&gt;")&lt;=5,32,IF(COUNTIF('Résultats des tournois'!$B9:'Résultats des tournois'!K9,"&lt;&gt;")&lt;=15,24,16))</f>
        <v>32</v>
      </c>
      <c r="L9" s="15">
        <f>IF(COUNTIF('Résultats des tournois'!$B9:'Résultats des tournois'!L9,"&lt;&gt;")&lt;=5,32,IF(COUNTIF('Résultats des tournois'!$B9:'Résultats des tournois'!L9,"&lt;&gt;")&lt;=15,24,16))</f>
        <v>32</v>
      </c>
      <c r="M9" s="15">
        <f>IF(COUNTIF('Résultats des tournois'!$B9:'Résultats des tournois'!M9,"&lt;&gt;")&lt;=5,32,IF(COUNTIF('Résultats des tournois'!$B9:'Résultats des tournois'!M9,"&lt;&gt;")&lt;=15,24,16))</f>
        <v>32</v>
      </c>
      <c r="N9" s="15">
        <f>IF(COUNTIF('Résultats des tournois'!$B9:'Résultats des tournois'!N9,"&lt;&gt;")&lt;=5,32,IF(COUNTIF('Résultats des tournois'!$B9:'Résultats des tournois'!N9,"&lt;&gt;")&lt;=15,24,16))</f>
        <v>32</v>
      </c>
      <c r="O9" s="15">
        <f>IF(COUNTIF('Résultats des tournois'!$B9:'Résultats des tournois'!O9,"&lt;&gt;")&lt;=5,32,IF(COUNTIF('Résultats des tournois'!$B9:'Résultats des tournois'!O9,"&lt;&gt;")&lt;=15,24,16))</f>
        <v>32</v>
      </c>
      <c r="P9" s="15">
        <f>IF(COUNTIF('Résultats des tournois'!$B9:'Résultats des tournois'!P9,"&lt;&gt;")&lt;=5,32,IF(COUNTIF('Résultats des tournois'!$B9:'Résultats des tournois'!P9,"&lt;&gt;")&lt;=15,24,16))</f>
        <v>32</v>
      </c>
      <c r="Q9" s="15">
        <f>IF(COUNTIF('Résultats des tournois'!$B9:'Résultats des tournois'!Q9,"&lt;&gt;")&lt;=5,32,IF(COUNTIF('Résultats des tournois'!$B9:'Résultats des tournois'!Q9,"&lt;&gt;")&lt;=15,24,16))</f>
        <v>32</v>
      </c>
      <c r="R9" s="15">
        <f>IF(COUNTIF('Résultats des tournois'!$B9:'Résultats des tournois'!R9,"&lt;&gt;")&lt;=5,32,IF(COUNTIF('Résultats des tournois'!$B9:'Résultats des tournois'!R9,"&lt;&gt;")&lt;=15,24,16))</f>
        <v>32</v>
      </c>
      <c r="S9" s="15">
        <f>IF(COUNTIF('Résultats des tournois'!$B9:'Résultats des tournois'!S9,"&lt;&gt;")&lt;=5,32,IF(COUNTIF('Résultats des tournois'!$B9:'Résultats des tournois'!S9,"&lt;&gt;")&lt;=15,24,16))</f>
        <v>32</v>
      </c>
      <c r="T9" s="15">
        <f>IF(COUNTIF('Résultats des tournois'!$B9:'Résultats des tournois'!T9,"&lt;&gt;")&lt;=5,32,IF(COUNTIF('Résultats des tournois'!$B9:'Résultats des tournois'!T9,"&lt;&gt;")&lt;=15,24,16))</f>
        <v>32</v>
      </c>
      <c r="U9" s="15">
        <f>IF(COUNTIF('Résultats des tournois'!$B9:'Résultats des tournois'!U9,"&lt;&gt;")&lt;=5,32,IF(COUNTIF('Résultats des tournois'!$B9:'Résultats des tournois'!U9,"&lt;&gt;")&lt;=15,24,16))</f>
        <v>32</v>
      </c>
      <c r="V9" s="15">
        <f>IF(COUNTIF('Résultats des tournois'!$B9:'Résultats des tournois'!V9,"&lt;&gt;")&lt;=5,32,IF(COUNTIF('Résultats des tournois'!$B9:'Résultats des tournois'!V9,"&lt;&gt;")&lt;=15,24,16))</f>
        <v>32</v>
      </c>
      <c r="W9" s="15">
        <f>IF(COUNTIF('Résultats des tournois'!$B9:'Résultats des tournois'!W9,"&lt;&gt;")&lt;=5,32,IF(COUNTIF('Résultats des tournois'!$B9:'Résultats des tournois'!W9,"&lt;&gt;")&lt;=15,24,16))</f>
        <v>32</v>
      </c>
      <c r="X9" s="15">
        <f>IF(COUNTIF('Résultats des tournois'!$B9:'Résultats des tournois'!X9,"&lt;&gt;")&lt;=5,32,IF(COUNTIF('Résultats des tournois'!$B9:'Résultats des tournois'!X9,"&lt;&gt;")&lt;=15,24,16))</f>
        <v>32</v>
      </c>
      <c r="Y9" s="15">
        <f>IF(COUNTIF('Résultats des tournois'!$B9:'Résultats des tournois'!Y9,"&lt;&gt;")&lt;=5,32,IF(COUNTIF('Résultats des tournois'!$B9:'Résultats des tournois'!Y9,"&lt;&gt;")&lt;=15,24,16))</f>
        <v>32</v>
      </c>
      <c r="Z9" s="15">
        <f>IF(COUNTIF('Résultats des tournois'!$B9:'Résultats des tournois'!Z9,"&lt;&gt;")&lt;=5,32,IF(COUNTIF('Résultats des tournois'!$B9:'Résultats des tournois'!Z9,"&lt;&gt;")&lt;=15,24,16))</f>
        <v>32</v>
      </c>
      <c r="AA9" s="15">
        <f>IF(COUNTIF('Résultats des tournois'!$B9:'Résultats des tournois'!AA9,"&lt;&gt;")&lt;=5,32,IF(COUNTIF('Résultats des tournois'!$B9:'Résultats des tournois'!AA9,"&lt;&gt;")&lt;=15,24,16))</f>
        <v>32</v>
      </c>
      <c r="AB9" s="15">
        <f>IF(COUNTIF('Résultats des tournois'!$B9:'Résultats des tournois'!AB9,"&lt;&gt;")&lt;=5,32,IF(COUNTIF('Résultats des tournois'!$B9:'Résultats des tournois'!AB9,"&lt;&gt;")&lt;=15,24,16))</f>
        <v>32</v>
      </c>
      <c r="AC9" s="15">
        <f>IF(COUNTIF('Résultats des tournois'!$B9:'Résultats des tournois'!AC9,"&lt;&gt;")&lt;=5,32,IF(COUNTIF('Résultats des tournois'!$B9:'Résultats des tournois'!AC9,"&lt;&gt;")&lt;=15,24,16))</f>
        <v>32</v>
      </c>
      <c r="AD9" s="15">
        <f>IF(COUNTIF('Résultats des tournois'!$B9:'Résultats des tournois'!AD9,"&lt;&gt;")&lt;=5,32,IF(COUNTIF('Résultats des tournois'!$B9:'Résultats des tournois'!AD9,"&lt;&gt;")&lt;=15,24,16))</f>
        <v>32</v>
      </c>
      <c r="AE9" s="15">
        <f>IF(COUNTIF('Résultats des tournois'!$B9:'Résultats des tournois'!AE9,"&lt;&gt;")&lt;=5,32,IF(COUNTIF('Résultats des tournois'!$B9:'Résultats des tournois'!AE9,"&lt;&gt;")&lt;=15,24,16))</f>
        <v>32</v>
      </c>
      <c r="AF9" s="15">
        <f>IF(COUNTIF('Résultats des tournois'!$B9:'Résultats des tournois'!AF9,"&lt;&gt;")&lt;=5,32,IF(COUNTIF('Résultats des tournois'!$B9:'Résultats des tournois'!AF9,"&lt;&gt;")&lt;=15,24,16))</f>
        <v>32</v>
      </c>
      <c r="AG9" s="15">
        <f>IF(COUNTIF('Résultats des tournois'!$B9:'Résultats des tournois'!AG9,"&lt;&gt;")&lt;=5,32,IF(COUNTIF('Résultats des tournois'!$B9:'Résultats des tournois'!AG9,"&lt;&gt;")&lt;=15,24,16))</f>
        <v>32</v>
      </c>
      <c r="AH9" s="15">
        <f>IF(COUNTIF('Résultats des tournois'!$B9:'Résultats des tournois'!AH9,"&lt;&gt;")&lt;=5,32,IF(COUNTIF('Résultats des tournois'!$B9:'Résultats des tournois'!AH9,"&lt;&gt;")&lt;=15,24,16))</f>
        <v>32</v>
      </c>
      <c r="AI9" s="15">
        <f>IF(COUNTIF('Résultats des tournois'!$B9:'Résultats des tournois'!AI9,"&lt;&gt;")&lt;=5,32,IF(COUNTIF('Résultats des tournois'!$B9:'Résultats des tournois'!AI9,"&lt;&gt;")&lt;=15,24,16))</f>
        <v>32</v>
      </c>
      <c r="AJ9" s="15">
        <f>IF(COUNTIF('Résultats des tournois'!$B9:'Résultats des tournois'!AJ9,"&lt;&gt;")&lt;=5,32,IF(COUNTIF('Résultats des tournois'!$B9:'Résultats des tournois'!AJ9,"&lt;&gt;")&lt;=15,24,16))</f>
        <v>32</v>
      </c>
      <c r="AK9" s="15">
        <f>IF(COUNTIF('Résultats des tournois'!$B9:'Résultats des tournois'!AK9,"&lt;&gt;")&lt;=5,32,IF(COUNTIF('Résultats des tournois'!$B9:'Résultats des tournois'!AK9,"&lt;&gt;")&lt;=15,24,16))</f>
        <v>32</v>
      </c>
      <c r="AL9" s="15">
        <f>IF(COUNTIF('Résultats des tournois'!$B9:'Résultats des tournois'!AL9,"&lt;&gt;")&lt;=5,32,IF(COUNTIF('Résultats des tournois'!$B9:'Résultats des tournois'!AL9,"&lt;&gt;")&lt;=15,24,16))</f>
        <v>32</v>
      </c>
      <c r="AM9" s="15">
        <f>IF(COUNTIF('Résultats des tournois'!$B9:'Résultats des tournois'!AM9,"&lt;&gt;")&lt;=5,32,IF(COUNTIF('Résultats des tournois'!$B9:'Résultats des tournois'!AM9,"&lt;&gt;")&lt;=15,24,16))</f>
        <v>32</v>
      </c>
      <c r="AN9" s="15">
        <f>IF(COUNTIF('Résultats des tournois'!$B9:'Résultats des tournois'!AN9,"&lt;&gt;")&lt;=5,32,IF(COUNTIF('Résultats des tournois'!$B9:'Résultats des tournois'!AN9,"&lt;&gt;")&lt;=15,24,16))</f>
        <v>32</v>
      </c>
      <c r="AO9" s="15">
        <f>IF(COUNTIF('Résultats des tournois'!$B9:'Résultats des tournois'!AO9,"&lt;&gt;")&lt;=5,32,IF(COUNTIF('Résultats des tournois'!$B9:'Résultats des tournois'!AO9,"&lt;&gt;")&lt;=15,24,16))</f>
        <v>32</v>
      </c>
      <c r="AP9" s="15">
        <f>IF(COUNTIF('Résultats des tournois'!$B9:'Résultats des tournois'!AP9,"&lt;&gt;")&lt;=5,32,IF(COUNTIF('Résultats des tournois'!$B9:'Résultats des tournois'!AP9,"&lt;&gt;")&lt;=15,24,16))</f>
        <v>32</v>
      </c>
      <c r="AQ9" s="15">
        <f>IF(COUNTIF('Résultats des tournois'!$B9:'Résultats des tournois'!AQ9,"&lt;&gt;")&lt;=5,32,IF(COUNTIF('Résultats des tournois'!$B9:'Résultats des tournois'!AQ9,"&lt;&gt;")&lt;=15,24,16))</f>
        <v>32</v>
      </c>
      <c r="AR9" s="15">
        <f>IF(COUNTIF('Résultats des tournois'!$B9:'Résultats des tournois'!AR9,"&lt;&gt;")&lt;=5,32,IF(COUNTIF('Résultats des tournois'!$B9:'Résultats des tournois'!AR9,"&lt;&gt;")&lt;=15,24,16))</f>
        <v>32</v>
      </c>
      <c r="AS9" s="15">
        <f>IF(COUNTIF('Résultats des tournois'!$B9:'Résultats des tournois'!AS9,"&lt;&gt;")&lt;=5,32,IF(COUNTIF('Résultats des tournois'!$B9:'Résultats des tournois'!AS9,"&lt;&gt;")&lt;=15,24,16))</f>
        <v>32</v>
      </c>
      <c r="AT9" s="15">
        <f>IF(COUNTIF('Résultats des tournois'!$B9:'Résultats des tournois'!AT9,"&lt;&gt;")&lt;=5,32,IF(COUNTIF('Résultats des tournois'!$B9:'Résultats des tournois'!AT9,"&lt;&gt;")&lt;=15,24,16))</f>
        <v>32</v>
      </c>
      <c r="AU9" s="15">
        <f>IF(COUNTIF('Résultats des tournois'!$B9:'Résultats des tournois'!AU9,"&lt;&gt;")&lt;=5,32,IF(COUNTIF('Résultats des tournois'!$B9:'Résultats des tournois'!AU9,"&lt;&gt;")&lt;=15,24,16))</f>
        <v>32</v>
      </c>
      <c r="AV9" s="15">
        <f>IF(COUNTIF('Résultats des tournois'!$B9:'Résultats des tournois'!AV9,"&lt;&gt;")&lt;=5,32,IF(COUNTIF('Résultats des tournois'!$B9:'Résultats des tournois'!AV9,"&lt;&gt;")&lt;=15,24,16))</f>
        <v>32</v>
      </c>
      <c r="AW9" s="15">
        <f>IF(COUNTIF('Résultats des tournois'!$B9:'Résultats des tournois'!AW9,"&lt;&gt;")&lt;=5,32,IF(COUNTIF('Résultats des tournois'!$B9:'Résultats des tournois'!AW9,"&lt;&gt;")&lt;=15,24,16))</f>
        <v>32</v>
      </c>
      <c r="AX9" s="15">
        <f>IF(COUNTIF('Résultats des tournois'!$B9:'Résultats des tournois'!AX9,"&lt;&gt;")&lt;=5,32,IF(COUNTIF('Résultats des tournois'!$B9:'Résultats des tournois'!AX9,"&lt;&gt;")&lt;=15,24,16))</f>
        <v>32</v>
      </c>
    </row>
    <row r="10" ht="14.25" customHeight="1">
      <c r="A10" s="15" t="str">
        <f>IF('Résultats des tournois'!A10="","",'Résultats des tournois'!A10)</f>
        <v>Loucas</v>
      </c>
      <c r="B10" s="15">
        <f>IF(COUNTIF('Résultats des tournois'!B10,"&lt;&gt;")&lt;=5,32,IF(COUNTIF('Résultats des tournois'!B10,"&lt;&gt;")&lt;=15,24,16))</f>
        <v>32</v>
      </c>
      <c r="C10" s="15">
        <f>IF(COUNTIF('Résultats des tournois'!$B10:'Résultats des tournois'!C10,"&lt;&gt;")&lt;=5,32,IF(COUNTIF('Résultats des tournois'!$B10:'Résultats des tournois'!C10,"&lt;&gt;")&lt;=15,24,16))</f>
        <v>32</v>
      </c>
      <c r="D10" s="15">
        <f>IF(COUNTIF('Résultats des tournois'!$B10:'Résultats des tournois'!D10,"&lt;&gt;")&lt;=5,32,IF(COUNTIF('Résultats des tournois'!$B10:'Résultats des tournois'!D10,"&lt;&gt;")&lt;=15,24,16))</f>
        <v>32</v>
      </c>
      <c r="E10" s="15">
        <f>IF(COUNTIF('Résultats des tournois'!$B10:'Résultats des tournois'!E10,"&lt;&gt;")&lt;=5,32,IF(COUNTIF('Résultats des tournois'!$B10:'Résultats des tournois'!E10,"&lt;&gt;")&lt;=15,24,16))</f>
        <v>32</v>
      </c>
      <c r="F10" s="15">
        <f>IF(COUNTIF('Résultats des tournois'!$B10:'Résultats des tournois'!F10,"&lt;&gt;")&lt;=5,32,IF(COUNTIF('Résultats des tournois'!$B10:'Résultats des tournois'!F10,"&lt;&gt;")&lt;=15,24,16))</f>
        <v>32</v>
      </c>
      <c r="G10" s="15">
        <f>IF(COUNTIF('Résultats des tournois'!$B10:'Résultats des tournois'!G10,"&lt;&gt;")&lt;=5,32,IF(COUNTIF('Résultats des tournois'!$B10:'Résultats des tournois'!G10,"&lt;&gt;")&lt;=15,24,16))</f>
        <v>32</v>
      </c>
      <c r="H10" s="15">
        <f>IF(COUNTIF('Résultats des tournois'!$B10:'Résultats des tournois'!H10,"&lt;&gt;")&lt;=5,32,IF(COUNTIF('Résultats des tournois'!$B10:'Résultats des tournois'!H10,"&lt;&gt;")&lt;=15,24,16))</f>
        <v>32</v>
      </c>
      <c r="I10" s="15">
        <f>IF(COUNTIF('Résultats des tournois'!$B10:'Résultats des tournois'!I10,"&lt;&gt;")&lt;=5,32,IF(COUNTIF('Résultats des tournois'!$B10:'Résultats des tournois'!I10,"&lt;&gt;")&lt;=15,24,16))</f>
        <v>24</v>
      </c>
      <c r="J10" s="15">
        <f>IF(COUNTIF('Résultats des tournois'!$B10:'Résultats des tournois'!J10,"&lt;&gt;")&lt;=5,32,IF(COUNTIF('Résultats des tournois'!$B10:'Résultats des tournois'!J10,"&lt;&gt;")&lt;=15,24,16))</f>
        <v>24</v>
      </c>
      <c r="K10" s="15">
        <f>IF(COUNTIF('Résultats des tournois'!$B10:'Résultats des tournois'!K10,"&lt;&gt;")&lt;=5,32,IF(COUNTIF('Résultats des tournois'!$B10:'Résultats des tournois'!K10,"&lt;&gt;")&lt;=15,24,16))</f>
        <v>24</v>
      </c>
      <c r="L10" s="15">
        <f>IF(COUNTIF('Résultats des tournois'!$B10:'Résultats des tournois'!L10,"&lt;&gt;")&lt;=5,32,IF(COUNTIF('Résultats des tournois'!$B10:'Résultats des tournois'!L10,"&lt;&gt;")&lt;=15,24,16))</f>
        <v>24</v>
      </c>
      <c r="M10" s="15">
        <f>IF(COUNTIF('Résultats des tournois'!$B10:'Résultats des tournois'!M10,"&lt;&gt;")&lt;=5,32,IF(COUNTIF('Résultats des tournois'!$B10:'Résultats des tournois'!M10,"&lt;&gt;")&lt;=15,24,16))</f>
        <v>24</v>
      </c>
      <c r="N10" s="15">
        <f>IF(COUNTIF('Résultats des tournois'!$B10:'Résultats des tournois'!N10,"&lt;&gt;")&lt;=5,32,IF(COUNTIF('Résultats des tournois'!$B10:'Résultats des tournois'!N10,"&lt;&gt;")&lt;=15,24,16))</f>
        <v>24</v>
      </c>
      <c r="O10" s="15">
        <f>IF(COUNTIF('Résultats des tournois'!$B10:'Résultats des tournois'!O10,"&lt;&gt;")&lt;=5,32,IF(COUNTIF('Résultats des tournois'!$B10:'Résultats des tournois'!O10,"&lt;&gt;")&lt;=15,24,16))</f>
        <v>24</v>
      </c>
      <c r="P10" s="15">
        <f>IF(COUNTIF('Résultats des tournois'!$B10:'Résultats des tournois'!P10,"&lt;&gt;")&lt;=5,32,IF(COUNTIF('Résultats des tournois'!$B10:'Résultats des tournois'!P10,"&lt;&gt;")&lt;=15,24,16))</f>
        <v>24</v>
      </c>
      <c r="Q10" s="15">
        <f>IF(COUNTIF('Résultats des tournois'!$B10:'Résultats des tournois'!Q10,"&lt;&gt;")&lt;=5,32,IF(COUNTIF('Résultats des tournois'!$B10:'Résultats des tournois'!Q10,"&lt;&gt;")&lt;=15,24,16))</f>
        <v>24</v>
      </c>
      <c r="R10" s="15">
        <f>IF(COUNTIF('Résultats des tournois'!$B10:'Résultats des tournois'!R10,"&lt;&gt;")&lt;=5,32,IF(COUNTIF('Résultats des tournois'!$B10:'Résultats des tournois'!R10,"&lt;&gt;")&lt;=15,24,16))</f>
        <v>24</v>
      </c>
      <c r="S10" s="15">
        <f>IF(COUNTIF('Résultats des tournois'!$B10:'Résultats des tournois'!S10,"&lt;&gt;")&lt;=5,32,IF(COUNTIF('Résultats des tournois'!$B10:'Résultats des tournois'!S10,"&lt;&gt;")&lt;=15,24,16))</f>
        <v>24</v>
      </c>
      <c r="T10" s="15">
        <f>IF(COUNTIF('Résultats des tournois'!$B10:'Résultats des tournois'!T10,"&lt;&gt;")&lt;=5,32,IF(COUNTIF('Résultats des tournois'!$B10:'Résultats des tournois'!T10,"&lt;&gt;")&lt;=15,24,16))</f>
        <v>24</v>
      </c>
      <c r="U10" s="15">
        <f>IF(COUNTIF('Résultats des tournois'!$B10:'Résultats des tournois'!U10,"&lt;&gt;")&lt;=5,32,IF(COUNTIF('Résultats des tournois'!$B10:'Résultats des tournois'!U10,"&lt;&gt;")&lt;=15,24,16))</f>
        <v>24</v>
      </c>
      <c r="V10" s="15">
        <f>IF(COUNTIF('Résultats des tournois'!$B10:'Résultats des tournois'!V10,"&lt;&gt;")&lt;=5,32,IF(COUNTIF('Résultats des tournois'!$B10:'Résultats des tournois'!V10,"&lt;&gt;")&lt;=15,24,16))</f>
        <v>24</v>
      </c>
      <c r="W10" s="15">
        <f>IF(COUNTIF('Résultats des tournois'!$B10:'Résultats des tournois'!W10,"&lt;&gt;")&lt;=5,32,IF(COUNTIF('Résultats des tournois'!$B10:'Résultats des tournois'!W10,"&lt;&gt;")&lt;=15,24,16))</f>
        <v>24</v>
      </c>
      <c r="X10" s="15">
        <f>IF(COUNTIF('Résultats des tournois'!$B10:'Résultats des tournois'!X10,"&lt;&gt;")&lt;=5,32,IF(COUNTIF('Résultats des tournois'!$B10:'Résultats des tournois'!X10,"&lt;&gt;")&lt;=15,24,16))</f>
        <v>24</v>
      </c>
      <c r="Y10" s="15">
        <f>IF(COUNTIF('Résultats des tournois'!$B10:'Résultats des tournois'!Y10,"&lt;&gt;")&lt;=5,32,IF(COUNTIF('Résultats des tournois'!$B10:'Résultats des tournois'!Y10,"&lt;&gt;")&lt;=15,24,16))</f>
        <v>24</v>
      </c>
      <c r="Z10" s="15">
        <f>IF(COUNTIF('Résultats des tournois'!$B10:'Résultats des tournois'!Z10,"&lt;&gt;")&lt;=5,32,IF(COUNTIF('Résultats des tournois'!$B10:'Résultats des tournois'!Z10,"&lt;&gt;")&lt;=15,24,16))</f>
        <v>24</v>
      </c>
      <c r="AA10" s="15">
        <f>IF(COUNTIF('Résultats des tournois'!$B10:'Résultats des tournois'!AA10,"&lt;&gt;")&lt;=5,32,IF(COUNTIF('Résultats des tournois'!$B10:'Résultats des tournois'!AA10,"&lt;&gt;")&lt;=15,24,16))</f>
        <v>24</v>
      </c>
      <c r="AB10" s="15">
        <f>IF(COUNTIF('Résultats des tournois'!$B10:'Résultats des tournois'!AB10,"&lt;&gt;")&lt;=5,32,IF(COUNTIF('Résultats des tournois'!$B10:'Résultats des tournois'!AB10,"&lt;&gt;")&lt;=15,24,16))</f>
        <v>24</v>
      </c>
      <c r="AC10" s="15">
        <f>IF(COUNTIF('Résultats des tournois'!$B10:'Résultats des tournois'!AC10,"&lt;&gt;")&lt;=5,32,IF(COUNTIF('Résultats des tournois'!$B10:'Résultats des tournois'!AC10,"&lt;&gt;")&lt;=15,24,16))</f>
        <v>24</v>
      </c>
      <c r="AD10" s="15">
        <f>IF(COUNTIF('Résultats des tournois'!$B10:'Résultats des tournois'!AD10,"&lt;&gt;")&lt;=5,32,IF(COUNTIF('Résultats des tournois'!$B10:'Résultats des tournois'!AD10,"&lt;&gt;")&lt;=15,24,16))</f>
        <v>24</v>
      </c>
      <c r="AE10" s="15">
        <f>IF(COUNTIF('Résultats des tournois'!$B10:'Résultats des tournois'!AE10,"&lt;&gt;")&lt;=5,32,IF(COUNTIF('Résultats des tournois'!$B10:'Résultats des tournois'!AE10,"&lt;&gt;")&lt;=15,24,16))</f>
        <v>24</v>
      </c>
      <c r="AF10" s="15">
        <f>IF(COUNTIF('Résultats des tournois'!$B10:'Résultats des tournois'!AF10,"&lt;&gt;")&lt;=5,32,IF(COUNTIF('Résultats des tournois'!$B10:'Résultats des tournois'!AF10,"&lt;&gt;")&lt;=15,24,16))</f>
        <v>24</v>
      </c>
      <c r="AG10" s="15">
        <f>IF(COUNTIF('Résultats des tournois'!$B10:'Résultats des tournois'!AG10,"&lt;&gt;")&lt;=5,32,IF(COUNTIF('Résultats des tournois'!$B10:'Résultats des tournois'!AG10,"&lt;&gt;")&lt;=15,24,16))</f>
        <v>24</v>
      </c>
      <c r="AH10" s="15">
        <f>IF(COUNTIF('Résultats des tournois'!$B10:'Résultats des tournois'!AH10,"&lt;&gt;")&lt;=5,32,IF(COUNTIF('Résultats des tournois'!$B10:'Résultats des tournois'!AH10,"&lt;&gt;")&lt;=15,24,16))</f>
        <v>24</v>
      </c>
      <c r="AI10" s="15">
        <f>IF(COUNTIF('Résultats des tournois'!$B10:'Résultats des tournois'!AI10,"&lt;&gt;")&lt;=5,32,IF(COUNTIF('Résultats des tournois'!$B10:'Résultats des tournois'!AI10,"&lt;&gt;")&lt;=15,24,16))</f>
        <v>24</v>
      </c>
      <c r="AJ10" s="15">
        <f>IF(COUNTIF('Résultats des tournois'!$B10:'Résultats des tournois'!AJ10,"&lt;&gt;")&lt;=5,32,IF(COUNTIF('Résultats des tournois'!$B10:'Résultats des tournois'!AJ10,"&lt;&gt;")&lt;=15,24,16))</f>
        <v>24</v>
      </c>
      <c r="AK10" s="15">
        <f>IF(COUNTIF('Résultats des tournois'!$B10:'Résultats des tournois'!AK10,"&lt;&gt;")&lt;=5,32,IF(COUNTIF('Résultats des tournois'!$B10:'Résultats des tournois'!AK10,"&lt;&gt;")&lt;=15,24,16))</f>
        <v>24</v>
      </c>
      <c r="AL10" s="15">
        <f>IF(COUNTIF('Résultats des tournois'!$B10:'Résultats des tournois'!AL10,"&lt;&gt;")&lt;=5,32,IF(COUNTIF('Résultats des tournois'!$B10:'Résultats des tournois'!AL10,"&lt;&gt;")&lt;=15,24,16))</f>
        <v>24</v>
      </c>
      <c r="AM10" s="15">
        <f>IF(COUNTIF('Résultats des tournois'!$B10:'Résultats des tournois'!AM10,"&lt;&gt;")&lt;=5,32,IF(COUNTIF('Résultats des tournois'!$B10:'Résultats des tournois'!AM10,"&lt;&gt;")&lt;=15,24,16))</f>
        <v>24</v>
      </c>
      <c r="AN10" s="15">
        <f>IF(COUNTIF('Résultats des tournois'!$B10:'Résultats des tournois'!AN10,"&lt;&gt;")&lt;=5,32,IF(COUNTIF('Résultats des tournois'!$B10:'Résultats des tournois'!AN10,"&lt;&gt;")&lt;=15,24,16))</f>
        <v>24</v>
      </c>
      <c r="AO10" s="15">
        <f>IF(COUNTIF('Résultats des tournois'!$B10:'Résultats des tournois'!AO10,"&lt;&gt;")&lt;=5,32,IF(COUNTIF('Résultats des tournois'!$B10:'Résultats des tournois'!AO10,"&lt;&gt;")&lt;=15,24,16))</f>
        <v>24</v>
      </c>
      <c r="AP10" s="15">
        <f>IF(COUNTIF('Résultats des tournois'!$B10:'Résultats des tournois'!AP10,"&lt;&gt;")&lt;=5,32,IF(COUNTIF('Résultats des tournois'!$B10:'Résultats des tournois'!AP10,"&lt;&gt;")&lt;=15,24,16))</f>
        <v>24</v>
      </c>
      <c r="AQ10" s="15">
        <f>IF(COUNTIF('Résultats des tournois'!$B10:'Résultats des tournois'!AQ10,"&lt;&gt;")&lt;=5,32,IF(COUNTIF('Résultats des tournois'!$B10:'Résultats des tournois'!AQ10,"&lt;&gt;")&lt;=15,24,16))</f>
        <v>24</v>
      </c>
      <c r="AR10" s="15">
        <f>IF(COUNTIF('Résultats des tournois'!$B10:'Résultats des tournois'!AR10,"&lt;&gt;")&lt;=5,32,IF(COUNTIF('Résultats des tournois'!$B10:'Résultats des tournois'!AR10,"&lt;&gt;")&lt;=15,24,16))</f>
        <v>24</v>
      </c>
      <c r="AS10" s="15">
        <f>IF(COUNTIF('Résultats des tournois'!$B10:'Résultats des tournois'!AS10,"&lt;&gt;")&lt;=5,32,IF(COUNTIF('Résultats des tournois'!$B10:'Résultats des tournois'!AS10,"&lt;&gt;")&lt;=15,24,16))</f>
        <v>24</v>
      </c>
      <c r="AT10" s="15">
        <f>IF(COUNTIF('Résultats des tournois'!$B10:'Résultats des tournois'!AT10,"&lt;&gt;")&lt;=5,32,IF(COUNTIF('Résultats des tournois'!$B10:'Résultats des tournois'!AT10,"&lt;&gt;")&lt;=15,24,16))</f>
        <v>24</v>
      </c>
      <c r="AU10" s="15">
        <f>IF(COUNTIF('Résultats des tournois'!$B10:'Résultats des tournois'!AU10,"&lt;&gt;")&lt;=5,32,IF(COUNTIF('Résultats des tournois'!$B10:'Résultats des tournois'!AU10,"&lt;&gt;")&lt;=15,24,16))</f>
        <v>24</v>
      </c>
      <c r="AV10" s="15">
        <f>IF(COUNTIF('Résultats des tournois'!$B10:'Résultats des tournois'!AV10,"&lt;&gt;")&lt;=5,32,IF(COUNTIF('Résultats des tournois'!$B10:'Résultats des tournois'!AV10,"&lt;&gt;")&lt;=15,24,16))</f>
        <v>24</v>
      </c>
      <c r="AW10" s="15">
        <f>IF(COUNTIF('Résultats des tournois'!$B10:'Résultats des tournois'!AW10,"&lt;&gt;")&lt;=5,32,IF(COUNTIF('Résultats des tournois'!$B10:'Résultats des tournois'!AW10,"&lt;&gt;")&lt;=15,24,16))</f>
        <v>24</v>
      </c>
      <c r="AX10" s="15">
        <f>IF(COUNTIF('Résultats des tournois'!$B10:'Résultats des tournois'!AX10,"&lt;&gt;")&lt;=5,32,IF(COUNTIF('Résultats des tournois'!$B10:'Résultats des tournois'!AX10,"&lt;&gt;")&lt;=15,24,16))</f>
        <v>24</v>
      </c>
    </row>
    <row r="11" ht="14.25" customHeight="1">
      <c r="A11" s="15" t="str">
        <f>IF('Résultats des tournois'!A11="","",'Résultats des tournois'!A11)</f>
        <v>Mat</v>
      </c>
      <c r="B11" s="15">
        <f>IF(COUNTIF('Résultats des tournois'!B11,"&lt;&gt;")&lt;=5,32,IF(COUNTIF('Résultats des tournois'!B11,"&lt;&gt;")&lt;=15,24,16))</f>
        <v>32</v>
      </c>
      <c r="C11" s="15">
        <f>IF(COUNTIF('Résultats des tournois'!$B11:'Résultats des tournois'!C11,"&lt;&gt;")&lt;=5,32,IF(COUNTIF('Résultats des tournois'!$B11:'Résultats des tournois'!C11,"&lt;&gt;")&lt;=15,24,16))</f>
        <v>32</v>
      </c>
      <c r="D11" s="15">
        <f>IF(COUNTIF('Résultats des tournois'!$B11:'Résultats des tournois'!D11,"&lt;&gt;")&lt;=5,32,IF(COUNTIF('Résultats des tournois'!$B11:'Résultats des tournois'!D11,"&lt;&gt;")&lt;=15,24,16))</f>
        <v>32</v>
      </c>
      <c r="E11" s="15">
        <f>IF(COUNTIF('Résultats des tournois'!$B11:'Résultats des tournois'!E11,"&lt;&gt;")&lt;=5,32,IF(COUNTIF('Résultats des tournois'!$B11:'Résultats des tournois'!E11,"&lt;&gt;")&lt;=15,24,16))</f>
        <v>32</v>
      </c>
      <c r="F11" s="15">
        <f>IF(COUNTIF('Résultats des tournois'!$B11:'Résultats des tournois'!F11,"&lt;&gt;")&lt;=5,32,IF(COUNTIF('Résultats des tournois'!$B11:'Résultats des tournois'!F11,"&lt;&gt;")&lt;=15,24,16))</f>
        <v>32</v>
      </c>
      <c r="G11" s="15">
        <f>IF(COUNTIF('Résultats des tournois'!$B11:'Résultats des tournois'!G11,"&lt;&gt;")&lt;=5,32,IF(COUNTIF('Résultats des tournois'!$B11:'Résultats des tournois'!G11,"&lt;&gt;")&lt;=15,24,16))</f>
        <v>32</v>
      </c>
      <c r="H11" s="15">
        <f>IF(COUNTIF('Résultats des tournois'!$B11:'Résultats des tournois'!H11,"&lt;&gt;")&lt;=5,32,IF(COUNTIF('Résultats des tournois'!$B11:'Résultats des tournois'!H11,"&lt;&gt;")&lt;=15,24,16))</f>
        <v>32</v>
      </c>
      <c r="I11" s="15">
        <f>IF(COUNTIF('Résultats des tournois'!$B11:'Résultats des tournois'!I11,"&lt;&gt;")&lt;=5,32,IF(COUNTIF('Résultats des tournois'!$B11:'Résultats des tournois'!I11,"&lt;&gt;")&lt;=15,24,16))</f>
        <v>32</v>
      </c>
      <c r="J11" s="15">
        <f>IF(COUNTIF('Résultats des tournois'!$B11:'Résultats des tournois'!J11,"&lt;&gt;")&lt;=5,32,IF(COUNTIF('Résultats des tournois'!$B11:'Résultats des tournois'!J11,"&lt;&gt;")&lt;=15,24,16))</f>
        <v>32</v>
      </c>
      <c r="K11" s="15">
        <f>IF(COUNTIF('Résultats des tournois'!$B11:'Résultats des tournois'!K11,"&lt;&gt;")&lt;=5,32,IF(COUNTIF('Résultats des tournois'!$B11:'Résultats des tournois'!K11,"&lt;&gt;")&lt;=15,24,16))</f>
        <v>32</v>
      </c>
      <c r="L11" s="15">
        <f>IF(COUNTIF('Résultats des tournois'!$B11:'Résultats des tournois'!L11,"&lt;&gt;")&lt;=5,32,IF(COUNTIF('Résultats des tournois'!$B11:'Résultats des tournois'!L11,"&lt;&gt;")&lt;=15,24,16))</f>
        <v>32</v>
      </c>
      <c r="M11" s="15">
        <f>IF(COUNTIF('Résultats des tournois'!$B11:'Résultats des tournois'!M11,"&lt;&gt;")&lt;=5,32,IF(COUNTIF('Résultats des tournois'!$B11:'Résultats des tournois'!M11,"&lt;&gt;")&lt;=15,24,16))</f>
        <v>32</v>
      </c>
      <c r="N11" s="15">
        <f>IF(COUNTIF('Résultats des tournois'!$B11:'Résultats des tournois'!N11,"&lt;&gt;")&lt;=5,32,IF(COUNTIF('Résultats des tournois'!$B11:'Résultats des tournois'!N11,"&lt;&gt;")&lt;=15,24,16))</f>
        <v>32</v>
      </c>
      <c r="O11" s="15">
        <f>IF(COUNTIF('Résultats des tournois'!$B11:'Résultats des tournois'!O11,"&lt;&gt;")&lt;=5,32,IF(COUNTIF('Résultats des tournois'!$B11:'Résultats des tournois'!O11,"&lt;&gt;")&lt;=15,24,16))</f>
        <v>32</v>
      </c>
      <c r="P11" s="15">
        <f>IF(COUNTIF('Résultats des tournois'!$B11:'Résultats des tournois'!P11,"&lt;&gt;")&lt;=5,32,IF(COUNTIF('Résultats des tournois'!$B11:'Résultats des tournois'!P11,"&lt;&gt;")&lt;=15,24,16))</f>
        <v>32</v>
      </c>
      <c r="Q11" s="15">
        <f>IF(COUNTIF('Résultats des tournois'!$B11:'Résultats des tournois'!Q11,"&lt;&gt;")&lt;=5,32,IF(COUNTIF('Résultats des tournois'!$B11:'Résultats des tournois'!Q11,"&lt;&gt;")&lt;=15,24,16))</f>
        <v>32</v>
      </c>
      <c r="R11" s="15">
        <f>IF(COUNTIF('Résultats des tournois'!$B11:'Résultats des tournois'!R11,"&lt;&gt;")&lt;=5,32,IF(COUNTIF('Résultats des tournois'!$B11:'Résultats des tournois'!R11,"&lt;&gt;")&lt;=15,24,16))</f>
        <v>32</v>
      </c>
      <c r="S11" s="15">
        <f>IF(COUNTIF('Résultats des tournois'!$B11:'Résultats des tournois'!S11,"&lt;&gt;")&lt;=5,32,IF(COUNTIF('Résultats des tournois'!$B11:'Résultats des tournois'!S11,"&lt;&gt;")&lt;=15,24,16))</f>
        <v>32</v>
      </c>
      <c r="T11" s="15">
        <f>IF(COUNTIF('Résultats des tournois'!$B11:'Résultats des tournois'!T11,"&lt;&gt;")&lt;=5,32,IF(COUNTIF('Résultats des tournois'!$B11:'Résultats des tournois'!T11,"&lt;&gt;")&lt;=15,24,16))</f>
        <v>32</v>
      </c>
      <c r="U11" s="15">
        <f>IF(COUNTIF('Résultats des tournois'!$B11:'Résultats des tournois'!U11,"&lt;&gt;")&lt;=5,32,IF(COUNTIF('Résultats des tournois'!$B11:'Résultats des tournois'!U11,"&lt;&gt;")&lt;=15,24,16))</f>
        <v>32</v>
      </c>
      <c r="V11" s="15">
        <f>IF(COUNTIF('Résultats des tournois'!$B11:'Résultats des tournois'!V11,"&lt;&gt;")&lt;=5,32,IF(COUNTIF('Résultats des tournois'!$B11:'Résultats des tournois'!V11,"&lt;&gt;")&lt;=15,24,16))</f>
        <v>32</v>
      </c>
      <c r="W11" s="15">
        <f>IF(COUNTIF('Résultats des tournois'!$B11:'Résultats des tournois'!W11,"&lt;&gt;")&lt;=5,32,IF(COUNTIF('Résultats des tournois'!$B11:'Résultats des tournois'!W11,"&lt;&gt;")&lt;=15,24,16))</f>
        <v>32</v>
      </c>
      <c r="X11" s="15">
        <f>IF(COUNTIF('Résultats des tournois'!$B11:'Résultats des tournois'!X11,"&lt;&gt;")&lt;=5,32,IF(COUNTIF('Résultats des tournois'!$B11:'Résultats des tournois'!X11,"&lt;&gt;")&lt;=15,24,16))</f>
        <v>32</v>
      </c>
      <c r="Y11" s="15">
        <f>IF(COUNTIF('Résultats des tournois'!$B11:'Résultats des tournois'!Y11,"&lt;&gt;")&lt;=5,32,IF(COUNTIF('Résultats des tournois'!$B11:'Résultats des tournois'!Y11,"&lt;&gt;")&lt;=15,24,16))</f>
        <v>32</v>
      </c>
      <c r="Z11" s="15">
        <f>IF(COUNTIF('Résultats des tournois'!$B11:'Résultats des tournois'!Z11,"&lt;&gt;")&lt;=5,32,IF(COUNTIF('Résultats des tournois'!$B11:'Résultats des tournois'!Z11,"&lt;&gt;")&lt;=15,24,16))</f>
        <v>32</v>
      </c>
      <c r="AA11" s="15">
        <f>IF(COUNTIF('Résultats des tournois'!$B11:'Résultats des tournois'!AA11,"&lt;&gt;")&lt;=5,32,IF(COUNTIF('Résultats des tournois'!$B11:'Résultats des tournois'!AA11,"&lt;&gt;")&lt;=15,24,16))</f>
        <v>32</v>
      </c>
      <c r="AB11" s="15">
        <f>IF(COUNTIF('Résultats des tournois'!$B11:'Résultats des tournois'!AB11,"&lt;&gt;")&lt;=5,32,IF(COUNTIF('Résultats des tournois'!$B11:'Résultats des tournois'!AB11,"&lt;&gt;")&lt;=15,24,16))</f>
        <v>32</v>
      </c>
      <c r="AC11" s="15">
        <f>IF(COUNTIF('Résultats des tournois'!$B11:'Résultats des tournois'!AC11,"&lt;&gt;")&lt;=5,32,IF(COUNTIF('Résultats des tournois'!$B11:'Résultats des tournois'!AC11,"&lt;&gt;")&lt;=15,24,16))</f>
        <v>32</v>
      </c>
      <c r="AD11" s="15">
        <f>IF(COUNTIF('Résultats des tournois'!$B11:'Résultats des tournois'!AD11,"&lt;&gt;")&lt;=5,32,IF(COUNTIF('Résultats des tournois'!$B11:'Résultats des tournois'!AD11,"&lt;&gt;")&lt;=15,24,16))</f>
        <v>32</v>
      </c>
      <c r="AE11" s="15">
        <f>IF(COUNTIF('Résultats des tournois'!$B11:'Résultats des tournois'!AE11,"&lt;&gt;")&lt;=5,32,IF(COUNTIF('Résultats des tournois'!$B11:'Résultats des tournois'!AE11,"&lt;&gt;")&lt;=15,24,16))</f>
        <v>32</v>
      </c>
      <c r="AF11" s="15">
        <f>IF(COUNTIF('Résultats des tournois'!$B11:'Résultats des tournois'!AF11,"&lt;&gt;")&lt;=5,32,IF(COUNTIF('Résultats des tournois'!$B11:'Résultats des tournois'!AF11,"&lt;&gt;")&lt;=15,24,16))</f>
        <v>32</v>
      </c>
      <c r="AG11" s="15">
        <f>IF(COUNTIF('Résultats des tournois'!$B11:'Résultats des tournois'!AG11,"&lt;&gt;")&lt;=5,32,IF(COUNTIF('Résultats des tournois'!$B11:'Résultats des tournois'!AG11,"&lt;&gt;")&lt;=15,24,16))</f>
        <v>32</v>
      </c>
      <c r="AH11" s="15">
        <f>IF(COUNTIF('Résultats des tournois'!$B11:'Résultats des tournois'!AH11,"&lt;&gt;")&lt;=5,32,IF(COUNTIF('Résultats des tournois'!$B11:'Résultats des tournois'!AH11,"&lt;&gt;")&lt;=15,24,16))</f>
        <v>32</v>
      </c>
      <c r="AI11" s="15">
        <f>IF(COUNTIF('Résultats des tournois'!$B11:'Résultats des tournois'!AI11,"&lt;&gt;")&lt;=5,32,IF(COUNTIF('Résultats des tournois'!$B11:'Résultats des tournois'!AI11,"&lt;&gt;")&lt;=15,24,16))</f>
        <v>32</v>
      </c>
      <c r="AJ11" s="15">
        <f>IF(COUNTIF('Résultats des tournois'!$B11:'Résultats des tournois'!AJ11,"&lt;&gt;")&lt;=5,32,IF(COUNTIF('Résultats des tournois'!$B11:'Résultats des tournois'!AJ11,"&lt;&gt;")&lt;=15,24,16))</f>
        <v>32</v>
      </c>
      <c r="AK11" s="15">
        <f>IF(COUNTIF('Résultats des tournois'!$B11:'Résultats des tournois'!AK11,"&lt;&gt;")&lt;=5,32,IF(COUNTIF('Résultats des tournois'!$B11:'Résultats des tournois'!AK11,"&lt;&gt;")&lt;=15,24,16))</f>
        <v>32</v>
      </c>
      <c r="AL11" s="15">
        <f>IF(COUNTIF('Résultats des tournois'!$B11:'Résultats des tournois'!AL11,"&lt;&gt;")&lt;=5,32,IF(COUNTIF('Résultats des tournois'!$B11:'Résultats des tournois'!AL11,"&lt;&gt;")&lt;=15,24,16))</f>
        <v>32</v>
      </c>
      <c r="AM11" s="15">
        <f>IF(COUNTIF('Résultats des tournois'!$B11:'Résultats des tournois'!AM11,"&lt;&gt;")&lt;=5,32,IF(COUNTIF('Résultats des tournois'!$B11:'Résultats des tournois'!AM11,"&lt;&gt;")&lt;=15,24,16))</f>
        <v>32</v>
      </c>
      <c r="AN11" s="15">
        <f>IF(COUNTIF('Résultats des tournois'!$B11:'Résultats des tournois'!AN11,"&lt;&gt;")&lt;=5,32,IF(COUNTIF('Résultats des tournois'!$B11:'Résultats des tournois'!AN11,"&lt;&gt;")&lt;=15,24,16))</f>
        <v>32</v>
      </c>
      <c r="AO11" s="15">
        <f>IF(COUNTIF('Résultats des tournois'!$B11:'Résultats des tournois'!AO11,"&lt;&gt;")&lt;=5,32,IF(COUNTIF('Résultats des tournois'!$B11:'Résultats des tournois'!AO11,"&lt;&gt;")&lt;=15,24,16))</f>
        <v>32</v>
      </c>
      <c r="AP11" s="15">
        <f>IF(COUNTIF('Résultats des tournois'!$B11:'Résultats des tournois'!AP11,"&lt;&gt;")&lt;=5,32,IF(COUNTIF('Résultats des tournois'!$B11:'Résultats des tournois'!AP11,"&lt;&gt;")&lt;=15,24,16))</f>
        <v>32</v>
      </c>
      <c r="AQ11" s="15">
        <f>IF(COUNTIF('Résultats des tournois'!$B11:'Résultats des tournois'!AQ11,"&lt;&gt;")&lt;=5,32,IF(COUNTIF('Résultats des tournois'!$B11:'Résultats des tournois'!AQ11,"&lt;&gt;")&lt;=15,24,16))</f>
        <v>32</v>
      </c>
      <c r="AR11" s="15">
        <f>IF(COUNTIF('Résultats des tournois'!$B11:'Résultats des tournois'!AR11,"&lt;&gt;")&lt;=5,32,IF(COUNTIF('Résultats des tournois'!$B11:'Résultats des tournois'!AR11,"&lt;&gt;")&lt;=15,24,16))</f>
        <v>32</v>
      </c>
      <c r="AS11" s="15">
        <f>IF(COUNTIF('Résultats des tournois'!$B11:'Résultats des tournois'!AS11,"&lt;&gt;")&lt;=5,32,IF(COUNTIF('Résultats des tournois'!$B11:'Résultats des tournois'!AS11,"&lt;&gt;")&lt;=15,24,16))</f>
        <v>32</v>
      </c>
      <c r="AT11" s="15">
        <f>IF(COUNTIF('Résultats des tournois'!$B11:'Résultats des tournois'!AT11,"&lt;&gt;")&lt;=5,32,IF(COUNTIF('Résultats des tournois'!$B11:'Résultats des tournois'!AT11,"&lt;&gt;")&lt;=15,24,16))</f>
        <v>32</v>
      </c>
      <c r="AU11" s="15">
        <f>IF(COUNTIF('Résultats des tournois'!$B11:'Résultats des tournois'!AU11,"&lt;&gt;")&lt;=5,32,IF(COUNTIF('Résultats des tournois'!$B11:'Résultats des tournois'!AU11,"&lt;&gt;")&lt;=15,24,16))</f>
        <v>32</v>
      </c>
      <c r="AV11" s="15">
        <f>IF(COUNTIF('Résultats des tournois'!$B11:'Résultats des tournois'!AV11,"&lt;&gt;")&lt;=5,32,IF(COUNTIF('Résultats des tournois'!$B11:'Résultats des tournois'!AV11,"&lt;&gt;")&lt;=15,24,16))</f>
        <v>32</v>
      </c>
      <c r="AW11" s="15">
        <f>IF(COUNTIF('Résultats des tournois'!$B11:'Résultats des tournois'!AW11,"&lt;&gt;")&lt;=5,32,IF(COUNTIF('Résultats des tournois'!$B11:'Résultats des tournois'!AW11,"&lt;&gt;")&lt;=15,24,16))</f>
        <v>32</v>
      </c>
      <c r="AX11" s="15">
        <f>IF(COUNTIF('Résultats des tournois'!$B11:'Résultats des tournois'!AX11,"&lt;&gt;")&lt;=5,32,IF(COUNTIF('Résultats des tournois'!$B11:'Résultats des tournois'!AX11,"&lt;&gt;")&lt;=15,24,16))</f>
        <v>32</v>
      </c>
    </row>
    <row r="12" ht="14.25" customHeight="1">
      <c r="A12" s="15" t="str">
        <f>IF('Résultats des tournois'!A12="","",'Résultats des tournois'!A12)</f>
        <v>Meruem</v>
      </c>
      <c r="B12" s="15">
        <f>IF(COUNTIF('Résultats des tournois'!B12,"&lt;&gt;")&lt;=5,32,IF(COUNTIF('Résultats des tournois'!B12,"&lt;&gt;")&lt;=15,24,16))</f>
        <v>32</v>
      </c>
      <c r="C12" s="15">
        <f>IF(COUNTIF('Résultats des tournois'!$B12:'Résultats des tournois'!C12,"&lt;&gt;")&lt;=5,32,IF(COUNTIF('Résultats des tournois'!$B12:'Résultats des tournois'!C12,"&lt;&gt;")&lt;=15,24,16))</f>
        <v>32</v>
      </c>
      <c r="D12" s="15">
        <f>IF(COUNTIF('Résultats des tournois'!$B12:'Résultats des tournois'!D12,"&lt;&gt;")&lt;=5,32,IF(COUNTIF('Résultats des tournois'!$B12:'Résultats des tournois'!D12,"&lt;&gt;")&lt;=15,24,16))</f>
        <v>32</v>
      </c>
      <c r="E12" s="15">
        <f>IF(COUNTIF('Résultats des tournois'!$B12:'Résultats des tournois'!E12,"&lt;&gt;")&lt;=5,32,IF(COUNTIF('Résultats des tournois'!$B12:'Résultats des tournois'!E12,"&lt;&gt;")&lt;=15,24,16))</f>
        <v>32</v>
      </c>
      <c r="F12" s="15">
        <f>IF(COUNTIF('Résultats des tournois'!$B12:'Résultats des tournois'!F12,"&lt;&gt;")&lt;=5,32,IF(COUNTIF('Résultats des tournois'!$B12:'Résultats des tournois'!F12,"&lt;&gt;")&lt;=15,24,16))</f>
        <v>32</v>
      </c>
      <c r="G12" s="15">
        <f>IF(COUNTIF('Résultats des tournois'!$B12:'Résultats des tournois'!G12,"&lt;&gt;")&lt;=5,32,IF(COUNTIF('Résultats des tournois'!$B12:'Résultats des tournois'!G12,"&lt;&gt;")&lt;=15,24,16))</f>
        <v>24</v>
      </c>
      <c r="H12" s="15">
        <f>IF(COUNTIF('Résultats des tournois'!$B12:'Résultats des tournois'!H12,"&lt;&gt;")&lt;=5,32,IF(COUNTIF('Résultats des tournois'!$B12:'Résultats des tournois'!H12,"&lt;&gt;")&lt;=15,24,16))</f>
        <v>24</v>
      </c>
      <c r="I12" s="15">
        <f>IF(COUNTIF('Résultats des tournois'!$B12:'Résultats des tournois'!I12,"&lt;&gt;")&lt;=5,32,IF(COUNTIF('Résultats des tournois'!$B12:'Résultats des tournois'!I12,"&lt;&gt;")&lt;=15,24,16))</f>
        <v>24</v>
      </c>
      <c r="J12" s="15">
        <f>IF(COUNTIF('Résultats des tournois'!$B12:'Résultats des tournois'!J12,"&lt;&gt;")&lt;=5,32,IF(COUNTIF('Résultats des tournois'!$B12:'Résultats des tournois'!J12,"&lt;&gt;")&lt;=15,24,16))</f>
        <v>24</v>
      </c>
      <c r="K12" s="15">
        <f>IF(COUNTIF('Résultats des tournois'!$B12:'Résultats des tournois'!K12,"&lt;&gt;")&lt;=5,32,IF(COUNTIF('Résultats des tournois'!$B12:'Résultats des tournois'!K12,"&lt;&gt;")&lt;=15,24,16))</f>
        <v>24</v>
      </c>
      <c r="L12" s="15">
        <f>IF(COUNTIF('Résultats des tournois'!$B12:'Résultats des tournois'!L12,"&lt;&gt;")&lt;=5,32,IF(COUNTIF('Résultats des tournois'!$B12:'Résultats des tournois'!L12,"&lt;&gt;")&lt;=15,24,16))</f>
        <v>24</v>
      </c>
      <c r="M12" s="15">
        <f>IF(COUNTIF('Résultats des tournois'!$B12:'Résultats des tournois'!M12,"&lt;&gt;")&lt;=5,32,IF(COUNTIF('Résultats des tournois'!$B12:'Résultats des tournois'!M12,"&lt;&gt;")&lt;=15,24,16))</f>
        <v>24</v>
      </c>
      <c r="N12" s="15">
        <f>IF(COUNTIF('Résultats des tournois'!$B12:'Résultats des tournois'!N12,"&lt;&gt;")&lt;=5,32,IF(COUNTIF('Résultats des tournois'!$B12:'Résultats des tournois'!N12,"&lt;&gt;")&lt;=15,24,16))</f>
        <v>24</v>
      </c>
      <c r="O12" s="15">
        <f>IF(COUNTIF('Résultats des tournois'!$B12:'Résultats des tournois'!O12,"&lt;&gt;")&lt;=5,32,IF(COUNTIF('Résultats des tournois'!$B12:'Résultats des tournois'!O12,"&lt;&gt;")&lt;=15,24,16))</f>
        <v>24</v>
      </c>
      <c r="P12" s="15">
        <f>IF(COUNTIF('Résultats des tournois'!$B12:'Résultats des tournois'!P12,"&lt;&gt;")&lt;=5,32,IF(COUNTIF('Résultats des tournois'!$B12:'Résultats des tournois'!P12,"&lt;&gt;")&lt;=15,24,16))</f>
        <v>24</v>
      </c>
      <c r="Q12" s="15">
        <f>IF(COUNTIF('Résultats des tournois'!$B12:'Résultats des tournois'!Q12,"&lt;&gt;")&lt;=5,32,IF(COUNTIF('Résultats des tournois'!$B12:'Résultats des tournois'!Q12,"&lt;&gt;")&lt;=15,24,16))</f>
        <v>24</v>
      </c>
      <c r="R12" s="15">
        <f>IF(COUNTIF('Résultats des tournois'!$B12:'Résultats des tournois'!R12,"&lt;&gt;")&lt;=5,32,IF(COUNTIF('Résultats des tournois'!$B12:'Résultats des tournois'!R12,"&lt;&gt;")&lt;=15,24,16))</f>
        <v>24</v>
      </c>
      <c r="S12" s="15">
        <f>IF(COUNTIF('Résultats des tournois'!$B12:'Résultats des tournois'!S12,"&lt;&gt;")&lt;=5,32,IF(COUNTIF('Résultats des tournois'!$B12:'Résultats des tournois'!S12,"&lt;&gt;")&lt;=15,24,16))</f>
        <v>24</v>
      </c>
      <c r="T12" s="15">
        <f>IF(COUNTIF('Résultats des tournois'!$B12:'Résultats des tournois'!T12,"&lt;&gt;")&lt;=5,32,IF(COUNTIF('Résultats des tournois'!$B12:'Résultats des tournois'!T12,"&lt;&gt;")&lt;=15,24,16))</f>
        <v>24</v>
      </c>
      <c r="U12" s="15">
        <f>IF(COUNTIF('Résultats des tournois'!$B12:'Résultats des tournois'!U12,"&lt;&gt;")&lt;=5,32,IF(COUNTIF('Résultats des tournois'!$B12:'Résultats des tournois'!U12,"&lt;&gt;")&lt;=15,24,16))</f>
        <v>24</v>
      </c>
      <c r="V12" s="15">
        <f>IF(COUNTIF('Résultats des tournois'!$B12:'Résultats des tournois'!V12,"&lt;&gt;")&lt;=5,32,IF(COUNTIF('Résultats des tournois'!$B12:'Résultats des tournois'!V12,"&lt;&gt;")&lt;=15,24,16))</f>
        <v>24</v>
      </c>
      <c r="W12" s="15">
        <f>IF(COUNTIF('Résultats des tournois'!$B12:'Résultats des tournois'!W12,"&lt;&gt;")&lt;=5,32,IF(COUNTIF('Résultats des tournois'!$B12:'Résultats des tournois'!W12,"&lt;&gt;")&lt;=15,24,16))</f>
        <v>24</v>
      </c>
      <c r="X12" s="15">
        <f>IF(COUNTIF('Résultats des tournois'!$B12:'Résultats des tournois'!X12,"&lt;&gt;")&lt;=5,32,IF(COUNTIF('Résultats des tournois'!$B12:'Résultats des tournois'!X12,"&lt;&gt;")&lt;=15,24,16))</f>
        <v>24</v>
      </c>
      <c r="Y12" s="15">
        <f>IF(COUNTIF('Résultats des tournois'!$B12:'Résultats des tournois'!Y12,"&lt;&gt;")&lt;=5,32,IF(COUNTIF('Résultats des tournois'!$B12:'Résultats des tournois'!Y12,"&lt;&gt;")&lt;=15,24,16))</f>
        <v>24</v>
      </c>
      <c r="Z12" s="15">
        <f>IF(COUNTIF('Résultats des tournois'!$B12:'Résultats des tournois'!Z12,"&lt;&gt;")&lt;=5,32,IF(COUNTIF('Résultats des tournois'!$B12:'Résultats des tournois'!Z12,"&lt;&gt;")&lt;=15,24,16))</f>
        <v>24</v>
      </c>
      <c r="AA12" s="15">
        <f>IF(COUNTIF('Résultats des tournois'!$B12:'Résultats des tournois'!AA12,"&lt;&gt;")&lt;=5,32,IF(COUNTIF('Résultats des tournois'!$B12:'Résultats des tournois'!AA12,"&lt;&gt;")&lt;=15,24,16))</f>
        <v>24</v>
      </c>
      <c r="AB12" s="15">
        <f>IF(COUNTIF('Résultats des tournois'!$B12:'Résultats des tournois'!AB12,"&lt;&gt;")&lt;=5,32,IF(COUNTIF('Résultats des tournois'!$B12:'Résultats des tournois'!AB12,"&lt;&gt;")&lt;=15,24,16))</f>
        <v>24</v>
      </c>
      <c r="AC12" s="15">
        <f>IF(COUNTIF('Résultats des tournois'!$B12:'Résultats des tournois'!AC12,"&lt;&gt;")&lt;=5,32,IF(COUNTIF('Résultats des tournois'!$B12:'Résultats des tournois'!AC12,"&lt;&gt;")&lt;=15,24,16))</f>
        <v>24</v>
      </c>
      <c r="AD12" s="15">
        <f>IF(COUNTIF('Résultats des tournois'!$B12:'Résultats des tournois'!AD12,"&lt;&gt;")&lt;=5,32,IF(COUNTIF('Résultats des tournois'!$B12:'Résultats des tournois'!AD12,"&lt;&gt;")&lt;=15,24,16))</f>
        <v>24</v>
      </c>
      <c r="AE12" s="15">
        <f>IF(COUNTIF('Résultats des tournois'!$B12:'Résultats des tournois'!AE12,"&lt;&gt;")&lt;=5,32,IF(COUNTIF('Résultats des tournois'!$B12:'Résultats des tournois'!AE12,"&lt;&gt;")&lt;=15,24,16))</f>
        <v>24</v>
      </c>
      <c r="AF12" s="15">
        <f>IF(COUNTIF('Résultats des tournois'!$B12:'Résultats des tournois'!AF12,"&lt;&gt;")&lt;=5,32,IF(COUNTIF('Résultats des tournois'!$B12:'Résultats des tournois'!AF12,"&lt;&gt;")&lt;=15,24,16))</f>
        <v>24</v>
      </c>
      <c r="AG12" s="15">
        <f>IF(COUNTIF('Résultats des tournois'!$B12:'Résultats des tournois'!AG12,"&lt;&gt;")&lt;=5,32,IF(COUNTIF('Résultats des tournois'!$B12:'Résultats des tournois'!AG12,"&lt;&gt;")&lt;=15,24,16))</f>
        <v>24</v>
      </c>
      <c r="AH12" s="15">
        <f>IF(COUNTIF('Résultats des tournois'!$B12:'Résultats des tournois'!AH12,"&lt;&gt;")&lt;=5,32,IF(COUNTIF('Résultats des tournois'!$B12:'Résultats des tournois'!AH12,"&lt;&gt;")&lt;=15,24,16))</f>
        <v>24</v>
      </c>
      <c r="AI12" s="15">
        <f>IF(COUNTIF('Résultats des tournois'!$B12:'Résultats des tournois'!AI12,"&lt;&gt;")&lt;=5,32,IF(COUNTIF('Résultats des tournois'!$B12:'Résultats des tournois'!AI12,"&lt;&gt;")&lt;=15,24,16))</f>
        <v>24</v>
      </c>
      <c r="AJ12" s="15">
        <f>IF(COUNTIF('Résultats des tournois'!$B12:'Résultats des tournois'!AJ12,"&lt;&gt;")&lt;=5,32,IF(COUNTIF('Résultats des tournois'!$B12:'Résultats des tournois'!AJ12,"&lt;&gt;")&lt;=15,24,16))</f>
        <v>24</v>
      </c>
      <c r="AK12" s="15">
        <f>IF(COUNTIF('Résultats des tournois'!$B12:'Résultats des tournois'!AK12,"&lt;&gt;")&lt;=5,32,IF(COUNTIF('Résultats des tournois'!$B12:'Résultats des tournois'!AK12,"&lt;&gt;")&lt;=15,24,16))</f>
        <v>24</v>
      </c>
      <c r="AL12" s="15">
        <f>IF(COUNTIF('Résultats des tournois'!$B12:'Résultats des tournois'!AL12,"&lt;&gt;")&lt;=5,32,IF(COUNTIF('Résultats des tournois'!$B12:'Résultats des tournois'!AL12,"&lt;&gt;")&lt;=15,24,16))</f>
        <v>24</v>
      </c>
      <c r="AM12" s="15">
        <f>IF(COUNTIF('Résultats des tournois'!$B12:'Résultats des tournois'!AM12,"&lt;&gt;")&lt;=5,32,IF(COUNTIF('Résultats des tournois'!$B12:'Résultats des tournois'!AM12,"&lt;&gt;")&lt;=15,24,16))</f>
        <v>24</v>
      </c>
      <c r="AN12" s="15">
        <f>IF(COUNTIF('Résultats des tournois'!$B12:'Résultats des tournois'!AN12,"&lt;&gt;")&lt;=5,32,IF(COUNTIF('Résultats des tournois'!$B12:'Résultats des tournois'!AN12,"&lt;&gt;")&lt;=15,24,16))</f>
        <v>24</v>
      </c>
      <c r="AO12" s="15">
        <f>IF(COUNTIF('Résultats des tournois'!$B12:'Résultats des tournois'!AO12,"&lt;&gt;")&lt;=5,32,IF(COUNTIF('Résultats des tournois'!$B12:'Résultats des tournois'!AO12,"&lt;&gt;")&lt;=15,24,16))</f>
        <v>24</v>
      </c>
      <c r="AP12" s="15">
        <f>IF(COUNTIF('Résultats des tournois'!$B12:'Résultats des tournois'!AP12,"&lt;&gt;")&lt;=5,32,IF(COUNTIF('Résultats des tournois'!$B12:'Résultats des tournois'!AP12,"&lt;&gt;")&lt;=15,24,16))</f>
        <v>24</v>
      </c>
      <c r="AQ12" s="15">
        <f>IF(COUNTIF('Résultats des tournois'!$B12:'Résultats des tournois'!AQ12,"&lt;&gt;")&lt;=5,32,IF(COUNTIF('Résultats des tournois'!$B12:'Résultats des tournois'!AQ12,"&lt;&gt;")&lt;=15,24,16))</f>
        <v>24</v>
      </c>
      <c r="AR12" s="15">
        <f>IF(COUNTIF('Résultats des tournois'!$B12:'Résultats des tournois'!AR12,"&lt;&gt;")&lt;=5,32,IF(COUNTIF('Résultats des tournois'!$B12:'Résultats des tournois'!AR12,"&lt;&gt;")&lt;=15,24,16))</f>
        <v>24</v>
      </c>
      <c r="AS12" s="15">
        <f>IF(COUNTIF('Résultats des tournois'!$B12:'Résultats des tournois'!AS12,"&lt;&gt;")&lt;=5,32,IF(COUNTIF('Résultats des tournois'!$B12:'Résultats des tournois'!AS12,"&lt;&gt;")&lt;=15,24,16))</f>
        <v>24</v>
      </c>
      <c r="AT12" s="15">
        <f>IF(COUNTIF('Résultats des tournois'!$B12:'Résultats des tournois'!AT12,"&lt;&gt;")&lt;=5,32,IF(COUNTIF('Résultats des tournois'!$B12:'Résultats des tournois'!AT12,"&lt;&gt;")&lt;=15,24,16))</f>
        <v>24</v>
      </c>
      <c r="AU12" s="15">
        <f>IF(COUNTIF('Résultats des tournois'!$B12:'Résultats des tournois'!AU12,"&lt;&gt;")&lt;=5,32,IF(COUNTIF('Résultats des tournois'!$B12:'Résultats des tournois'!AU12,"&lt;&gt;")&lt;=15,24,16))</f>
        <v>24</v>
      </c>
      <c r="AV12" s="15">
        <f>IF(COUNTIF('Résultats des tournois'!$B12:'Résultats des tournois'!AV12,"&lt;&gt;")&lt;=5,32,IF(COUNTIF('Résultats des tournois'!$B12:'Résultats des tournois'!AV12,"&lt;&gt;")&lt;=15,24,16))</f>
        <v>24</v>
      </c>
      <c r="AW12" s="15">
        <f>IF(COUNTIF('Résultats des tournois'!$B12:'Résultats des tournois'!AW12,"&lt;&gt;")&lt;=5,32,IF(COUNTIF('Résultats des tournois'!$B12:'Résultats des tournois'!AW12,"&lt;&gt;")&lt;=15,24,16))</f>
        <v>24</v>
      </c>
      <c r="AX12" s="15">
        <f>IF(COUNTIF('Résultats des tournois'!$B12:'Résultats des tournois'!AX12,"&lt;&gt;")&lt;=5,32,IF(COUNTIF('Résultats des tournois'!$B12:'Résultats des tournois'!AX12,"&lt;&gt;")&lt;=15,24,16))</f>
        <v>24</v>
      </c>
    </row>
    <row r="13" ht="14.25" customHeight="1">
      <c r="A13" s="15" t="str">
        <f>IF('Résultats des tournois'!A13="","",'Résultats des tournois'!A13)</f>
        <v>Micky</v>
      </c>
      <c r="B13" s="15">
        <f>IF(COUNTIF('Résultats des tournois'!B13,"&lt;&gt;")&lt;=5,32,IF(COUNTIF('Résultats des tournois'!B13,"&lt;&gt;")&lt;=15,24,16))</f>
        <v>32</v>
      </c>
      <c r="C13" s="15">
        <f>IF(COUNTIF('Résultats des tournois'!$B13:'Résultats des tournois'!C13,"&lt;&gt;")&lt;=5,32,IF(COUNTIF('Résultats des tournois'!$B13:'Résultats des tournois'!C13,"&lt;&gt;")&lt;=15,24,16))</f>
        <v>32</v>
      </c>
      <c r="D13" s="15">
        <f>IF(COUNTIF('Résultats des tournois'!$B13:'Résultats des tournois'!D13,"&lt;&gt;")&lt;=5,32,IF(COUNTIF('Résultats des tournois'!$B13:'Résultats des tournois'!D13,"&lt;&gt;")&lt;=15,24,16))</f>
        <v>32</v>
      </c>
      <c r="E13" s="15">
        <f>IF(COUNTIF('Résultats des tournois'!$B13:'Résultats des tournois'!E13,"&lt;&gt;")&lt;=5,32,IF(COUNTIF('Résultats des tournois'!$B13:'Résultats des tournois'!E13,"&lt;&gt;")&lt;=15,24,16))</f>
        <v>32</v>
      </c>
      <c r="F13" s="15">
        <f>IF(COUNTIF('Résultats des tournois'!$B13:'Résultats des tournois'!F13,"&lt;&gt;")&lt;=5,32,IF(COUNTIF('Résultats des tournois'!$B13:'Résultats des tournois'!F13,"&lt;&gt;")&lt;=15,24,16))</f>
        <v>32</v>
      </c>
      <c r="G13" s="15">
        <f>IF(COUNTIF('Résultats des tournois'!$B13:'Résultats des tournois'!G13,"&lt;&gt;")&lt;=5,32,IF(COUNTIF('Résultats des tournois'!$B13:'Résultats des tournois'!G13,"&lt;&gt;")&lt;=15,24,16))</f>
        <v>32</v>
      </c>
      <c r="H13" s="15">
        <f>IF(COUNTIF('Résultats des tournois'!$B13:'Résultats des tournois'!H13,"&lt;&gt;")&lt;=5,32,IF(COUNTIF('Résultats des tournois'!$B13:'Résultats des tournois'!H13,"&lt;&gt;")&lt;=15,24,16))</f>
        <v>32</v>
      </c>
      <c r="I13" s="15">
        <f>IF(COUNTIF('Résultats des tournois'!$B13:'Résultats des tournois'!I13,"&lt;&gt;")&lt;=5,32,IF(COUNTIF('Résultats des tournois'!$B13:'Résultats des tournois'!I13,"&lt;&gt;")&lt;=15,24,16))</f>
        <v>32</v>
      </c>
      <c r="J13" s="15">
        <f>IF(COUNTIF('Résultats des tournois'!$B13:'Résultats des tournois'!J13,"&lt;&gt;")&lt;=5,32,IF(COUNTIF('Résultats des tournois'!$B13:'Résultats des tournois'!J13,"&lt;&gt;")&lt;=15,24,16))</f>
        <v>32</v>
      </c>
      <c r="K13" s="15">
        <f>IF(COUNTIF('Résultats des tournois'!$B13:'Résultats des tournois'!K13,"&lt;&gt;")&lt;=5,32,IF(COUNTIF('Résultats des tournois'!$B13:'Résultats des tournois'!K13,"&lt;&gt;")&lt;=15,24,16))</f>
        <v>24</v>
      </c>
      <c r="L13" s="15">
        <f>IF(COUNTIF('Résultats des tournois'!$B13:'Résultats des tournois'!L13,"&lt;&gt;")&lt;=5,32,IF(COUNTIF('Résultats des tournois'!$B13:'Résultats des tournois'!L13,"&lt;&gt;")&lt;=15,24,16))</f>
        <v>24</v>
      </c>
      <c r="M13" s="15">
        <f>IF(COUNTIF('Résultats des tournois'!$B13:'Résultats des tournois'!M13,"&lt;&gt;")&lt;=5,32,IF(COUNTIF('Résultats des tournois'!$B13:'Résultats des tournois'!M13,"&lt;&gt;")&lt;=15,24,16))</f>
        <v>24</v>
      </c>
      <c r="N13" s="15">
        <f>IF(COUNTIF('Résultats des tournois'!$B13:'Résultats des tournois'!N13,"&lt;&gt;")&lt;=5,32,IF(COUNTIF('Résultats des tournois'!$B13:'Résultats des tournois'!N13,"&lt;&gt;")&lt;=15,24,16))</f>
        <v>24</v>
      </c>
      <c r="O13" s="15">
        <f>IF(COUNTIF('Résultats des tournois'!$B13:'Résultats des tournois'!O13,"&lt;&gt;")&lt;=5,32,IF(COUNTIF('Résultats des tournois'!$B13:'Résultats des tournois'!O13,"&lt;&gt;")&lt;=15,24,16))</f>
        <v>24</v>
      </c>
      <c r="P13" s="15">
        <f>IF(COUNTIF('Résultats des tournois'!$B13:'Résultats des tournois'!P13,"&lt;&gt;")&lt;=5,32,IF(COUNTIF('Résultats des tournois'!$B13:'Résultats des tournois'!P13,"&lt;&gt;")&lt;=15,24,16))</f>
        <v>24</v>
      </c>
      <c r="Q13" s="15">
        <f>IF(COUNTIF('Résultats des tournois'!$B13:'Résultats des tournois'!Q13,"&lt;&gt;")&lt;=5,32,IF(COUNTIF('Résultats des tournois'!$B13:'Résultats des tournois'!Q13,"&lt;&gt;")&lt;=15,24,16))</f>
        <v>24</v>
      </c>
      <c r="R13" s="15">
        <f>IF(COUNTIF('Résultats des tournois'!$B13:'Résultats des tournois'!R13,"&lt;&gt;")&lt;=5,32,IF(COUNTIF('Résultats des tournois'!$B13:'Résultats des tournois'!R13,"&lt;&gt;")&lt;=15,24,16))</f>
        <v>24</v>
      </c>
      <c r="S13" s="15">
        <f>IF(COUNTIF('Résultats des tournois'!$B13:'Résultats des tournois'!S13,"&lt;&gt;")&lt;=5,32,IF(COUNTIF('Résultats des tournois'!$B13:'Résultats des tournois'!S13,"&lt;&gt;")&lt;=15,24,16))</f>
        <v>24</v>
      </c>
      <c r="T13" s="15">
        <f>IF(COUNTIF('Résultats des tournois'!$B13:'Résultats des tournois'!T13,"&lt;&gt;")&lt;=5,32,IF(COUNTIF('Résultats des tournois'!$B13:'Résultats des tournois'!T13,"&lt;&gt;")&lt;=15,24,16))</f>
        <v>24</v>
      </c>
      <c r="U13" s="15">
        <f>IF(COUNTIF('Résultats des tournois'!$B13:'Résultats des tournois'!U13,"&lt;&gt;")&lt;=5,32,IF(COUNTIF('Résultats des tournois'!$B13:'Résultats des tournois'!U13,"&lt;&gt;")&lt;=15,24,16))</f>
        <v>24</v>
      </c>
      <c r="V13" s="15">
        <f>IF(COUNTIF('Résultats des tournois'!$B13:'Résultats des tournois'!V13,"&lt;&gt;")&lt;=5,32,IF(COUNTIF('Résultats des tournois'!$B13:'Résultats des tournois'!V13,"&lt;&gt;")&lt;=15,24,16))</f>
        <v>24</v>
      </c>
      <c r="W13" s="15">
        <f>IF(COUNTIF('Résultats des tournois'!$B13:'Résultats des tournois'!W13,"&lt;&gt;")&lt;=5,32,IF(COUNTIF('Résultats des tournois'!$B13:'Résultats des tournois'!W13,"&lt;&gt;")&lt;=15,24,16))</f>
        <v>24</v>
      </c>
      <c r="X13" s="15">
        <f>IF(COUNTIF('Résultats des tournois'!$B13:'Résultats des tournois'!X13,"&lt;&gt;")&lt;=5,32,IF(COUNTIF('Résultats des tournois'!$B13:'Résultats des tournois'!X13,"&lt;&gt;")&lt;=15,24,16))</f>
        <v>24</v>
      </c>
      <c r="Y13" s="15">
        <f>IF(COUNTIF('Résultats des tournois'!$B13:'Résultats des tournois'!Y13,"&lt;&gt;")&lt;=5,32,IF(COUNTIF('Résultats des tournois'!$B13:'Résultats des tournois'!Y13,"&lt;&gt;")&lt;=15,24,16))</f>
        <v>24</v>
      </c>
      <c r="Z13" s="15">
        <f>IF(COUNTIF('Résultats des tournois'!$B13:'Résultats des tournois'!Z13,"&lt;&gt;")&lt;=5,32,IF(COUNTIF('Résultats des tournois'!$B13:'Résultats des tournois'!Z13,"&lt;&gt;")&lt;=15,24,16))</f>
        <v>24</v>
      </c>
      <c r="AA13" s="15">
        <f>IF(COUNTIF('Résultats des tournois'!$B13:'Résultats des tournois'!AA13,"&lt;&gt;")&lt;=5,32,IF(COUNTIF('Résultats des tournois'!$B13:'Résultats des tournois'!AA13,"&lt;&gt;")&lt;=15,24,16))</f>
        <v>24</v>
      </c>
      <c r="AB13" s="15">
        <f>IF(COUNTIF('Résultats des tournois'!$B13:'Résultats des tournois'!AB13,"&lt;&gt;")&lt;=5,32,IF(COUNTIF('Résultats des tournois'!$B13:'Résultats des tournois'!AB13,"&lt;&gt;")&lt;=15,24,16))</f>
        <v>24</v>
      </c>
      <c r="AC13" s="15">
        <f>IF(COUNTIF('Résultats des tournois'!$B13:'Résultats des tournois'!AC13,"&lt;&gt;")&lt;=5,32,IF(COUNTIF('Résultats des tournois'!$B13:'Résultats des tournois'!AC13,"&lt;&gt;")&lt;=15,24,16))</f>
        <v>24</v>
      </c>
      <c r="AD13" s="15">
        <f>IF(COUNTIF('Résultats des tournois'!$B13:'Résultats des tournois'!AD13,"&lt;&gt;")&lt;=5,32,IF(COUNTIF('Résultats des tournois'!$B13:'Résultats des tournois'!AD13,"&lt;&gt;")&lt;=15,24,16))</f>
        <v>24</v>
      </c>
      <c r="AE13" s="15">
        <f>IF(COUNTIF('Résultats des tournois'!$B13:'Résultats des tournois'!AE13,"&lt;&gt;")&lt;=5,32,IF(COUNTIF('Résultats des tournois'!$B13:'Résultats des tournois'!AE13,"&lt;&gt;")&lt;=15,24,16))</f>
        <v>24</v>
      </c>
      <c r="AF13" s="15">
        <f>IF(COUNTIF('Résultats des tournois'!$B13:'Résultats des tournois'!AF13,"&lt;&gt;")&lt;=5,32,IF(COUNTIF('Résultats des tournois'!$B13:'Résultats des tournois'!AF13,"&lt;&gt;")&lt;=15,24,16))</f>
        <v>24</v>
      </c>
      <c r="AG13" s="15">
        <f>IF(COUNTIF('Résultats des tournois'!$B13:'Résultats des tournois'!AG13,"&lt;&gt;")&lt;=5,32,IF(COUNTIF('Résultats des tournois'!$B13:'Résultats des tournois'!AG13,"&lt;&gt;")&lt;=15,24,16))</f>
        <v>24</v>
      </c>
      <c r="AH13" s="15">
        <f>IF(COUNTIF('Résultats des tournois'!$B13:'Résultats des tournois'!AH13,"&lt;&gt;")&lt;=5,32,IF(COUNTIF('Résultats des tournois'!$B13:'Résultats des tournois'!AH13,"&lt;&gt;")&lt;=15,24,16))</f>
        <v>24</v>
      </c>
      <c r="AI13" s="15">
        <f>IF(COUNTIF('Résultats des tournois'!$B13:'Résultats des tournois'!AI13,"&lt;&gt;")&lt;=5,32,IF(COUNTIF('Résultats des tournois'!$B13:'Résultats des tournois'!AI13,"&lt;&gt;")&lt;=15,24,16))</f>
        <v>24</v>
      </c>
      <c r="AJ13" s="15">
        <f>IF(COUNTIF('Résultats des tournois'!$B13:'Résultats des tournois'!AJ13,"&lt;&gt;")&lt;=5,32,IF(COUNTIF('Résultats des tournois'!$B13:'Résultats des tournois'!AJ13,"&lt;&gt;")&lt;=15,24,16))</f>
        <v>24</v>
      </c>
      <c r="AK13" s="15">
        <f>IF(COUNTIF('Résultats des tournois'!$B13:'Résultats des tournois'!AK13,"&lt;&gt;")&lt;=5,32,IF(COUNTIF('Résultats des tournois'!$B13:'Résultats des tournois'!AK13,"&lt;&gt;")&lt;=15,24,16))</f>
        <v>24</v>
      </c>
      <c r="AL13" s="15">
        <f>IF(COUNTIF('Résultats des tournois'!$B13:'Résultats des tournois'!AL13,"&lt;&gt;")&lt;=5,32,IF(COUNTIF('Résultats des tournois'!$B13:'Résultats des tournois'!AL13,"&lt;&gt;")&lt;=15,24,16))</f>
        <v>24</v>
      </c>
      <c r="AM13" s="15">
        <f>IF(COUNTIF('Résultats des tournois'!$B13:'Résultats des tournois'!AM13,"&lt;&gt;")&lt;=5,32,IF(COUNTIF('Résultats des tournois'!$B13:'Résultats des tournois'!AM13,"&lt;&gt;")&lt;=15,24,16))</f>
        <v>24</v>
      </c>
      <c r="AN13" s="15">
        <f>IF(COUNTIF('Résultats des tournois'!$B13:'Résultats des tournois'!AN13,"&lt;&gt;")&lt;=5,32,IF(COUNTIF('Résultats des tournois'!$B13:'Résultats des tournois'!AN13,"&lt;&gt;")&lt;=15,24,16))</f>
        <v>24</v>
      </c>
      <c r="AO13" s="15">
        <f>IF(COUNTIF('Résultats des tournois'!$B13:'Résultats des tournois'!AO13,"&lt;&gt;")&lt;=5,32,IF(COUNTIF('Résultats des tournois'!$B13:'Résultats des tournois'!AO13,"&lt;&gt;")&lt;=15,24,16))</f>
        <v>24</v>
      </c>
      <c r="AP13" s="15">
        <f>IF(COUNTIF('Résultats des tournois'!$B13:'Résultats des tournois'!AP13,"&lt;&gt;")&lt;=5,32,IF(COUNTIF('Résultats des tournois'!$B13:'Résultats des tournois'!AP13,"&lt;&gt;")&lt;=15,24,16))</f>
        <v>24</v>
      </c>
      <c r="AQ13" s="15">
        <f>IF(COUNTIF('Résultats des tournois'!$B13:'Résultats des tournois'!AQ13,"&lt;&gt;")&lt;=5,32,IF(COUNTIF('Résultats des tournois'!$B13:'Résultats des tournois'!AQ13,"&lt;&gt;")&lt;=15,24,16))</f>
        <v>24</v>
      </c>
      <c r="AR13" s="15">
        <f>IF(COUNTIF('Résultats des tournois'!$B13:'Résultats des tournois'!AR13,"&lt;&gt;")&lt;=5,32,IF(COUNTIF('Résultats des tournois'!$B13:'Résultats des tournois'!AR13,"&lt;&gt;")&lt;=15,24,16))</f>
        <v>24</v>
      </c>
      <c r="AS13" s="15">
        <f>IF(COUNTIF('Résultats des tournois'!$B13:'Résultats des tournois'!AS13,"&lt;&gt;")&lt;=5,32,IF(COUNTIF('Résultats des tournois'!$B13:'Résultats des tournois'!AS13,"&lt;&gt;")&lt;=15,24,16))</f>
        <v>24</v>
      </c>
      <c r="AT13" s="15">
        <f>IF(COUNTIF('Résultats des tournois'!$B13:'Résultats des tournois'!AT13,"&lt;&gt;")&lt;=5,32,IF(COUNTIF('Résultats des tournois'!$B13:'Résultats des tournois'!AT13,"&lt;&gt;")&lt;=15,24,16))</f>
        <v>24</v>
      </c>
      <c r="AU13" s="15">
        <f>IF(COUNTIF('Résultats des tournois'!$B13:'Résultats des tournois'!AU13,"&lt;&gt;")&lt;=5,32,IF(COUNTIF('Résultats des tournois'!$B13:'Résultats des tournois'!AU13,"&lt;&gt;")&lt;=15,24,16))</f>
        <v>24</v>
      </c>
      <c r="AV13" s="15">
        <f>IF(COUNTIF('Résultats des tournois'!$B13:'Résultats des tournois'!AV13,"&lt;&gt;")&lt;=5,32,IF(COUNTIF('Résultats des tournois'!$B13:'Résultats des tournois'!AV13,"&lt;&gt;")&lt;=15,24,16))</f>
        <v>24</v>
      </c>
      <c r="AW13" s="15">
        <f>IF(COUNTIF('Résultats des tournois'!$B13:'Résultats des tournois'!AW13,"&lt;&gt;")&lt;=5,32,IF(COUNTIF('Résultats des tournois'!$B13:'Résultats des tournois'!AW13,"&lt;&gt;")&lt;=15,24,16))</f>
        <v>24</v>
      </c>
      <c r="AX13" s="15">
        <f>IF(COUNTIF('Résultats des tournois'!$B13:'Résultats des tournois'!AX13,"&lt;&gt;")&lt;=5,32,IF(COUNTIF('Résultats des tournois'!$B13:'Résultats des tournois'!AX13,"&lt;&gt;")&lt;=15,24,16))</f>
        <v>24</v>
      </c>
    </row>
    <row r="14" ht="14.25" customHeight="1">
      <c r="A14" s="15" t="str">
        <f>IF('Résultats des tournois'!A14="","",'Résultats des tournois'!A14)</f>
        <v>MinnieLoucas</v>
      </c>
      <c r="B14" s="15">
        <f>IF(COUNTIF('Résultats des tournois'!B14,"&lt;&gt;")&lt;=5,32,IF(COUNTIF('Résultats des tournois'!B14,"&lt;&gt;")&lt;=15,24,16))</f>
        <v>32</v>
      </c>
      <c r="C14" s="15">
        <f>IF(COUNTIF('Résultats des tournois'!$B14:'Résultats des tournois'!C14,"&lt;&gt;")&lt;=5,32,IF(COUNTIF('Résultats des tournois'!$B14:'Résultats des tournois'!C14,"&lt;&gt;")&lt;=15,24,16))</f>
        <v>32</v>
      </c>
      <c r="D14" s="15">
        <f>IF(COUNTIF('Résultats des tournois'!$B14:'Résultats des tournois'!D14,"&lt;&gt;")&lt;=5,32,IF(COUNTIF('Résultats des tournois'!$B14:'Résultats des tournois'!D14,"&lt;&gt;")&lt;=15,24,16))</f>
        <v>32</v>
      </c>
      <c r="E14" s="15">
        <f>IF(COUNTIF('Résultats des tournois'!$B14:'Résultats des tournois'!E14,"&lt;&gt;")&lt;=5,32,IF(COUNTIF('Résultats des tournois'!$B14:'Résultats des tournois'!E14,"&lt;&gt;")&lt;=15,24,16))</f>
        <v>32</v>
      </c>
      <c r="F14" s="15">
        <f>IF(COUNTIF('Résultats des tournois'!$B14:'Résultats des tournois'!F14,"&lt;&gt;")&lt;=5,32,IF(COUNTIF('Résultats des tournois'!$B14:'Résultats des tournois'!F14,"&lt;&gt;")&lt;=15,24,16))</f>
        <v>32</v>
      </c>
      <c r="G14" s="15">
        <f>IF(COUNTIF('Résultats des tournois'!$B14:'Résultats des tournois'!G14,"&lt;&gt;")&lt;=5,32,IF(COUNTIF('Résultats des tournois'!$B14:'Résultats des tournois'!G14,"&lt;&gt;")&lt;=15,24,16))</f>
        <v>24</v>
      </c>
      <c r="H14" s="15">
        <f>IF(COUNTIF('Résultats des tournois'!$B14:'Résultats des tournois'!H14,"&lt;&gt;")&lt;=5,32,IF(COUNTIF('Résultats des tournois'!$B14:'Résultats des tournois'!H14,"&lt;&gt;")&lt;=15,24,16))</f>
        <v>24</v>
      </c>
      <c r="I14" s="15">
        <f>IF(COUNTIF('Résultats des tournois'!$B14:'Résultats des tournois'!I14,"&lt;&gt;")&lt;=5,32,IF(COUNTIF('Résultats des tournois'!$B14:'Résultats des tournois'!I14,"&lt;&gt;")&lt;=15,24,16))</f>
        <v>24</v>
      </c>
      <c r="J14" s="15">
        <f>IF(COUNTIF('Résultats des tournois'!$B14:'Résultats des tournois'!J14,"&lt;&gt;")&lt;=5,32,IF(COUNTIF('Résultats des tournois'!$B14:'Résultats des tournois'!J14,"&lt;&gt;")&lt;=15,24,16))</f>
        <v>24</v>
      </c>
      <c r="K14" s="15">
        <f>IF(COUNTIF('Résultats des tournois'!$B14:'Résultats des tournois'!K14,"&lt;&gt;")&lt;=5,32,IF(COUNTIF('Résultats des tournois'!$B14:'Résultats des tournois'!K14,"&lt;&gt;")&lt;=15,24,16))</f>
        <v>24</v>
      </c>
      <c r="L14" s="15">
        <f>IF(COUNTIF('Résultats des tournois'!$B14:'Résultats des tournois'!L14,"&lt;&gt;")&lt;=5,32,IF(COUNTIF('Résultats des tournois'!$B14:'Résultats des tournois'!L14,"&lt;&gt;")&lt;=15,24,16))</f>
        <v>24</v>
      </c>
      <c r="M14" s="15">
        <f>IF(COUNTIF('Résultats des tournois'!$B14:'Résultats des tournois'!M14,"&lt;&gt;")&lt;=5,32,IF(COUNTIF('Résultats des tournois'!$B14:'Résultats des tournois'!M14,"&lt;&gt;")&lt;=15,24,16))</f>
        <v>24</v>
      </c>
      <c r="N14" s="15">
        <f>IF(COUNTIF('Résultats des tournois'!$B14:'Résultats des tournois'!N14,"&lt;&gt;")&lt;=5,32,IF(COUNTIF('Résultats des tournois'!$B14:'Résultats des tournois'!N14,"&lt;&gt;")&lt;=15,24,16))</f>
        <v>24</v>
      </c>
      <c r="O14" s="15">
        <f>IF(COUNTIF('Résultats des tournois'!$B14:'Résultats des tournois'!O14,"&lt;&gt;")&lt;=5,32,IF(COUNTIF('Résultats des tournois'!$B14:'Résultats des tournois'!O14,"&lt;&gt;")&lt;=15,24,16))</f>
        <v>24</v>
      </c>
      <c r="P14" s="15">
        <f>IF(COUNTIF('Résultats des tournois'!$B14:'Résultats des tournois'!P14,"&lt;&gt;")&lt;=5,32,IF(COUNTIF('Résultats des tournois'!$B14:'Résultats des tournois'!P14,"&lt;&gt;")&lt;=15,24,16))</f>
        <v>24</v>
      </c>
      <c r="Q14" s="15">
        <f>IF(COUNTIF('Résultats des tournois'!$B14:'Résultats des tournois'!Q14,"&lt;&gt;")&lt;=5,32,IF(COUNTIF('Résultats des tournois'!$B14:'Résultats des tournois'!Q14,"&lt;&gt;")&lt;=15,24,16))</f>
        <v>24</v>
      </c>
      <c r="R14" s="15">
        <f>IF(COUNTIF('Résultats des tournois'!$B14:'Résultats des tournois'!R14,"&lt;&gt;")&lt;=5,32,IF(COUNTIF('Résultats des tournois'!$B14:'Résultats des tournois'!R14,"&lt;&gt;")&lt;=15,24,16))</f>
        <v>24</v>
      </c>
      <c r="S14" s="15">
        <f>IF(COUNTIF('Résultats des tournois'!$B14:'Résultats des tournois'!S14,"&lt;&gt;")&lt;=5,32,IF(COUNTIF('Résultats des tournois'!$B14:'Résultats des tournois'!S14,"&lt;&gt;")&lt;=15,24,16))</f>
        <v>24</v>
      </c>
      <c r="T14" s="15">
        <f>IF(COUNTIF('Résultats des tournois'!$B14:'Résultats des tournois'!T14,"&lt;&gt;")&lt;=5,32,IF(COUNTIF('Résultats des tournois'!$B14:'Résultats des tournois'!T14,"&lt;&gt;")&lt;=15,24,16))</f>
        <v>24</v>
      </c>
      <c r="U14" s="15">
        <f>IF(COUNTIF('Résultats des tournois'!$B14:'Résultats des tournois'!U14,"&lt;&gt;")&lt;=5,32,IF(COUNTIF('Résultats des tournois'!$B14:'Résultats des tournois'!U14,"&lt;&gt;")&lt;=15,24,16))</f>
        <v>24</v>
      </c>
      <c r="V14" s="15">
        <f>IF(COUNTIF('Résultats des tournois'!$B14:'Résultats des tournois'!V14,"&lt;&gt;")&lt;=5,32,IF(COUNTIF('Résultats des tournois'!$B14:'Résultats des tournois'!V14,"&lt;&gt;")&lt;=15,24,16))</f>
        <v>24</v>
      </c>
      <c r="W14" s="15">
        <f>IF(COUNTIF('Résultats des tournois'!$B14:'Résultats des tournois'!W14,"&lt;&gt;")&lt;=5,32,IF(COUNTIF('Résultats des tournois'!$B14:'Résultats des tournois'!W14,"&lt;&gt;")&lt;=15,24,16))</f>
        <v>24</v>
      </c>
      <c r="X14" s="15">
        <f>IF(COUNTIF('Résultats des tournois'!$B14:'Résultats des tournois'!X14,"&lt;&gt;")&lt;=5,32,IF(COUNTIF('Résultats des tournois'!$B14:'Résultats des tournois'!X14,"&lt;&gt;")&lt;=15,24,16))</f>
        <v>24</v>
      </c>
      <c r="Y14" s="15">
        <f>IF(COUNTIF('Résultats des tournois'!$B14:'Résultats des tournois'!Y14,"&lt;&gt;")&lt;=5,32,IF(COUNTIF('Résultats des tournois'!$B14:'Résultats des tournois'!Y14,"&lt;&gt;")&lt;=15,24,16))</f>
        <v>24</v>
      </c>
      <c r="Z14" s="15">
        <f>IF(COUNTIF('Résultats des tournois'!$B14:'Résultats des tournois'!Z14,"&lt;&gt;")&lt;=5,32,IF(COUNTIF('Résultats des tournois'!$B14:'Résultats des tournois'!Z14,"&lt;&gt;")&lt;=15,24,16))</f>
        <v>24</v>
      </c>
      <c r="AA14" s="15">
        <f>IF(COUNTIF('Résultats des tournois'!$B14:'Résultats des tournois'!AA14,"&lt;&gt;")&lt;=5,32,IF(COUNTIF('Résultats des tournois'!$B14:'Résultats des tournois'!AA14,"&lt;&gt;")&lt;=15,24,16))</f>
        <v>24</v>
      </c>
      <c r="AB14" s="15">
        <f>IF(COUNTIF('Résultats des tournois'!$B14:'Résultats des tournois'!AB14,"&lt;&gt;")&lt;=5,32,IF(COUNTIF('Résultats des tournois'!$B14:'Résultats des tournois'!AB14,"&lt;&gt;")&lt;=15,24,16))</f>
        <v>24</v>
      </c>
      <c r="AC14" s="15">
        <f>IF(COUNTIF('Résultats des tournois'!$B14:'Résultats des tournois'!AC14,"&lt;&gt;")&lt;=5,32,IF(COUNTIF('Résultats des tournois'!$B14:'Résultats des tournois'!AC14,"&lt;&gt;")&lt;=15,24,16))</f>
        <v>24</v>
      </c>
      <c r="AD14" s="15">
        <f>IF(COUNTIF('Résultats des tournois'!$B14:'Résultats des tournois'!AD14,"&lt;&gt;")&lt;=5,32,IF(COUNTIF('Résultats des tournois'!$B14:'Résultats des tournois'!AD14,"&lt;&gt;")&lt;=15,24,16))</f>
        <v>24</v>
      </c>
      <c r="AE14" s="15">
        <f>IF(COUNTIF('Résultats des tournois'!$B14:'Résultats des tournois'!AE14,"&lt;&gt;")&lt;=5,32,IF(COUNTIF('Résultats des tournois'!$B14:'Résultats des tournois'!AE14,"&lt;&gt;")&lt;=15,24,16))</f>
        <v>24</v>
      </c>
      <c r="AF14" s="15">
        <f>IF(COUNTIF('Résultats des tournois'!$B14:'Résultats des tournois'!AF14,"&lt;&gt;")&lt;=5,32,IF(COUNTIF('Résultats des tournois'!$B14:'Résultats des tournois'!AF14,"&lt;&gt;")&lt;=15,24,16))</f>
        <v>24</v>
      </c>
      <c r="AG14" s="15">
        <f>IF(COUNTIF('Résultats des tournois'!$B14:'Résultats des tournois'!AG14,"&lt;&gt;")&lt;=5,32,IF(COUNTIF('Résultats des tournois'!$B14:'Résultats des tournois'!AG14,"&lt;&gt;")&lt;=15,24,16))</f>
        <v>24</v>
      </c>
      <c r="AH14" s="15">
        <f>IF(COUNTIF('Résultats des tournois'!$B14:'Résultats des tournois'!AH14,"&lt;&gt;")&lt;=5,32,IF(COUNTIF('Résultats des tournois'!$B14:'Résultats des tournois'!AH14,"&lt;&gt;")&lt;=15,24,16))</f>
        <v>24</v>
      </c>
      <c r="AI14" s="15">
        <f>IF(COUNTIF('Résultats des tournois'!$B14:'Résultats des tournois'!AI14,"&lt;&gt;")&lt;=5,32,IF(COUNTIF('Résultats des tournois'!$B14:'Résultats des tournois'!AI14,"&lt;&gt;")&lt;=15,24,16))</f>
        <v>24</v>
      </c>
      <c r="AJ14" s="15">
        <f>IF(COUNTIF('Résultats des tournois'!$B14:'Résultats des tournois'!AJ14,"&lt;&gt;")&lt;=5,32,IF(COUNTIF('Résultats des tournois'!$B14:'Résultats des tournois'!AJ14,"&lt;&gt;")&lt;=15,24,16))</f>
        <v>24</v>
      </c>
      <c r="AK14" s="15">
        <f>IF(COUNTIF('Résultats des tournois'!$B14:'Résultats des tournois'!AK14,"&lt;&gt;")&lt;=5,32,IF(COUNTIF('Résultats des tournois'!$B14:'Résultats des tournois'!AK14,"&lt;&gt;")&lt;=15,24,16))</f>
        <v>24</v>
      </c>
      <c r="AL14" s="15">
        <f>IF(COUNTIF('Résultats des tournois'!$B14:'Résultats des tournois'!AL14,"&lt;&gt;")&lt;=5,32,IF(COUNTIF('Résultats des tournois'!$B14:'Résultats des tournois'!AL14,"&lt;&gt;")&lt;=15,24,16))</f>
        <v>24</v>
      </c>
      <c r="AM14" s="15">
        <f>IF(COUNTIF('Résultats des tournois'!$B14:'Résultats des tournois'!AM14,"&lt;&gt;")&lt;=5,32,IF(COUNTIF('Résultats des tournois'!$B14:'Résultats des tournois'!AM14,"&lt;&gt;")&lt;=15,24,16))</f>
        <v>24</v>
      </c>
      <c r="AN14" s="15">
        <f>IF(COUNTIF('Résultats des tournois'!$B14:'Résultats des tournois'!AN14,"&lt;&gt;")&lt;=5,32,IF(COUNTIF('Résultats des tournois'!$B14:'Résultats des tournois'!AN14,"&lt;&gt;")&lt;=15,24,16))</f>
        <v>24</v>
      </c>
      <c r="AO14" s="15">
        <f>IF(COUNTIF('Résultats des tournois'!$B14:'Résultats des tournois'!AO14,"&lt;&gt;")&lt;=5,32,IF(COUNTIF('Résultats des tournois'!$B14:'Résultats des tournois'!AO14,"&lt;&gt;")&lt;=15,24,16))</f>
        <v>24</v>
      </c>
      <c r="AP14" s="15">
        <f>IF(COUNTIF('Résultats des tournois'!$B14:'Résultats des tournois'!AP14,"&lt;&gt;")&lt;=5,32,IF(COUNTIF('Résultats des tournois'!$B14:'Résultats des tournois'!AP14,"&lt;&gt;")&lt;=15,24,16))</f>
        <v>24</v>
      </c>
      <c r="AQ14" s="15">
        <f>IF(COUNTIF('Résultats des tournois'!$B14:'Résultats des tournois'!AQ14,"&lt;&gt;")&lt;=5,32,IF(COUNTIF('Résultats des tournois'!$B14:'Résultats des tournois'!AQ14,"&lt;&gt;")&lt;=15,24,16))</f>
        <v>24</v>
      </c>
      <c r="AR14" s="15">
        <f>IF(COUNTIF('Résultats des tournois'!$B14:'Résultats des tournois'!AR14,"&lt;&gt;")&lt;=5,32,IF(COUNTIF('Résultats des tournois'!$B14:'Résultats des tournois'!AR14,"&lt;&gt;")&lt;=15,24,16))</f>
        <v>24</v>
      </c>
      <c r="AS14" s="15">
        <f>IF(COUNTIF('Résultats des tournois'!$B14:'Résultats des tournois'!AS14,"&lt;&gt;")&lt;=5,32,IF(COUNTIF('Résultats des tournois'!$B14:'Résultats des tournois'!AS14,"&lt;&gt;")&lt;=15,24,16))</f>
        <v>24</v>
      </c>
      <c r="AT14" s="15">
        <f>IF(COUNTIF('Résultats des tournois'!$B14:'Résultats des tournois'!AT14,"&lt;&gt;")&lt;=5,32,IF(COUNTIF('Résultats des tournois'!$B14:'Résultats des tournois'!AT14,"&lt;&gt;")&lt;=15,24,16))</f>
        <v>24</v>
      </c>
      <c r="AU14" s="15">
        <f>IF(COUNTIF('Résultats des tournois'!$B14:'Résultats des tournois'!AU14,"&lt;&gt;")&lt;=5,32,IF(COUNTIF('Résultats des tournois'!$B14:'Résultats des tournois'!AU14,"&lt;&gt;")&lt;=15,24,16))</f>
        <v>24</v>
      </c>
      <c r="AV14" s="15">
        <f>IF(COUNTIF('Résultats des tournois'!$B14:'Résultats des tournois'!AV14,"&lt;&gt;")&lt;=5,32,IF(COUNTIF('Résultats des tournois'!$B14:'Résultats des tournois'!AV14,"&lt;&gt;")&lt;=15,24,16))</f>
        <v>24</v>
      </c>
      <c r="AW14" s="15">
        <f>IF(COUNTIF('Résultats des tournois'!$B14:'Résultats des tournois'!AW14,"&lt;&gt;")&lt;=5,32,IF(COUNTIF('Résultats des tournois'!$B14:'Résultats des tournois'!AW14,"&lt;&gt;")&lt;=15,24,16))</f>
        <v>24</v>
      </c>
      <c r="AX14" s="15">
        <f>IF(COUNTIF('Résultats des tournois'!$B14:'Résultats des tournois'!AX14,"&lt;&gt;")&lt;=5,32,IF(COUNTIF('Résultats des tournois'!$B14:'Résultats des tournois'!AX14,"&lt;&gt;")&lt;=15,24,16))</f>
        <v>24</v>
      </c>
    </row>
    <row r="15" ht="14.25" customHeight="1">
      <c r="A15" s="15" t="str">
        <f>IF('Résultats des tournois'!A15="","",'Résultats des tournois'!A15)</f>
        <v>Nicolas</v>
      </c>
      <c r="B15" s="15">
        <f>IF(COUNTIF('Résultats des tournois'!B15,"&lt;&gt;")&lt;=5,32,IF(COUNTIF('Résultats des tournois'!B15,"&lt;&gt;")&lt;=15,24,16))</f>
        <v>32</v>
      </c>
      <c r="C15" s="15">
        <f>IF(COUNTIF('Résultats des tournois'!$B15:'Résultats des tournois'!C15,"&lt;&gt;")&lt;=5,32,IF(COUNTIF('Résultats des tournois'!$B15:'Résultats des tournois'!C15,"&lt;&gt;")&lt;=15,24,16))</f>
        <v>32</v>
      </c>
      <c r="D15" s="15">
        <f>IF(COUNTIF('Résultats des tournois'!$B15:'Résultats des tournois'!D15,"&lt;&gt;")&lt;=5,32,IF(COUNTIF('Résultats des tournois'!$B15:'Résultats des tournois'!D15,"&lt;&gt;")&lt;=15,24,16))</f>
        <v>32</v>
      </c>
      <c r="E15" s="15">
        <f>IF(COUNTIF('Résultats des tournois'!$B15:'Résultats des tournois'!E15,"&lt;&gt;")&lt;=5,32,IF(COUNTIF('Résultats des tournois'!$B15:'Résultats des tournois'!E15,"&lt;&gt;")&lt;=15,24,16))</f>
        <v>32</v>
      </c>
      <c r="F15" s="15">
        <f>IF(COUNTIF('Résultats des tournois'!$B15:'Résultats des tournois'!F15,"&lt;&gt;")&lt;=5,32,IF(COUNTIF('Résultats des tournois'!$B15:'Résultats des tournois'!F15,"&lt;&gt;")&lt;=15,24,16))</f>
        <v>32</v>
      </c>
      <c r="G15" s="15">
        <f>IF(COUNTIF('Résultats des tournois'!$B15:'Résultats des tournois'!G15,"&lt;&gt;")&lt;=5,32,IF(COUNTIF('Résultats des tournois'!$B15:'Résultats des tournois'!G15,"&lt;&gt;")&lt;=15,24,16))</f>
        <v>32</v>
      </c>
      <c r="H15" s="15">
        <f>IF(COUNTIF('Résultats des tournois'!$B15:'Résultats des tournois'!H15,"&lt;&gt;")&lt;=5,32,IF(COUNTIF('Résultats des tournois'!$B15:'Résultats des tournois'!H15,"&lt;&gt;")&lt;=15,24,16))</f>
        <v>24</v>
      </c>
      <c r="I15" s="15">
        <f>IF(COUNTIF('Résultats des tournois'!$B15:'Résultats des tournois'!I15,"&lt;&gt;")&lt;=5,32,IF(COUNTIF('Résultats des tournois'!$B15:'Résultats des tournois'!I15,"&lt;&gt;")&lt;=15,24,16))</f>
        <v>24</v>
      </c>
      <c r="J15" s="15">
        <f>IF(COUNTIF('Résultats des tournois'!$B15:'Résultats des tournois'!J15,"&lt;&gt;")&lt;=5,32,IF(COUNTIF('Résultats des tournois'!$B15:'Résultats des tournois'!J15,"&lt;&gt;")&lt;=15,24,16))</f>
        <v>24</v>
      </c>
      <c r="K15" s="15">
        <f>IF(COUNTIF('Résultats des tournois'!$B15:'Résultats des tournois'!K15,"&lt;&gt;")&lt;=5,32,IF(COUNTIF('Résultats des tournois'!$B15:'Résultats des tournois'!K15,"&lt;&gt;")&lt;=15,24,16))</f>
        <v>24</v>
      </c>
      <c r="L15" s="15">
        <f>IF(COUNTIF('Résultats des tournois'!$B15:'Résultats des tournois'!L15,"&lt;&gt;")&lt;=5,32,IF(COUNTIF('Résultats des tournois'!$B15:'Résultats des tournois'!L15,"&lt;&gt;")&lt;=15,24,16))</f>
        <v>24</v>
      </c>
      <c r="M15" s="15">
        <f>IF(COUNTIF('Résultats des tournois'!$B15:'Résultats des tournois'!M15,"&lt;&gt;")&lt;=5,32,IF(COUNTIF('Résultats des tournois'!$B15:'Résultats des tournois'!M15,"&lt;&gt;")&lt;=15,24,16))</f>
        <v>24</v>
      </c>
      <c r="N15" s="15">
        <f>IF(COUNTIF('Résultats des tournois'!$B15:'Résultats des tournois'!N15,"&lt;&gt;")&lt;=5,32,IF(COUNTIF('Résultats des tournois'!$B15:'Résultats des tournois'!N15,"&lt;&gt;")&lt;=15,24,16))</f>
        <v>24</v>
      </c>
      <c r="O15" s="15">
        <f>IF(COUNTIF('Résultats des tournois'!$B15:'Résultats des tournois'!O15,"&lt;&gt;")&lt;=5,32,IF(COUNTIF('Résultats des tournois'!$B15:'Résultats des tournois'!O15,"&lt;&gt;")&lt;=15,24,16))</f>
        <v>24</v>
      </c>
      <c r="P15" s="15">
        <f>IF(COUNTIF('Résultats des tournois'!$B15:'Résultats des tournois'!P15,"&lt;&gt;")&lt;=5,32,IF(COUNTIF('Résultats des tournois'!$B15:'Résultats des tournois'!P15,"&lt;&gt;")&lt;=15,24,16))</f>
        <v>24</v>
      </c>
      <c r="Q15" s="15">
        <f>IF(COUNTIF('Résultats des tournois'!$B15:'Résultats des tournois'!Q15,"&lt;&gt;")&lt;=5,32,IF(COUNTIF('Résultats des tournois'!$B15:'Résultats des tournois'!Q15,"&lt;&gt;")&lt;=15,24,16))</f>
        <v>24</v>
      </c>
      <c r="R15" s="15">
        <f>IF(COUNTIF('Résultats des tournois'!$B15:'Résultats des tournois'!R15,"&lt;&gt;")&lt;=5,32,IF(COUNTIF('Résultats des tournois'!$B15:'Résultats des tournois'!R15,"&lt;&gt;")&lt;=15,24,16))</f>
        <v>24</v>
      </c>
      <c r="S15" s="15">
        <f>IF(COUNTIF('Résultats des tournois'!$B15:'Résultats des tournois'!S15,"&lt;&gt;")&lt;=5,32,IF(COUNTIF('Résultats des tournois'!$B15:'Résultats des tournois'!S15,"&lt;&gt;")&lt;=15,24,16))</f>
        <v>24</v>
      </c>
      <c r="T15" s="15">
        <f>IF(COUNTIF('Résultats des tournois'!$B15:'Résultats des tournois'!T15,"&lt;&gt;")&lt;=5,32,IF(COUNTIF('Résultats des tournois'!$B15:'Résultats des tournois'!T15,"&lt;&gt;")&lt;=15,24,16))</f>
        <v>24</v>
      </c>
      <c r="U15" s="15">
        <f>IF(COUNTIF('Résultats des tournois'!$B15:'Résultats des tournois'!U15,"&lt;&gt;")&lt;=5,32,IF(COUNTIF('Résultats des tournois'!$B15:'Résultats des tournois'!U15,"&lt;&gt;")&lt;=15,24,16))</f>
        <v>24</v>
      </c>
      <c r="V15" s="15">
        <f>IF(COUNTIF('Résultats des tournois'!$B15:'Résultats des tournois'!V15,"&lt;&gt;")&lt;=5,32,IF(COUNTIF('Résultats des tournois'!$B15:'Résultats des tournois'!V15,"&lt;&gt;")&lt;=15,24,16))</f>
        <v>24</v>
      </c>
      <c r="W15" s="15">
        <f>IF(COUNTIF('Résultats des tournois'!$B15:'Résultats des tournois'!W15,"&lt;&gt;")&lt;=5,32,IF(COUNTIF('Résultats des tournois'!$B15:'Résultats des tournois'!W15,"&lt;&gt;")&lt;=15,24,16))</f>
        <v>24</v>
      </c>
      <c r="X15" s="15">
        <f>IF(COUNTIF('Résultats des tournois'!$B15:'Résultats des tournois'!X15,"&lt;&gt;")&lt;=5,32,IF(COUNTIF('Résultats des tournois'!$B15:'Résultats des tournois'!X15,"&lt;&gt;")&lt;=15,24,16))</f>
        <v>24</v>
      </c>
      <c r="Y15" s="15">
        <f>IF(COUNTIF('Résultats des tournois'!$B15:'Résultats des tournois'!Y15,"&lt;&gt;")&lt;=5,32,IF(COUNTIF('Résultats des tournois'!$B15:'Résultats des tournois'!Y15,"&lt;&gt;")&lt;=15,24,16))</f>
        <v>24</v>
      </c>
      <c r="Z15" s="15">
        <f>IF(COUNTIF('Résultats des tournois'!$B15:'Résultats des tournois'!Z15,"&lt;&gt;")&lt;=5,32,IF(COUNTIF('Résultats des tournois'!$B15:'Résultats des tournois'!Z15,"&lt;&gt;")&lt;=15,24,16))</f>
        <v>24</v>
      </c>
      <c r="AA15" s="15">
        <f>IF(COUNTIF('Résultats des tournois'!$B15:'Résultats des tournois'!AA15,"&lt;&gt;")&lt;=5,32,IF(COUNTIF('Résultats des tournois'!$B15:'Résultats des tournois'!AA15,"&lt;&gt;")&lt;=15,24,16))</f>
        <v>24</v>
      </c>
      <c r="AB15" s="15">
        <f>IF(COUNTIF('Résultats des tournois'!$B15:'Résultats des tournois'!AB15,"&lt;&gt;")&lt;=5,32,IF(COUNTIF('Résultats des tournois'!$B15:'Résultats des tournois'!AB15,"&lt;&gt;")&lt;=15,24,16))</f>
        <v>24</v>
      </c>
      <c r="AC15" s="15">
        <f>IF(COUNTIF('Résultats des tournois'!$B15:'Résultats des tournois'!AC15,"&lt;&gt;")&lt;=5,32,IF(COUNTIF('Résultats des tournois'!$B15:'Résultats des tournois'!AC15,"&lt;&gt;")&lt;=15,24,16))</f>
        <v>24</v>
      </c>
      <c r="AD15" s="15">
        <f>IF(COUNTIF('Résultats des tournois'!$B15:'Résultats des tournois'!AD15,"&lt;&gt;")&lt;=5,32,IF(COUNTIF('Résultats des tournois'!$B15:'Résultats des tournois'!AD15,"&lt;&gt;")&lt;=15,24,16))</f>
        <v>24</v>
      </c>
      <c r="AE15" s="15">
        <f>IF(COUNTIF('Résultats des tournois'!$B15:'Résultats des tournois'!AE15,"&lt;&gt;")&lt;=5,32,IF(COUNTIF('Résultats des tournois'!$B15:'Résultats des tournois'!AE15,"&lt;&gt;")&lt;=15,24,16))</f>
        <v>24</v>
      </c>
      <c r="AF15" s="15">
        <f>IF(COUNTIF('Résultats des tournois'!$B15:'Résultats des tournois'!AF15,"&lt;&gt;")&lt;=5,32,IF(COUNTIF('Résultats des tournois'!$B15:'Résultats des tournois'!AF15,"&lt;&gt;")&lt;=15,24,16))</f>
        <v>24</v>
      </c>
      <c r="AG15" s="15">
        <f>IF(COUNTIF('Résultats des tournois'!$B15:'Résultats des tournois'!AG15,"&lt;&gt;")&lt;=5,32,IF(COUNTIF('Résultats des tournois'!$B15:'Résultats des tournois'!AG15,"&lt;&gt;")&lt;=15,24,16))</f>
        <v>24</v>
      </c>
      <c r="AH15" s="15">
        <f>IF(COUNTIF('Résultats des tournois'!$B15:'Résultats des tournois'!AH15,"&lt;&gt;")&lt;=5,32,IF(COUNTIF('Résultats des tournois'!$B15:'Résultats des tournois'!AH15,"&lt;&gt;")&lt;=15,24,16))</f>
        <v>24</v>
      </c>
      <c r="AI15" s="15">
        <f>IF(COUNTIF('Résultats des tournois'!$B15:'Résultats des tournois'!AI15,"&lt;&gt;")&lt;=5,32,IF(COUNTIF('Résultats des tournois'!$B15:'Résultats des tournois'!AI15,"&lt;&gt;")&lt;=15,24,16))</f>
        <v>24</v>
      </c>
      <c r="AJ15" s="15">
        <f>IF(COUNTIF('Résultats des tournois'!$B15:'Résultats des tournois'!AJ15,"&lt;&gt;")&lt;=5,32,IF(COUNTIF('Résultats des tournois'!$B15:'Résultats des tournois'!AJ15,"&lt;&gt;")&lt;=15,24,16))</f>
        <v>24</v>
      </c>
      <c r="AK15" s="15">
        <f>IF(COUNTIF('Résultats des tournois'!$B15:'Résultats des tournois'!AK15,"&lt;&gt;")&lt;=5,32,IF(COUNTIF('Résultats des tournois'!$B15:'Résultats des tournois'!AK15,"&lt;&gt;")&lt;=15,24,16))</f>
        <v>24</v>
      </c>
      <c r="AL15" s="15">
        <f>IF(COUNTIF('Résultats des tournois'!$B15:'Résultats des tournois'!AL15,"&lt;&gt;")&lt;=5,32,IF(COUNTIF('Résultats des tournois'!$B15:'Résultats des tournois'!AL15,"&lt;&gt;")&lt;=15,24,16))</f>
        <v>24</v>
      </c>
      <c r="AM15" s="15">
        <f>IF(COUNTIF('Résultats des tournois'!$B15:'Résultats des tournois'!AM15,"&lt;&gt;")&lt;=5,32,IF(COUNTIF('Résultats des tournois'!$B15:'Résultats des tournois'!AM15,"&lt;&gt;")&lt;=15,24,16))</f>
        <v>24</v>
      </c>
      <c r="AN15" s="15">
        <f>IF(COUNTIF('Résultats des tournois'!$B15:'Résultats des tournois'!AN15,"&lt;&gt;")&lt;=5,32,IF(COUNTIF('Résultats des tournois'!$B15:'Résultats des tournois'!AN15,"&lt;&gt;")&lt;=15,24,16))</f>
        <v>24</v>
      </c>
      <c r="AO15" s="15">
        <f>IF(COUNTIF('Résultats des tournois'!$B15:'Résultats des tournois'!AO15,"&lt;&gt;")&lt;=5,32,IF(COUNTIF('Résultats des tournois'!$B15:'Résultats des tournois'!AO15,"&lt;&gt;")&lt;=15,24,16))</f>
        <v>24</v>
      </c>
      <c r="AP15" s="15">
        <f>IF(COUNTIF('Résultats des tournois'!$B15:'Résultats des tournois'!AP15,"&lt;&gt;")&lt;=5,32,IF(COUNTIF('Résultats des tournois'!$B15:'Résultats des tournois'!AP15,"&lt;&gt;")&lt;=15,24,16))</f>
        <v>24</v>
      </c>
      <c r="AQ15" s="15">
        <f>IF(COUNTIF('Résultats des tournois'!$B15:'Résultats des tournois'!AQ15,"&lt;&gt;")&lt;=5,32,IF(COUNTIF('Résultats des tournois'!$B15:'Résultats des tournois'!AQ15,"&lt;&gt;")&lt;=15,24,16))</f>
        <v>24</v>
      </c>
      <c r="AR15" s="15">
        <f>IF(COUNTIF('Résultats des tournois'!$B15:'Résultats des tournois'!AR15,"&lt;&gt;")&lt;=5,32,IF(COUNTIF('Résultats des tournois'!$B15:'Résultats des tournois'!AR15,"&lt;&gt;")&lt;=15,24,16))</f>
        <v>24</v>
      </c>
      <c r="AS15" s="15">
        <f>IF(COUNTIF('Résultats des tournois'!$B15:'Résultats des tournois'!AS15,"&lt;&gt;")&lt;=5,32,IF(COUNTIF('Résultats des tournois'!$B15:'Résultats des tournois'!AS15,"&lt;&gt;")&lt;=15,24,16))</f>
        <v>24</v>
      </c>
      <c r="AT15" s="15">
        <f>IF(COUNTIF('Résultats des tournois'!$B15:'Résultats des tournois'!AT15,"&lt;&gt;")&lt;=5,32,IF(COUNTIF('Résultats des tournois'!$B15:'Résultats des tournois'!AT15,"&lt;&gt;")&lt;=15,24,16))</f>
        <v>24</v>
      </c>
      <c r="AU15" s="15">
        <f>IF(COUNTIF('Résultats des tournois'!$B15:'Résultats des tournois'!AU15,"&lt;&gt;")&lt;=5,32,IF(COUNTIF('Résultats des tournois'!$B15:'Résultats des tournois'!AU15,"&lt;&gt;")&lt;=15,24,16))</f>
        <v>24</v>
      </c>
      <c r="AV15" s="15">
        <f>IF(COUNTIF('Résultats des tournois'!$B15:'Résultats des tournois'!AV15,"&lt;&gt;")&lt;=5,32,IF(COUNTIF('Résultats des tournois'!$B15:'Résultats des tournois'!AV15,"&lt;&gt;")&lt;=15,24,16))</f>
        <v>24</v>
      </c>
      <c r="AW15" s="15">
        <f>IF(COUNTIF('Résultats des tournois'!$B15:'Résultats des tournois'!AW15,"&lt;&gt;")&lt;=5,32,IF(COUNTIF('Résultats des tournois'!$B15:'Résultats des tournois'!AW15,"&lt;&gt;")&lt;=15,24,16))</f>
        <v>24</v>
      </c>
      <c r="AX15" s="15">
        <f>IF(COUNTIF('Résultats des tournois'!$B15:'Résultats des tournois'!AX15,"&lt;&gt;")&lt;=5,32,IF(COUNTIF('Résultats des tournois'!$B15:'Résultats des tournois'!AX15,"&lt;&gt;")&lt;=15,24,16))</f>
        <v>24</v>
      </c>
    </row>
    <row r="16" ht="14.25" customHeight="1">
      <c r="A16" s="15" t="str">
        <f>IF('Résultats des tournois'!A16="","",'Résultats des tournois'!A16)</f>
        <v>Patrice</v>
      </c>
      <c r="B16" s="15">
        <f>IF(COUNTIF('Résultats des tournois'!B16,"&lt;&gt;")&lt;=5,32,IF(COUNTIF('Résultats des tournois'!B16,"&lt;&gt;")&lt;=15,24,16))</f>
        <v>32</v>
      </c>
      <c r="C16" s="15">
        <f>IF(COUNTIF('Résultats des tournois'!$B16:'Résultats des tournois'!C16,"&lt;&gt;")&lt;=5,32,IF(COUNTIF('Résultats des tournois'!$B16:'Résultats des tournois'!C16,"&lt;&gt;")&lt;=15,24,16))</f>
        <v>32</v>
      </c>
      <c r="D16" s="15">
        <f>IF(COUNTIF('Résultats des tournois'!$B16:'Résultats des tournois'!D16,"&lt;&gt;")&lt;=5,32,IF(COUNTIF('Résultats des tournois'!$B16:'Résultats des tournois'!D16,"&lt;&gt;")&lt;=15,24,16))</f>
        <v>32</v>
      </c>
      <c r="E16" s="15">
        <f>IF(COUNTIF('Résultats des tournois'!$B16:'Résultats des tournois'!E16,"&lt;&gt;")&lt;=5,32,IF(COUNTIF('Résultats des tournois'!$B16:'Résultats des tournois'!E16,"&lt;&gt;")&lt;=15,24,16))</f>
        <v>32</v>
      </c>
      <c r="F16" s="15">
        <f>IF(COUNTIF('Résultats des tournois'!$B16:'Résultats des tournois'!F16,"&lt;&gt;")&lt;=5,32,IF(COUNTIF('Résultats des tournois'!$B16:'Résultats des tournois'!F16,"&lt;&gt;")&lt;=15,24,16))</f>
        <v>32</v>
      </c>
      <c r="G16" s="15">
        <f>IF(COUNTIF('Résultats des tournois'!$B16:'Résultats des tournois'!G16,"&lt;&gt;")&lt;=5,32,IF(COUNTIF('Résultats des tournois'!$B16:'Résultats des tournois'!G16,"&lt;&gt;")&lt;=15,24,16))</f>
        <v>24</v>
      </c>
      <c r="H16" s="15">
        <f>IF(COUNTIF('Résultats des tournois'!$B16:'Résultats des tournois'!H16,"&lt;&gt;")&lt;=5,32,IF(COUNTIF('Résultats des tournois'!$B16:'Résultats des tournois'!H16,"&lt;&gt;")&lt;=15,24,16))</f>
        <v>24</v>
      </c>
      <c r="I16" s="15">
        <f>IF(COUNTIF('Résultats des tournois'!$B16:'Résultats des tournois'!I16,"&lt;&gt;")&lt;=5,32,IF(COUNTIF('Résultats des tournois'!$B16:'Résultats des tournois'!I16,"&lt;&gt;")&lt;=15,24,16))</f>
        <v>24</v>
      </c>
      <c r="J16" s="15">
        <f>IF(COUNTIF('Résultats des tournois'!$B16:'Résultats des tournois'!J16,"&lt;&gt;")&lt;=5,32,IF(COUNTIF('Résultats des tournois'!$B16:'Résultats des tournois'!J16,"&lt;&gt;")&lt;=15,24,16))</f>
        <v>24</v>
      </c>
      <c r="K16" s="15">
        <f>IF(COUNTIF('Résultats des tournois'!$B16:'Résultats des tournois'!K16,"&lt;&gt;")&lt;=5,32,IF(COUNTIF('Résultats des tournois'!$B16:'Résultats des tournois'!K16,"&lt;&gt;")&lt;=15,24,16))</f>
        <v>24</v>
      </c>
      <c r="L16" s="15">
        <f>IF(COUNTIF('Résultats des tournois'!$B16:'Résultats des tournois'!L16,"&lt;&gt;")&lt;=5,32,IF(COUNTIF('Résultats des tournois'!$B16:'Résultats des tournois'!L16,"&lt;&gt;")&lt;=15,24,16))</f>
        <v>24</v>
      </c>
      <c r="M16" s="15">
        <f>IF(COUNTIF('Résultats des tournois'!$B16:'Résultats des tournois'!M16,"&lt;&gt;")&lt;=5,32,IF(COUNTIF('Résultats des tournois'!$B16:'Résultats des tournois'!M16,"&lt;&gt;")&lt;=15,24,16))</f>
        <v>24</v>
      </c>
      <c r="N16" s="15">
        <f>IF(COUNTIF('Résultats des tournois'!$B16:'Résultats des tournois'!N16,"&lt;&gt;")&lt;=5,32,IF(COUNTIF('Résultats des tournois'!$B16:'Résultats des tournois'!N16,"&lt;&gt;")&lt;=15,24,16))</f>
        <v>24</v>
      </c>
      <c r="O16" s="15">
        <f>IF(COUNTIF('Résultats des tournois'!$B16:'Résultats des tournois'!O16,"&lt;&gt;")&lt;=5,32,IF(COUNTIF('Résultats des tournois'!$B16:'Résultats des tournois'!O16,"&lt;&gt;")&lt;=15,24,16))</f>
        <v>24</v>
      </c>
      <c r="P16" s="15">
        <f>IF(COUNTIF('Résultats des tournois'!$B16:'Résultats des tournois'!P16,"&lt;&gt;")&lt;=5,32,IF(COUNTIF('Résultats des tournois'!$B16:'Résultats des tournois'!P16,"&lt;&gt;")&lt;=15,24,16))</f>
        <v>24</v>
      </c>
      <c r="Q16" s="15">
        <f>IF(COUNTIF('Résultats des tournois'!$B16:'Résultats des tournois'!Q16,"&lt;&gt;")&lt;=5,32,IF(COUNTIF('Résultats des tournois'!$B16:'Résultats des tournois'!Q16,"&lt;&gt;")&lt;=15,24,16))</f>
        <v>24</v>
      </c>
      <c r="R16" s="15">
        <f>IF(COUNTIF('Résultats des tournois'!$B16:'Résultats des tournois'!R16,"&lt;&gt;")&lt;=5,32,IF(COUNTIF('Résultats des tournois'!$B16:'Résultats des tournois'!R16,"&lt;&gt;")&lt;=15,24,16))</f>
        <v>24</v>
      </c>
      <c r="S16" s="15">
        <f>IF(COUNTIF('Résultats des tournois'!$B16:'Résultats des tournois'!S16,"&lt;&gt;")&lt;=5,32,IF(COUNTIF('Résultats des tournois'!$B16:'Résultats des tournois'!S16,"&lt;&gt;")&lt;=15,24,16))</f>
        <v>24</v>
      </c>
      <c r="T16" s="15">
        <f>IF(COUNTIF('Résultats des tournois'!$B16:'Résultats des tournois'!T16,"&lt;&gt;")&lt;=5,32,IF(COUNTIF('Résultats des tournois'!$B16:'Résultats des tournois'!T16,"&lt;&gt;")&lt;=15,24,16))</f>
        <v>24</v>
      </c>
      <c r="U16" s="15">
        <f>IF(COUNTIF('Résultats des tournois'!$B16:'Résultats des tournois'!U16,"&lt;&gt;")&lt;=5,32,IF(COUNTIF('Résultats des tournois'!$B16:'Résultats des tournois'!U16,"&lt;&gt;")&lt;=15,24,16))</f>
        <v>24</v>
      </c>
      <c r="V16" s="15">
        <f>IF(COUNTIF('Résultats des tournois'!$B16:'Résultats des tournois'!V16,"&lt;&gt;")&lt;=5,32,IF(COUNTIF('Résultats des tournois'!$B16:'Résultats des tournois'!V16,"&lt;&gt;")&lt;=15,24,16))</f>
        <v>24</v>
      </c>
      <c r="W16" s="15">
        <f>IF(COUNTIF('Résultats des tournois'!$B16:'Résultats des tournois'!W16,"&lt;&gt;")&lt;=5,32,IF(COUNTIF('Résultats des tournois'!$B16:'Résultats des tournois'!W16,"&lt;&gt;")&lt;=15,24,16))</f>
        <v>24</v>
      </c>
      <c r="X16" s="15">
        <f>IF(COUNTIF('Résultats des tournois'!$B16:'Résultats des tournois'!X16,"&lt;&gt;")&lt;=5,32,IF(COUNTIF('Résultats des tournois'!$B16:'Résultats des tournois'!X16,"&lt;&gt;")&lt;=15,24,16))</f>
        <v>24</v>
      </c>
      <c r="Y16" s="15">
        <f>IF(COUNTIF('Résultats des tournois'!$B16:'Résultats des tournois'!Y16,"&lt;&gt;")&lt;=5,32,IF(COUNTIF('Résultats des tournois'!$B16:'Résultats des tournois'!Y16,"&lt;&gt;")&lt;=15,24,16))</f>
        <v>24</v>
      </c>
      <c r="Z16" s="15">
        <f>IF(COUNTIF('Résultats des tournois'!$B16:'Résultats des tournois'!Z16,"&lt;&gt;")&lt;=5,32,IF(COUNTIF('Résultats des tournois'!$B16:'Résultats des tournois'!Z16,"&lt;&gt;")&lt;=15,24,16))</f>
        <v>24</v>
      </c>
      <c r="AA16" s="15">
        <f>IF(COUNTIF('Résultats des tournois'!$B16:'Résultats des tournois'!AA16,"&lt;&gt;")&lt;=5,32,IF(COUNTIF('Résultats des tournois'!$B16:'Résultats des tournois'!AA16,"&lt;&gt;")&lt;=15,24,16))</f>
        <v>24</v>
      </c>
      <c r="AB16" s="15">
        <f>IF(COUNTIF('Résultats des tournois'!$B16:'Résultats des tournois'!AB16,"&lt;&gt;")&lt;=5,32,IF(COUNTIF('Résultats des tournois'!$B16:'Résultats des tournois'!AB16,"&lt;&gt;")&lt;=15,24,16))</f>
        <v>24</v>
      </c>
      <c r="AC16" s="15">
        <f>IF(COUNTIF('Résultats des tournois'!$B16:'Résultats des tournois'!AC16,"&lt;&gt;")&lt;=5,32,IF(COUNTIF('Résultats des tournois'!$B16:'Résultats des tournois'!AC16,"&lt;&gt;")&lt;=15,24,16))</f>
        <v>24</v>
      </c>
      <c r="AD16" s="15">
        <f>IF(COUNTIF('Résultats des tournois'!$B16:'Résultats des tournois'!AD16,"&lt;&gt;")&lt;=5,32,IF(COUNTIF('Résultats des tournois'!$B16:'Résultats des tournois'!AD16,"&lt;&gt;")&lt;=15,24,16))</f>
        <v>24</v>
      </c>
      <c r="AE16" s="15">
        <f>IF(COUNTIF('Résultats des tournois'!$B16:'Résultats des tournois'!AE16,"&lt;&gt;")&lt;=5,32,IF(COUNTIF('Résultats des tournois'!$B16:'Résultats des tournois'!AE16,"&lt;&gt;")&lt;=15,24,16))</f>
        <v>24</v>
      </c>
      <c r="AF16" s="15">
        <f>IF(COUNTIF('Résultats des tournois'!$B16:'Résultats des tournois'!AF16,"&lt;&gt;")&lt;=5,32,IF(COUNTIF('Résultats des tournois'!$B16:'Résultats des tournois'!AF16,"&lt;&gt;")&lt;=15,24,16))</f>
        <v>24</v>
      </c>
      <c r="AG16" s="15">
        <f>IF(COUNTIF('Résultats des tournois'!$B16:'Résultats des tournois'!AG16,"&lt;&gt;")&lt;=5,32,IF(COUNTIF('Résultats des tournois'!$B16:'Résultats des tournois'!AG16,"&lt;&gt;")&lt;=15,24,16))</f>
        <v>24</v>
      </c>
      <c r="AH16" s="15">
        <f>IF(COUNTIF('Résultats des tournois'!$B16:'Résultats des tournois'!AH16,"&lt;&gt;")&lt;=5,32,IF(COUNTIF('Résultats des tournois'!$B16:'Résultats des tournois'!AH16,"&lt;&gt;")&lt;=15,24,16))</f>
        <v>24</v>
      </c>
      <c r="AI16" s="15">
        <f>IF(COUNTIF('Résultats des tournois'!$B16:'Résultats des tournois'!AI16,"&lt;&gt;")&lt;=5,32,IF(COUNTIF('Résultats des tournois'!$B16:'Résultats des tournois'!AI16,"&lt;&gt;")&lt;=15,24,16))</f>
        <v>24</v>
      </c>
      <c r="AJ16" s="15">
        <f>IF(COUNTIF('Résultats des tournois'!$B16:'Résultats des tournois'!AJ16,"&lt;&gt;")&lt;=5,32,IF(COUNTIF('Résultats des tournois'!$B16:'Résultats des tournois'!AJ16,"&lt;&gt;")&lt;=15,24,16))</f>
        <v>24</v>
      </c>
      <c r="AK16" s="15">
        <f>IF(COUNTIF('Résultats des tournois'!$B16:'Résultats des tournois'!AK16,"&lt;&gt;")&lt;=5,32,IF(COUNTIF('Résultats des tournois'!$B16:'Résultats des tournois'!AK16,"&lt;&gt;")&lt;=15,24,16))</f>
        <v>24</v>
      </c>
      <c r="AL16" s="15">
        <f>IF(COUNTIF('Résultats des tournois'!$B16:'Résultats des tournois'!AL16,"&lt;&gt;")&lt;=5,32,IF(COUNTIF('Résultats des tournois'!$B16:'Résultats des tournois'!AL16,"&lt;&gt;")&lt;=15,24,16))</f>
        <v>24</v>
      </c>
      <c r="AM16" s="15">
        <f>IF(COUNTIF('Résultats des tournois'!$B16:'Résultats des tournois'!AM16,"&lt;&gt;")&lt;=5,32,IF(COUNTIF('Résultats des tournois'!$B16:'Résultats des tournois'!AM16,"&lt;&gt;")&lt;=15,24,16))</f>
        <v>24</v>
      </c>
      <c r="AN16" s="15">
        <f>IF(COUNTIF('Résultats des tournois'!$B16:'Résultats des tournois'!AN16,"&lt;&gt;")&lt;=5,32,IF(COUNTIF('Résultats des tournois'!$B16:'Résultats des tournois'!AN16,"&lt;&gt;")&lt;=15,24,16))</f>
        <v>24</v>
      </c>
      <c r="AO16" s="15">
        <f>IF(COUNTIF('Résultats des tournois'!$B16:'Résultats des tournois'!AO16,"&lt;&gt;")&lt;=5,32,IF(COUNTIF('Résultats des tournois'!$B16:'Résultats des tournois'!AO16,"&lt;&gt;")&lt;=15,24,16))</f>
        <v>24</v>
      </c>
      <c r="AP16" s="15">
        <f>IF(COUNTIF('Résultats des tournois'!$B16:'Résultats des tournois'!AP16,"&lt;&gt;")&lt;=5,32,IF(COUNTIF('Résultats des tournois'!$B16:'Résultats des tournois'!AP16,"&lt;&gt;")&lt;=15,24,16))</f>
        <v>24</v>
      </c>
      <c r="AQ16" s="15">
        <f>IF(COUNTIF('Résultats des tournois'!$B16:'Résultats des tournois'!AQ16,"&lt;&gt;")&lt;=5,32,IF(COUNTIF('Résultats des tournois'!$B16:'Résultats des tournois'!AQ16,"&lt;&gt;")&lt;=15,24,16))</f>
        <v>24</v>
      </c>
      <c r="AR16" s="15">
        <f>IF(COUNTIF('Résultats des tournois'!$B16:'Résultats des tournois'!AR16,"&lt;&gt;")&lt;=5,32,IF(COUNTIF('Résultats des tournois'!$B16:'Résultats des tournois'!AR16,"&lt;&gt;")&lt;=15,24,16))</f>
        <v>24</v>
      </c>
      <c r="AS16" s="15">
        <f>IF(COUNTIF('Résultats des tournois'!$B16:'Résultats des tournois'!AS16,"&lt;&gt;")&lt;=5,32,IF(COUNTIF('Résultats des tournois'!$B16:'Résultats des tournois'!AS16,"&lt;&gt;")&lt;=15,24,16))</f>
        <v>24</v>
      </c>
      <c r="AT16" s="15">
        <f>IF(COUNTIF('Résultats des tournois'!$B16:'Résultats des tournois'!AT16,"&lt;&gt;")&lt;=5,32,IF(COUNTIF('Résultats des tournois'!$B16:'Résultats des tournois'!AT16,"&lt;&gt;")&lt;=15,24,16))</f>
        <v>24</v>
      </c>
      <c r="AU16" s="15">
        <f>IF(COUNTIF('Résultats des tournois'!$B16:'Résultats des tournois'!AU16,"&lt;&gt;")&lt;=5,32,IF(COUNTIF('Résultats des tournois'!$B16:'Résultats des tournois'!AU16,"&lt;&gt;")&lt;=15,24,16))</f>
        <v>24</v>
      </c>
      <c r="AV16" s="15">
        <f>IF(COUNTIF('Résultats des tournois'!$B16:'Résultats des tournois'!AV16,"&lt;&gt;")&lt;=5,32,IF(COUNTIF('Résultats des tournois'!$B16:'Résultats des tournois'!AV16,"&lt;&gt;")&lt;=15,24,16))</f>
        <v>24</v>
      </c>
      <c r="AW16" s="15">
        <f>IF(COUNTIF('Résultats des tournois'!$B16:'Résultats des tournois'!AW16,"&lt;&gt;")&lt;=5,32,IF(COUNTIF('Résultats des tournois'!$B16:'Résultats des tournois'!AW16,"&lt;&gt;")&lt;=15,24,16))</f>
        <v>24</v>
      </c>
      <c r="AX16" s="15">
        <f>IF(COUNTIF('Résultats des tournois'!$B16:'Résultats des tournois'!AX16,"&lt;&gt;")&lt;=5,32,IF(COUNTIF('Résultats des tournois'!$B16:'Résultats des tournois'!AX16,"&lt;&gt;")&lt;=15,24,16))</f>
        <v>24</v>
      </c>
    </row>
    <row r="17" ht="14.25" customHeight="1">
      <c r="A17" s="15" t="str">
        <f>IF('Résultats des tournois'!A17="","",'Résultats des tournois'!A17)</f>
        <v>Phoenix</v>
      </c>
      <c r="B17" s="15">
        <f>IF(COUNTIF('Résultats des tournois'!B17,"&lt;&gt;")&lt;=5,32,IF(COUNTIF('Résultats des tournois'!B17,"&lt;&gt;")&lt;=15,24,16))</f>
        <v>32</v>
      </c>
      <c r="C17" s="15">
        <f>IF(COUNTIF('Résultats des tournois'!$B17:'Résultats des tournois'!C17,"&lt;&gt;")&lt;=5,32,IF(COUNTIF('Résultats des tournois'!$B17:'Résultats des tournois'!C17,"&lt;&gt;")&lt;=15,24,16))</f>
        <v>32</v>
      </c>
      <c r="D17" s="15">
        <f>IF(COUNTIF('Résultats des tournois'!$B17:'Résultats des tournois'!D17,"&lt;&gt;")&lt;=5,32,IF(COUNTIF('Résultats des tournois'!$B17:'Résultats des tournois'!D17,"&lt;&gt;")&lt;=15,24,16))</f>
        <v>32</v>
      </c>
      <c r="E17" s="15">
        <f>IF(COUNTIF('Résultats des tournois'!$B17:'Résultats des tournois'!E17,"&lt;&gt;")&lt;=5,32,IF(COUNTIF('Résultats des tournois'!$B17:'Résultats des tournois'!E17,"&lt;&gt;")&lt;=15,24,16))</f>
        <v>32</v>
      </c>
      <c r="F17" s="15">
        <f>IF(COUNTIF('Résultats des tournois'!$B17:'Résultats des tournois'!F17,"&lt;&gt;")&lt;=5,32,IF(COUNTIF('Résultats des tournois'!$B17:'Résultats des tournois'!F17,"&lt;&gt;")&lt;=15,24,16))</f>
        <v>32</v>
      </c>
      <c r="G17" s="15">
        <f>IF(COUNTIF('Résultats des tournois'!$B17:'Résultats des tournois'!G17,"&lt;&gt;")&lt;=5,32,IF(COUNTIF('Résultats des tournois'!$B17:'Résultats des tournois'!G17,"&lt;&gt;")&lt;=15,24,16))</f>
        <v>24</v>
      </c>
      <c r="H17" s="15">
        <f>IF(COUNTIF('Résultats des tournois'!$B17:'Résultats des tournois'!H17,"&lt;&gt;")&lt;=5,32,IF(COUNTIF('Résultats des tournois'!$B17:'Résultats des tournois'!H17,"&lt;&gt;")&lt;=15,24,16))</f>
        <v>24</v>
      </c>
      <c r="I17" s="15">
        <f>IF(COUNTIF('Résultats des tournois'!$B17:'Résultats des tournois'!I17,"&lt;&gt;")&lt;=5,32,IF(COUNTIF('Résultats des tournois'!$B17:'Résultats des tournois'!I17,"&lt;&gt;")&lt;=15,24,16))</f>
        <v>24</v>
      </c>
      <c r="J17" s="15">
        <f>IF(COUNTIF('Résultats des tournois'!$B17:'Résultats des tournois'!J17,"&lt;&gt;")&lt;=5,32,IF(COUNTIF('Résultats des tournois'!$B17:'Résultats des tournois'!J17,"&lt;&gt;")&lt;=15,24,16))</f>
        <v>24</v>
      </c>
      <c r="K17" s="15">
        <f>IF(COUNTIF('Résultats des tournois'!$B17:'Résultats des tournois'!K17,"&lt;&gt;")&lt;=5,32,IF(COUNTIF('Résultats des tournois'!$B17:'Résultats des tournois'!K17,"&lt;&gt;")&lt;=15,24,16))</f>
        <v>24</v>
      </c>
      <c r="L17" s="15">
        <f>IF(COUNTIF('Résultats des tournois'!$B17:'Résultats des tournois'!L17,"&lt;&gt;")&lt;=5,32,IF(COUNTIF('Résultats des tournois'!$B17:'Résultats des tournois'!L17,"&lt;&gt;")&lt;=15,24,16))</f>
        <v>24</v>
      </c>
      <c r="M17" s="15">
        <f>IF(COUNTIF('Résultats des tournois'!$B17:'Résultats des tournois'!M17,"&lt;&gt;")&lt;=5,32,IF(COUNTIF('Résultats des tournois'!$B17:'Résultats des tournois'!M17,"&lt;&gt;")&lt;=15,24,16))</f>
        <v>24</v>
      </c>
      <c r="N17" s="15">
        <f>IF(COUNTIF('Résultats des tournois'!$B17:'Résultats des tournois'!N17,"&lt;&gt;")&lt;=5,32,IF(COUNTIF('Résultats des tournois'!$B17:'Résultats des tournois'!N17,"&lt;&gt;")&lt;=15,24,16))</f>
        <v>24</v>
      </c>
      <c r="O17" s="15">
        <f>IF(COUNTIF('Résultats des tournois'!$B17:'Résultats des tournois'!O17,"&lt;&gt;")&lt;=5,32,IF(COUNTIF('Résultats des tournois'!$B17:'Résultats des tournois'!O17,"&lt;&gt;")&lt;=15,24,16))</f>
        <v>24</v>
      </c>
      <c r="P17" s="15">
        <f>IF(COUNTIF('Résultats des tournois'!$B17:'Résultats des tournois'!P17,"&lt;&gt;")&lt;=5,32,IF(COUNTIF('Résultats des tournois'!$B17:'Résultats des tournois'!P17,"&lt;&gt;")&lt;=15,24,16))</f>
        <v>24</v>
      </c>
      <c r="Q17" s="15">
        <f>IF(COUNTIF('Résultats des tournois'!$B17:'Résultats des tournois'!Q17,"&lt;&gt;")&lt;=5,32,IF(COUNTIF('Résultats des tournois'!$B17:'Résultats des tournois'!Q17,"&lt;&gt;")&lt;=15,24,16))</f>
        <v>24</v>
      </c>
      <c r="R17" s="15">
        <f>IF(COUNTIF('Résultats des tournois'!$B17:'Résultats des tournois'!R17,"&lt;&gt;")&lt;=5,32,IF(COUNTIF('Résultats des tournois'!$B17:'Résultats des tournois'!R17,"&lt;&gt;")&lt;=15,24,16))</f>
        <v>24</v>
      </c>
      <c r="S17" s="15">
        <f>IF(COUNTIF('Résultats des tournois'!$B17:'Résultats des tournois'!S17,"&lt;&gt;")&lt;=5,32,IF(COUNTIF('Résultats des tournois'!$B17:'Résultats des tournois'!S17,"&lt;&gt;")&lt;=15,24,16))</f>
        <v>24</v>
      </c>
      <c r="T17" s="15">
        <f>IF(COUNTIF('Résultats des tournois'!$B17:'Résultats des tournois'!T17,"&lt;&gt;")&lt;=5,32,IF(COUNTIF('Résultats des tournois'!$B17:'Résultats des tournois'!T17,"&lt;&gt;")&lt;=15,24,16))</f>
        <v>24</v>
      </c>
      <c r="U17" s="15">
        <f>IF(COUNTIF('Résultats des tournois'!$B17:'Résultats des tournois'!U17,"&lt;&gt;")&lt;=5,32,IF(COUNTIF('Résultats des tournois'!$B17:'Résultats des tournois'!U17,"&lt;&gt;")&lt;=15,24,16))</f>
        <v>24</v>
      </c>
      <c r="V17" s="15">
        <f>IF(COUNTIF('Résultats des tournois'!$B17:'Résultats des tournois'!V17,"&lt;&gt;")&lt;=5,32,IF(COUNTIF('Résultats des tournois'!$B17:'Résultats des tournois'!V17,"&lt;&gt;")&lt;=15,24,16))</f>
        <v>24</v>
      </c>
      <c r="W17" s="15">
        <f>IF(COUNTIF('Résultats des tournois'!$B17:'Résultats des tournois'!W17,"&lt;&gt;")&lt;=5,32,IF(COUNTIF('Résultats des tournois'!$B17:'Résultats des tournois'!W17,"&lt;&gt;")&lt;=15,24,16))</f>
        <v>24</v>
      </c>
      <c r="X17" s="15">
        <f>IF(COUNTIF('Résultats des tournois'!$B17:'Résultats des tournois'!X17,"&lt;&gt;")&lt;=5,32,IF(COUNTIF('Résultats des tournois'!$B17:'Résultats des tournois'!X17,"&lt;&gt;")&lt;=15,24,16))</f>
        <v>24</v>
      </c>
      <c r="Y17" s="15">
        <f>IF(COUNTIF('Résultats des tournois'!$B17:'Résultats des tournois'!Y17,"&lt;&gt;")&lt;=5,32,IF(COUNTIF('Résultats des tournois'!$B17:'Résultats des tournois'!Y17,"&lt;&gt;")&lt;=15,24,16))</f>
        <v>24</v>
      </c>
      <c r="Z17" s="15">
        <f>IF(COUNTIF('Résultats des tournois'!$B17:'Résultats des tournois'!Z17,"&lt;&gt;")&lt;=5,32,IF(COUNTIF('Résultats des tournois'!$B17:'Résultats des tournois'!Z17,"&lt;&gt;")&lt;=15,24,16))</f>
        <v>24</v>
      </c>
      <c r="AA17" s="15">
        <f>IF(COUNTIF('Résultats des tournois'!$B17:'Résultats des tournois'!AA17,"&lt;&gt;")&lt;=5,32,IF(COUNTIF('Résultats des tournois'!$B17:'Résultats des tournois'!AA17,"&lt;&gt;")&lt;=15,24,16))</f>
        <v>24</v>
      </c>
      <c r="AB17" s="15">
        <f>IF(COUNTIF('Résultats des tournois'!$B17:'Résultats des tournois'!AB17,"&lt;&gt;")&lt;=5,32,IF(COUNTIF('Résultats des tournois'!$B17:'Résultats des tournois'!AB17,"&lt;&gt;")&lt;=15,24,16))</f>
        <v>24</v>
      </c>
      <c r="AC17" s="15">
        <f>IF(COUNTIF('Résultats des tournois'!$B17:'Résultats des tournois'!AC17,"&lt;&gt;")&lt;=5,32,IF(COUNTIF('Résultats des tournois'!$B17:'Résultats des tournois'!AC17,"&lt;&gt;")&lt;=15,24,16))</f>
        <v>24</v>
      </c>
      <c r="AD17" s="15">
        <f>IF(COUNTIF('Résultats des tournois'!$B17:'Résultats des tournois'!AD17,"&lt;&gt;")&lt;=5,32,IF(COUNTIF('Résultats des tournois'!$B17:'Résultats des tournois'!AD17,"&lt;&gt;")&lt;=15,24,16))</f>
        <v>24</v>
      </c>
      <c r="AE17" s="15">
        <f>IF(COUNTIF('Résultats des tournois'!$B17:'Résultats des tournois'!AE17,"&lt;&gt;")&lt;=5,32,IF(COUNTIF('Résultats des tournois'!$B17:'Résultats des tournois'!AE17,"&lt;&gt;")&lt;=15,24,16))</f>
        <v>24</v>
      </c>
      <c r="AF17" s="15">
        <f>IF(COUNTIF('Résultats des tournois'!$B17:'Résultats des tournois'!AF17,"&lt;&gt;")&lt;=5,32,IF(COUNTIF('Résultats des tournois'!$B17:'Résultats des tournois'!AF17,"&lt;&gt;")&lt;=15,24,16))</f>
        <v>24</v>
      </c>
      <c r="AG17" s="15">
        <f>IF(COUNTIF('Résultats des tournois'!$B17:'Résultats des tournois'!AG17,"&lt;&gt;")&lt;=5,32,IF(COUNTIF('Résultats des tournois'!$B17:'Résultats des tournois'!AG17,"&lt;&gt;")&lt;=15,24,16))</f>
        <v>24</v>
      </c>
      <c r="AH17" s="15">
        <f>IF(COUNTIF('Résultats des tournois'!$B17:'Résultats des tournois'!AH17,"&lt;&gt;")&lt;=5,32,IF(COUNTIF('Résultats des tournois'!$B17:'Résultats des tournois'!AH17,"&lt;&gt;")&lt;=15,24,16))</f>
        <v>24</v>
      </c>
      <c r="AI17" s="15">
        <f>IF(COUNTIF('Résultats des tournois'!$B17:'Résultats des tournois'!AI17,"&lt;&gt;")&lt;=5,32,IF(COUNTIF('Résultats des tournois'!$B17:'Résultats des tournois'!AI17,"&lt;&gt;")&lt;=15,24,16))</f>
        <v>24</v>
      </c>
      <c r="AJ17" s="15">
        <f>IF(COUNTIF('Résultats des tournois'!$B17:'Résultats des tournois'!AJ17,"&lt;&gt;")&lt;=5,32,IF(COUNTIF('Résultats des tournois'!$B17:'Résultats des tournois'!AJ17,"&lt;&gt;")&lt;=15,24,16))</f>
        <v>24</v>
      </c>
      <c r="AK17" s="15">
        <f>IF(COUNTIF('Résultats des tournois'!$B17:'Résultats des tournois'!AK17,"&lt;&gt;")&lt;=5,32,IF(COUNTIF('Résultats des tournois'!$B17:'Résultats des tournois'!AK17,"&lt;&gt;")&lt;=15,24,16))</f>
        <v>24</v>
      </c>
      <c r="AL17" s="15">
        <f>IF(COUNTIF('Résultats des tournois'!$B17:'Résultats des tournois'!AL17,"&lt;&gt;")&lt;=5,32,IF(COUNTIF('Résultats des tournois'!$B17:'Résultats des tournois'!AL17,"&lt;&gt;")&lt;=15,24,16))</f>
        <v>24</v>
      </c>
      <c r="AM17" s="15">
        <f>IF(COUNTIF('Résultats des tournois'!$B17:'Résultats des tournois'!AM17,"&lt;&gt;")&lt;=5,32,IF(COUNTIF('Résultats des tournois'!$B17:'Résultats des tournois'!AM17,"&lt;&gt;")&lt;=15,24,16))</f>
        <v>24</v>
      </c>
      <c r="AN17" s="15">
        <f>IF(COUNTIF('Résultats des tournois'!$B17:'Résultats des tournois'!AN17,"&lt;&gt;")&lt;=5,32,IF(COUNTIF('Résultats des tournois'!$B17:'Résultats des tournois'!AN17,"&lt;&gt;")&lt;=15,24,16))</f>
        <v>24</v>
      </c>
      <c r="AO17" s="15">
        <f>IF(COUNTIF('Résultats des tournois'!$B17:'Résultats des tournois'!AO17,"&lt;&gt;")&lt;=5,32,IF(COUNTIF('Résultats des tournois'!$B17:'Résultats des tournois'!AO17,"&lt;&gt;")&lt;=15,24,16))</f>
        <v>24</v>
      </c>
      <c r="AP17" s="15">
        <f>IF(COUNTIF('Résultats des tournois'!$B17:'Résultats des tournois'!AP17,"&lt;&gt;")&lt;=5,32,IF(COUNTIF('Résultats des tournois'!$B17:'Résultats des tournois'!AP17,"&lt;&gt;")&lt;=15,24,16))</f>
        <v>24</v>
      </c>
      <c r="AQ17" s="15">
        <f>IF(COUNTIF('Résultats des tournois'!$B17:'Résultats des tournois'!AQ17,"&lt;&gt;")&lt;=5,32,IF(COUNTIF('Résultats des tournois'!$B17:'Résultats des tournois'!AQ17,"&lt;&gt;")&lt;=15,24,16))</f>
        <v>24</v>
      </c>
      <c r="AR17" s="15">
        <f>IF(COUNTIF('Résultats des tournois'!$B17:'Résultats des tournois'!AR17,"&lt;&gt;")&lt;=5,32,IF(COUNTIF('Résultats des tournois'!$B17:'Résultats des tournois'!AR17,"&lt;&gt;")&lt;=15,24,16))</f>
        <v>24</v>
      </c>
      <c r="AS17" s="15">
        <f>IF(COUNTIF('Résultats des tournois'!$B17:'Résultats des tournois'!AS17,"&lt;&gt;")&lt;=5,32,IF(COUNTIF('Résultats des tournois'!$B17:'Résultats des tournois'!AS17,"&lt;&gt;")&lt;=15,24,16))</f>
        <v>24</v>
      </c>
      <c r="AT17" s="15">
        <f>IF(COUNTIF('Résultats des tournois'!$B17:'Résultats des tournois'!AT17,"&lt;&gt;")&lt;=5,32,IF(COUNTIF('Résultats des tournois'!$B17:'Résultats des tournois'!AT17,"&lt;&gt;")&lt;=15,24,16))</f>
        <v>24</v>
      </c>
      <c r="AU17" s="15">
        <f>IF(COUNTIF('Résultats des tournois'!$B17:'Résultats des tournois'!AU17,"&lt;&gt;")&lt;=5,32,IF(COUNTIF('Résultats des tournois'!$B17:'Résultats des tournois'!AU17,"&lt;&gt;")&lt;=15,24,16))</f>
        <v>24</v>
      </c>
      <c r="AV17" s="15">
        <f>IF(COUNTIF('Résultats des tournois'!$B17:'Résultats des tournois'!AV17,"&lt;&gt;")&lt;=5,32,IF(COUNTIF('Résultats des tournois'!$B17:'Résultats des tournois'!AV17,"&lt;&gt;")&lt;=15,24,16))</f>
        <v>24</v>
      </c>
      <c r="AW17" s="15">
        <f>IF(COUNTIF('Résultats des tournois'!$B17:'Résultats des tournois'!AW17,"&lt;&gt;")&lt;=5,32,IF(COUNTIF('Résultats des tournois'!$B17:'Résultats des tournois'!AW17,"&lt;&gt;")&lt;=15,24,16))</f>
        <v>24</v>
      </c>
      <c r="AX17" s="15">
        <f>IF(COUNTIF('Résultats des tournois'!$B17:'Résultats des tournois'!AX17,"&lt;&gt;")&lt;=5,32,IF(COUNTIF('Résultats des tournois'!$B17:'Résultats des tournois'!AX17,"&lt;&gt;")&lt;=15,24,16))</f>
        <v>24</v>
      </c>
    </row>
    <row r="18" ht="14.25" customHeight="1">
      <c r="A18" s="15" t="str">
        <f>IF('Résultats des tournois'!A18="","",'Résultats des tournois'!A18)</f>
        <v>Ronkout</v>
      </c>
      <c r="B18" s="15">
        <f>IF(COUNTIF('Résultats des tournois'!B18,"&lt;&gt;")&lt;=5,32,IF(COUNTIF('Résultats des tournois'!B18,"&lt;&gt;")&lt;=15,24,16))</f>
        <v>32</v>
      </c>
      <c r="C18" s="15">
        <f>IF(COUNTIF('Résultats des tournois'!$B18:'Résultats des tournois'!C18,"&lt;&gt;")&lt;=5,32,IF(COUNTIF('Résultats des tournois'!$B18:'Résultats des tournois'!C18,"&lt;&gt;")&lt;=15,24,16))</f>
        <v>32</v>
      </c>
      <c r="D18" s="15">
        <f>IF(COUNTIF('Résultats des tournois'!$B18:'Résultats des tournois'!D18,"&lt;&gt;")&lt;=5,32,IF(COUNTIF('Résultats des tournois'!$B18:'Résultats des tournois'!D18,"&lt;&gt;")&lt;=15,24,16))</f>
        <v>32</v>
      </c>
      <c r="E18" s="15">
        <f>IF(COUNTIF('Résultats des tournois'!$B18:'Résultats des tournois'!E18,"&lt;&gt;")&lt;=5,32,IF(COUNTIF('Résultats des tournois'!$B18:'Résultats des tournois'!E18,"&lt;&gt;")&lt;=15,24,16))</f>
        <v>32</v>
      </c>
      <c r="F18" s="15">
        <f>IF(COUNTIF('Résultats des tournois'!$B18:'Résultats des tournois'!F18,"&lt;&gt;")&lt;=5,32,IF(COUNTIF('Résultats des tournois'!$B18:'Résultats des tournois'!F18,"&lt;&gt;")&lt;=15,24,16))</f>
        <v>32</v>
      </c>
      <c r="G18" s="15">
        <f>IF(COUNTIF('Résultats des tournois'!$B18:'Résultats des tournois'!G18,"&lt;&gt;")&lt;=5,32,IF(COUNTIF('Résultats des tournois'!$B18:'Résultats des tournois'!G18,"&lt;&gt;")&lt;=15,24,16))</f>
        <v>32</v>
      </c>
      <c r="H18" s="15">
        <f>IF(COUNTIF('Résultats des tournois'!$B18:'Résultats des tournois'!H18,"&lt;&gt;")&lt;=5,32,IF(COUNTIF('Résultats des tournois'!$B18:'Résultats des tournois'!H18,"&lt;&gt;")&lt;=15,24,16))</f>
        <v>24</v>
      </c>
      <c r="I18" s="15">
        <f>IF(COUNTIF('Résultats des tournois'!$B18:'Résultats des tournois'!I18,"&lt;&gt;")&lt;=5,32,IF(COUNTIF('Résultats des tournois'!$B18:'Résultats des tournois'!I18,"&lt;&gt;")&lt;=15,24,16))</f>
        <v>24</v>
      </c>
      <c r="J18" s="15">
        <f>IF(COUNTIF('Résultats des tournois'!$B18:'Résultats des tournois'!J18,"&lt;&gt;")&lt;=5,32,IF(COUNTIF('Résultats des tournois'!$B18:'Résultats des tournois'!J18,"&lt;&gt;")&lt;=15,24,16))</f>
        <v>24</v>
      </c>
      <c r="K18" s="15">
        <f>IF(COUNTIF('Résultats des tournois'!$B18:'Résultats des tournois'!K18,"&lt;&gt;")&lt;=5,32,IF(COUNTIF('Résultats des tournois'!$B18:'Résultats des tournois'!K18,"&lt;&gt;")&lt;=15,24,16))</f>
        <v>24</v>
      </c>
      <c r="L18" s="15">
        <f>IF(COUNTIF('Résultats des tournois'!$B18:'Résultats des tournois'!L18,"&lt;&gt;")&lt;=5,32,IF(COUNTIF('Résultats des tournois'!$B18:'Résultats des tournois'!L18,"&lt;&gt;")&lt;=15,24,16))</f>
        <v>24</v>
      </c>
      <c r="M18" s="15">
        <f>IF(COUNTIF('Résultats des tournois'!$B18:'Résultats des tournois'!M18,"&lt;&gt;")&lt;=5,32,IF(COUNTIF('Résultats des tournois'!$B18:'Résultats des tournois'!M18,"&lt;&gt;")&lt;=15,24,16))</f>
        <v>24</v>
      </c>
      <c r="N18" s="15">
        <f>IF(COUNTIF('Résultats des tournois'!$B18:'Résultats des tournois'!N18,"&lt;&gt;")&lt;=5,32,IF(COUNTIF('Résultats des tournois'!$B18:'Résultats des tournois'!N18,"&lt;&gt;")&lt;=15,24,16))</f>
        <v>24</v>
      </c>
      <c r="O18" s="15">
        <f>IF(COUNTIF('Résultats des tournois'!$B18:'Résultats des tournois'!O18,"&lt;&gt;")&lt;=5,32,IF(COUNTIF('Résultats des tournois'!$B18:'Résultats des tournois'!O18,"&lt;&gt;")&lt;=15,24,16))</f>
        <v>24</v>
      </c>
      <c r="P18" s="15">
        <f>IF(COUNTIF('Résultats des tournois'!$B18:'Résultats des tournois'!P18,"&lt;&gt;")&lt;=5,32,IF(COUNTIF('Résultats des tournois'!$B18:'Résultats des tournois'!P18,"&lt;&gt;")&lt;=15,24,16))</f>
        <v>24</v>
      </c>
      <c r="Q18" s="15">
        <f>IF(COUNTIF('Résultats des tournois'!$B18:'Résultats des tournois'!Q18,"&lt;&gt;")&lt;=5,32,IF(COUNTIF('Résultats des tournois'!$B18:'Résultats des tournois'!Q18,"&lt;&gt;")&lt;=15,24,16))</f>
        <v>24</v>
      </c>
      <c r="R18" s="15">
        <f>IF(COUNTIF('Résultats des tournois'!$B18:'Résultats des tournois'!R18,"&lt;&gt;")&lt;=5,32,IF(COUNTIF('Résultats des tournois'!$B18:'Résultats des tournois'!R18,"&lt;&gt;")&lt;=15,24,16))</f>
        <v>24</v>
      </c>
      <c r="S18" s="15">
        <f>IF(COUNTIF('Résultats des tournois'!$B18:'Résultats des tournois'!S18,"&lt;&gt;")&lt;=5,32,IF(COUNTIF('Résultats des tournois'!$B18:'Résultats des tournois'!S18,"&lt;&gt;")&lt;=15,24,16))</f>
        <v>24</v>
      </c>
      <c r="T18" s="15">
        <f>IF(COUNTIF('Résultats des tournois'!$B18:'Résultats des tournois'!T18,"&lt;&gt;")&lt;=5,32,IF(COUNTIF('Résultats des tournois'!$B18:'Résultats des tournois'!T18,"&lt;&gt;")&lt;=15,24,16))</f>
        <v>24</v>
      </c>
      <c r="U18" s="15">
        <f>IF(COUNTIF('Résultats des tournois'!$B18:'Résultats des tournois'!U18,"&lt;&gt;")&lt;=5,32,IF(COUNTIF('Résultats des tournois'!$B18:'Résultats des tournois'!U18,"&lt;&gt;")&lt;=15,24,16))</f>
        <v>24</v>
      </c>
      <c r="V18" s="15">
        <f>IF(COUNTIF('Résultats des tournois'!$B18:'Résultats des tournois'!V18,"&lt;&gt;")&lt;=5,32,IF(COUNTIF('Résultats des tournois'!$B18:'Résultats des tournois'!V18,"&lt;&gt;")&lt;=15,24,16))</f>
        <v>24</v>
      </c>
      <c r="W18" s="15">
        <f>IF(COUNTIF('Résultats des tournois'!$B18:'Résultats des tournois'!W18,"&lt;&gt;")&lt;=5,32,IF(COUNTIF('Résultats des tournois'!$B18:'Résultats des tournois'!W18,"&lt;&gt;")&lt;=15,24,16))</f>
        <v>24</v>
      </c>
      <c r="X18" s="15">
        <f>IF(COUNTIF('Résultats des tournois'!$B18:'Résultats des tournois'!X18,"&lt;&gt;")&lt;=5,32,IF(COUNTIF('Résultats des tournois'!$B18:'Résultats des tournois'!X18,"&lt;&gt;")&lt;=15,24,16))</f>
        <v>24</v>
      </c>
      <c r="Y18" s="15">
        <f>IF(COUNTIF('Résultats des tournois'!$B18:'Résultats des tournois'!Y18,"&lt;&gt;")&lt;=5,32,IF(COUNTIF('Résultats des tournois'!$B18:'Résultats des tournois'!Y18,"&lt;&gt;")&lt;=15,24,16))</f>
        <v>24</v>
      </c>
      <c r="Z18" s="15">
        <f>IF(COUNTIF('Résultats des tournois'!$B18:'Résultats des tournois'!Z18,"&lt;&gt;")&lt;=5,32,IF(COUNTIF('Résultats des tournois'!$B18:'Résultats des tournois'!Z18,"&lt;&gt;")&lt;=15,24,16))</f>
        <v>24</v>
      </c>
      <c r="AA18" s="15">
        <f>IF(COUNTIF('Résultats des tournois'!$B18:'Résultats des tournois'!AA18,"&lt;&gt;")&lt;=5,32,IF(COUNTIF('Résultats des tournois'!$B18:'Résultats des tournois'!AA18,"&lt;&gt;")&lt;=15,24,16))</f>
        <v>24</v>
      </c>
      <c r="AB18" s="15">
        <f>IF(COUNTIF('Résultats des tournois'!$B18:'Résultats des tournois'!AB18,"&lt;&gt;")&lt;=5,32,IF(COUNTIF('Résultats des tournois'!$B18:'Résultats des tournois'!AB18,"&lt;&gt;")&lt;=15,24,16))</f>
        <v>24</v>
      </c>
      <c r="AC18" s="15">
        <f>IF(COUNTIF('Résultats des tournois'!$B18:'Résultats des tournois'!AC18,"&lt;&gt;")&lt;=5,32,IF(COUNTIF('Résultats des tournois'!$B18:'Résultats des tournois'!AC18,"&lt;&gt;")&lt;=15,24,16))</f>
        <v>24</v>
      </c>
      <c r="AD18" s="15">
        <f>IF(COUNTIF('Résultats des tournois'!$B18:'Résultats des tournois'!AD18,"&lt;&gt;")&lt;=5,32,IF(COUNTIF('Résultats des tournois'!$B18:'Résultats des tournois'!AD18,"&lt;&gt;")&lt;=15,24,16))</f>
        <v>24</v>
      </c>
      <c r="AE18" s="15">
        <f>IF(COUNTIF('Résultats des tournois'!$B18:'Résultats des tournois'!AE18,"&lt;&gt;")&lt;=5,32,IF(COUNTIF('Résultats des tournois'!$B18:'Résultats des tournois'!AE18,"&lt;&gt;")&lt;=15,24,16))</f>
        <v>24</v>
      </c>
      <c r="AF18" s="15">
        <f>IF(COUNTIF('Résultats des tournois'!$B18:'Résultats des tournois'!AF18,"&lt;&gt;")&lt;=5,32,IF(COUNTIF('Résultats des tournois'!$B18:'Résultats des tournois'!AF18,"&lt;&gt;")&lt;=15,24,16))</f>
        <v>24</v>
      </c>
      <c r="AG18" s="15">
        <f>IF(COUNTIF('Résultats des tournois'!$B18:'Résultats des tournois'!AG18,"&lt;&gt;")&lt;=5,32,IF(COUNTIF('Résultats des tournois'!$B18:'Résultats des tournois'!AG18,"&lt;&gt;")&lt;=15,24,16))</f>
        <v>24</v>
      </c>
      <c r="AH18" s="15">
        <f>IF(COUNTIF('Résultats des tournois'!$B18:'Résultats des tournois'!AH18,"&lt;&gt;")&lt;=5,32,IF(COUNTIF('Résultats des tournois'!$B18:'Résultats des tournois'!AH18,"&lt;&gt;")&lt;=15,24,16))</f>
        <v>24</v>
      </c>
      <c r="AI18" s="15">
        <f>IF(COUNTIF('Résultats des tournois'!$B18:'Résultats des tournois'!AI18,"&lt;&gt;")&lt;=5,32,IF(COUNTIF('Résultats des tournois'!$B18:'Résultats des tournois'!AI18,"&lt;&gt;")&lt;=15,24,16))</f>
        <v>24</v>
      </c>
      <c r="AJ18" s="15">
        <f>IF(COUNTIF('Résultats des tournois'!$B18:'Résultats des tournois'!AJ18,"&lt;&gt;")&lt;=5,32,IF(COUNTIF('Résultats des tournois'!$B18:'Résultats des tournois'!AJ18,"&lt;&gt;")&lt;=15,24,16))</f>
        <v>24</v>
      </c>
      <c r="AK18" s="15">
        <f>IF(COUNTIF('Résultats des tournois'!$B18:'Résultats des tournois'!AK18,"&lt;&gt;")&lt;=5,32,IF(COUNTIF('Résultats des tournois'!$B18:'Résultats des tournois'!AK18,"&lt;&gt;")&lt;=15,24,16))</f>
        <v>24</v>
      </c>
      <c r="AL18" s="15">
        <f>IF(COUNTIF('Résultats des tournois'!$B18:'Résultats des tournois'!AL18,"&lt;&gt;")&lt;=5,32,IF(COUNTIF('Résultats des tournois'!$B18:'Résultats des tournois'!AL18,"&lt;&gt;")&lt;=15,24,16))</f>
        <v>24</v>
      </c>
      <c r="AM18" s="15">
        <f>IF(COUNTIF('Résultats des tournois'!$B18:'Résultats des tournois'!AM18,"&lt;&gt;")&lt;=5,32,IF(COUNTIF('Résultats des tournois'!$B18:'Résultats des tournois'!AM18,"&lt;&gt;")&lt;=15,24,16))</f>
        <v>24</v>
      </c>
      <c r="AN18" s="15">
        <f>IF(COUNTIF('Résultats des tournois'!$B18:'Résultats des tournois'!AN18,"&lt;&gt;")&lt;=5,32,IF(COUNTIF('Résultats des tournois'!$B18:'Résultats des tournois'!AN18,"&lt;&gt;")&lt;=15,24,16))</f>
        <v>24</v>
      </c>
      <c r="AO18" s="15">
        <f>IF(COUNTIF('Résultats des tournois'!$B18:'Résultats des tournois'!AO18,"&lt;&gt;")&lt;=5,32,IF(COUNTIF('Résultats des tournois'!$B18:'Résultats des tournois'!AO18,"&lt;&gt;")&lt;=15,24,16))</f>
        <v>24</v>
      </c>
      <c r="AP18" s="15">
        <f>IF(COUNTIF('Résultats des tournois'!$B18:'Résultats des tournois'!AP18,"&lt;&gt;")&lt;=5,32,IF(COUNTIF('Résultats des tournois'!$B18:'Résultats des tournois'!AP18,"&lt;&gt;")&lt;=15,24,16))</f>
        <v>24</v>
      </c>
      <c r="AQ18" s="15">
        <f>IF(COUNTIF('Résultats des tournois'!$B18:'Résultats des tournois'!AQ18,"&lt;&gt;")&lt;=5,32,IF(COUNTIF('Résultats des tournois'!$B18:'Résultats des tournois'!AQ18,"&lt;&gt;")&lt;=15,24,16))</f>
        <v>24</v>
      </c>
      <c r="AR18" s="15">
        <f>IF(COUNTIF('Résultats des tournois'!$B18:'Résultats des tournois'!AR18,"&lt;&gt;")&lt;=5,32,IF(COUNTIF('Résultats des tournois'!$B18:'Résultats des tournois'!AR18,"&lt;&gt;")&lt;=15,24,16))</f>
        <v>24</v>
      </c>
      <c r="AS18" s="15">
        <f>IF(COUNTIF('Résultats des tournois'!$B18:'Résultats des tournois'!AS18,"&lt;&gt;")&lt;=5,32,IF(COUNTIF('Résultats des tournois'!$B18:'Résultats des tournois'!AS18,"&lt;&gt;")&lt;=15,24,16))</f>
        <v>24</v>
      </c>
      <c r="AT18" s="15">
        <f>IF(COUNTIF('Résultats des tournois'!$B18:'Résultats des tournois'!AT18,"&lt;&gt;")&lt;=5,32,IF(COUNTIF('Résultats des tournois'!$B18:'Résultats des tournois'!AT18,"&lt;&gt;")&lt;=15,24,16))</f>
        <v>24</v>
      </c>
      <c r="AU18" s="15">
        <f>IF(COUNTIF('Résultats des tournois'!$B18:'Résultats des tournois'!AU18,"&lt;&gt;")&lt;=5,32,IF(COUNTIF('Résultats des tournois'!$B18:'Résultats des tournois'!AU18,"&lt;&gt;")&lt;=15,24,16))</f>
        <v>24</v>
      </c>
      <c r="AV18" s="15">
        <f>IF(COUNTIF('Résultats des tournois'!$B18:'Résultats des tournois'!AV18,"&lt;&gt;")&lt;=5,32,IF(COUNTIF('Résultats des tournois'!$B18:'Résultats des tournois'!AV18,"&lt;&gt;")&lt;=15,24,16))</f>
        <v>24</v>
      </c>
      <c r="AW18" s="15">
        <f>IF(COUNTIF('Résultats des tournois'!$B18:'Résultats des tournois'!AW18,"&lt;&gt;")&lt;=5,32,IF(COUNTIF('Résultats des tournois'!$B18:'Résultats des tournois'!AW18,"&lt;&gt;")&lt;=15,24,16))</f>
        <v>24</v>
      </c>
      <c r="AX18" s="15">
        <f>IF(COUNTIF('Résultats des tournois'!$B18:'Résultats des tournois'!AX18,"&lt;&gt;")&lt;=5,32,IF(COUNTIF('Résultats des tournois'!$B18:'Résultats des tournois'!AX18,"&lt;&gt;")&lt;=15,24,16))</f>
        <v>24</v>
      </c>
    </row>
    <row r="19" ht="14.25" customHeight="1">
      <c r="A19" s="15" t="str">
        <f>IF('Résultats des tournois'!A19="","",'Résultats des tournois'!A19)</f>
        <v>Schirou</v>
      </c>
      <c r="B19" s="15">
        <f>IF(COUNTIF('Résultats des tournois'!B19,"&lt;&gt;")&lt;=5,32,IF(COUNTIF('Résultats des tournois'!B19,"&lt;&gt;")&lt;=15,24,16))</f>
        <v>32</v>
      </c>
      <c r="C19" s="15">
        <f>IF(COUNTIF('Résultats des tournois'!$B19:'Résultats des tournois'!C19,"&lt;&gt;")&lt;=5,32,IF(COUNTIF('Résultats des tournois'!$B19:'Résultats des tournois'!C19,"&lt;&gt;")&lt;=15,24,16))</f>
        <v>32</v>
      </c>
      <c r="D19" s="15">
        <f>IF(COUNTIF('Résultats des tournois'!$B19:'Résultats des tournois'!D19,"&lt;&gt;")&lt;=5,32,IF(COUNTIF('Résultats des tournois'!$B19:'Résultats des tournois'!D19,"&lt;&gt;")&lt;=15,24,16))</f>
        <v>32</v>
      </c>
      <c r="E19" s="15">
        <f>IF(COUNTIF('Résultats des tournois'!$B19:'Résultats des tournois'!E19,"&lt;&gt;")&lt;=5,32,IF(COUNTIF('Résultats des tournois'!$B19:'Résultats des tournois'!E19,"&lt;&gt;")&lt;=15,24,16))</f>
        <v>32</v>
      </c>
      <c r="F19" s="15">
        <f>IF(COUNTIF('Résultats des tournois'!$B19:'Résultats des tournois'!F19,"&lt;&gt;")&lt;=5,32,IF(COUNTIF('Résultats des tournois'!$B19:'Résultats des tournois'!F19,"&lt;&gt;")&lt;=15,24,16))</f>
        <v>32</v>
      </c>
      <c r="G19" s="15">
        <f>IF(COUNTIF('Résultats des tournois'!$B19:'Résultats des tournois'!G19,"&lt;&gt;")&lt;=5,32,IF(COUNTIF('Résultats des tournois'!$B19:'Résultats des tournois'!G19,"&lt;&gt;")&lt;=15,24,16))</f>
        <v>32</v>
      </c>
      <c r="H19" s="15">
        <f>IF(COUNTIF('Résultats des tournois'!$B19:'Résultats des tournois'!H19,"&lt;&gt;")&lt;=5,32,IF(COUNTIF('Résultats des tournois'!$B19:'Résultats des tournois'!H19,"&lt;&gt;")&lt;=15,24,16))</f>
        <v>24</v>
      </c>
      <c r="I19" s="15">
        <f>IF(COUNTIF('Résultats des tournois'!$B19:'Résultats des tournois'!I19,"&lt;&gt;")&lt;=5,32,IF(COUNTIF('Résultats des tournois'!$B19:'Résultats des tournois'!I19,"&lt;&gt;")&lt;=15,24,16))</f>
        <v>24</v>
      </c>
      <c r="J19" s="15">
        <f>IF(COUNTIF('Résultats des tournois'!$B19:'Résultats des tournois'!J19,"&lt;&gt;")&lt;=5,32,IF(COUNTIF('Résultats des tournois'!$B19:'Résultats des tournois'!J19,"&lt;&gt;")&lt;=15,24,16))</f>
        <v>24</v>
      </c>
      <c r="K19" s="15">
        <f>IF(COUNTIF('Résultats des tournois'!$B19:'Résultats des tournois'!K19,"&lt;&gt;")&lt;=5,32,IF(COUNTIF('Résultats des tournois'!$B19:'Résultats des tournois'!K19,"&lt;&gt;")&lt;=15,24,16))</f>
        <v>24</v>
      </c>
      <c r="L19" s="15">
        <f>IF(COUNTIF('Résultats des tournois'!$B19:'Résultats des tournois'!L19,"&lt;&gt;")&lt;=5,32,IF(COUNTIF('Résultats des tournois'!$B19:'Résultats des tournois'!L19,"&lt;&gt;")&lt;=15,24,16))</f>
        <v>24</v>
      </c>
      <c r="M19" s="15">
        <f>IF(COUNTIF('Résultats des tournois'!$B19:'Résultats des tournois'!M19,"&lt;&gt;")&lt;=5,32,IF(COUNTIF('Résultats des tournois'!$B19:'Résultats des tournois'!M19,"&lt;&gt;")&lt;=15,24,16))</f>
        <v>24</v>
      </c>
      <c r="N19" s="15">
        <f>IF(COUNTIF('Résultats des tournois'!$B19:'Résultats des tournois'!N19,"&lt;&gt;")&lt;=5,32,IF(COUNTIF('Résultats des tournois'!$B19:'Résultats des tournois'!N19,"&lt;&gt;")&lt;=15,24,16))</f>
        <v>24</v>
      </c>
      <c r="O19" s="15">
        <f>IF(COUNTIF('Résultats des tournois'!$B19:'Résultats des tournois'!O19,"&lt;&gt;")&lt;=5,32,IF(COUNTIF('Résultats des tournois'!$B19:'Résultats des tournois'!O19,"&lt;&gt;")&lt;=15,24,16))</f>
        <v>24</v>
      </c>
      <c r="P19" s="15">
        <f>IF(COUNTIF('Résultats des tournois'!$B19:'Résultats des tournois'!P19,"&lt;&gt;")&lt;=5,32,IF(COUNTIF('Résultats des tournois'!$B19:'Résultats des tournois'!P19,"&lt;&gt;")&lt;=15,24,16))</f>
        <v>24</v>
      </c>
      <c r="Q19" s="15">
        <f>IF(COUNTIF('Résultats des tournois'!$B19:'Résultats des tournois'!Q19,"&lt;&gt;")&lt;=5,32,IF(COUNTIF('Résultats des tournois'!$B19:'Résultats des tournois'!Q19,"&lt;&gt;")&lt;=15,24,16))</f>
        <v>24</v>
      </c>
      <c r="R19" s="15">
        <f>IF(COUNTIF('Résultats des tournois'!$B19:'Résultats des tournois'!R19,"&lt;&gt;")&lt;=5,32,IF(COUNTIF('Résultats des tournois'!$B19:'Résultats des tournois'!R19,"&lt;&gt;")&lt;=15,24,16))</f>
        <v>24</v>
      </c>
      <c r="S19" s="15">
        <f>IF(COUNTIF('Résultats des tournois'!$B19:'Résultats des tournois'!S19,"&lt;&gt;")&lt;=5,32,IF(COUNTIF('Résultats des tournois'!$B19:'Résultats des tournois'!S19,"&lt;&gt;")&lt;=15,24,16))</f>
        <v>24</v>
      </c>
      <c r="T19" s="15">
        <f>IF(COUNTIF('Résultats des tournois'!$B19:'Résultats des tournois'!T19,"&lt;&gt;")&lt;=5,32,IF(COUNTIF('Résultats des tournois'!$B19:'Résultats des tournois'!T19,"&lt;&gt;")&lt;=15,24,16))</f>
        <v>24</v>
      </c>
      <c r="U19" s="15">
        <f>IF(COUNTIF('Résultats des tournois'!$B19:'Résultats des tournois'!U19,"&lt;&gt;")&lt;=5,32,IF(COUNTIF('Résultats des tournois'!$B19:'Résultats des tournois'!U19,"&lt;&gt;")&lt;=15,24,16))</f>
        <v>24</v>
      </c>
      <c r="V19" s="15">
        <f>IF(COUNTIF('Résultats des tournois'!$B19:'Résultats des tournois'!V19,"&lt;&gt;")&lt;=5,32,IF(COUNTIF('Résultats des tournois'!$B19:'Résultats des tournois'!V19,"&lt;&gt;")&lt;=15,24,16))</f>
        <v>24</v>
      </c>
      <c r="W19" s="15">
        <f>IF(COUNTIF('Résultats des tournois'!$B19:'Résultats des tournois'!W19,"&lt;&gt;")&lt;=5,32,IF(COUNTIF('Résultats des tournois'!$B19:'Résultats des tournois'!W19,"&lt;&gt;")&lt;=15,24,16))</f>
        <v>24</v>
      </c>
      <c r="X19" s="15">
        <f>IF(COUNTIF('Résultats des tournois'!$B19:'Résultats des tournois'!X19,"&lt;&gt;")&lt;=5,32,IF(COUNTIF('Résultats des tournois'!$B19:'Résultats des tournois'!X19,"&lt;&gt;")&lt;=15,24,16))</f>
        <v>24</v>
      </c>
      <c r="Y19" s="15">
        <f>IF(COUNTIF('Résultats des tournois'!$B19:'Résultats des tournois'!Y19,"&lt;&gt;")&lt;=5,32,IF(COUNTIF('Résultats des tournois'!$B19:'Résultats des tournois'!Y19,"&lt;&gt;")&lt;=15,24,16))</f>
        <v>24</v>
      </c>
      <c r="Z19" s="15">
        <f>IF(COUNTIF('Résultats des tournois'!$B19:'Résultats des tournois'!Z19,"&lt;&gt;")&lt;=5,32,IF(COUNTIF('Résultats des tournois'!$B19:'Résultats des tournois'!Z19,"&lt;&gt;")&lt;=15,24,16))</f>
        <v>24</v>
      </c>
      <c r="AA19" s="15">
        <f>IF(COUNTIF('Résultats des tournois'!$B19:'Résultats des tournois'!AA19,"&lt;&gt;")&lt;=5,32,IF(COUNTIF('Résultats des tournois'!$B19:'Résultats des tournois'!AA19,"&lt;&gt;")&lt;=15,24,16))</f>
        <v>24</v>
      </c>
      <c r="AB19" s="15">
        <f>IF(COUNTIF('Résultats des tournois'!$B19:'Résultats des tournois'!AB19,"&lt;&gt;")&lt;=5,32,IF(COUNTIF('Résultats des tournois'!$B19:'Résultats des tournois'!AB19,"&lt;&gt;")&lt;=15,24,16))</f>
        <v>24</v>
      </c>
      <c r="AC19" s="15">
        <f>IF(COUNTIF('Résultats des tournois'!$B19:'Résultats des tournois'!AC19,"&lt;&gt;")&lt;=5,32,IF(COUNTIF('Résultats des tournois'!$B19:'Résultats des tournois'!AC19,"&lt;&gt;")&lt;=15,24,16))</f>
        <v>24</v>
      </c>
      <c r="AD19" s="15">
        <f>IF(COUNTIF('Résultats des tournois'!$B19:'Résultats des tournois'!AD19,"&lt;&gt;")&lt;=5,32,IF(COUNTIF('Résultats des tournois'!$B19:'Résultats des tournois'!AD19,"&lt;&gt;")&lt;=15,24,16))</f>
        <v>24</v>
      </c>
      <c r="AE19" s="15">
        <f>IF(COUNTIF('Résultats des tournois'!$B19:'Résultats des tournois'!AE19,"&lt;&gt;")&lt;=5,32,IF(COUNTIF('Résultats des tournois'!$B19:'Résultats des tournois'!AE19,"&lt;&gt;")&lt;=15,24,16))</f>
        <v>24</v>
      </c>
      <c r="AF19" s="15">
        <f>IF(COUNTIF('Résultats des tournois'!$B19:'Résultats des tournois'!AF19,"&lt;&gt;")&lt;=5,32,IF(COUNTIF('Résultats des tournois'!$B19:'Résultats des tournois'!AF19,"&lt;&gt;")&lt;=15,24,16))</f>
        <v>24</v>
      </c>
      <c r="AG19" s="15">
        <f>IF(COUNTIF('Résultats des tournois'!$B19:'Résultats des tournois'!AG19,"&lt;&gt;")&lt;=5,32,IF(COUNTIF('Résultats des tournois'!$B19:'Résultats des tournois'!AG19,"&lt;&gt;")&lt;=15,24,16))</f>
        <v>24</v>
      </c>
      <c r="AH19" s="15">
        <f>IF(COUNTIF('Résultats des tournois'!$B19:'Résultats des tournois'!AH19,"&lt;&gt;")&lt;=5,32,IF(COUNTIF('Résultats des tournois'!$B19:'Résultats des tournois'!AH19,"&lt;&gt;")&lt;=15,24,16))</f>
        <v>24</v>
      </c>
      <c r="AI19" s="15">
        <f>IF(COUNTIF('Résultats des tournois'!$B19:'Résultats des tournois'!AI19,"&lt;&gt;")&lt;=5,32,IF(COUNTIF('Résultats des tournois'!$B19:'Résultats des tournois'!AI19,"&lt;&gt;")&lt;=15,24,16))</f>
        <v>24</v>
      </c>
      <c r="AJ19" s="15">
        <f>IF(COUNTIF('Résultats des tournois'!$B19:'Résultats des tournois'!AJ19,"&lt;&gt;")&lt;=5,32,IF(COUNTIF('Résultats des tournois'!$B19:'Résultats des tournois'!AJ19,"&lt;&gt;")&lt;=15,24,16))</f>
        <v>24</v>
      </c>
      <c r="AK19" s="15">
        <f>IF(COUNTIF('Résultats des tournois'!$B19:'Résultats des tournois'!AK19,"&lt;&gt;")&lt;=5,32,IF(COUNTIF('Résultats des tournois'!$B19:'Résultats des tournois'!AK19,"&lt;&gt;")&lt;=15,24,16))</f>
        <v>24</v>
      </c>
      <c r="AL19" s="15">
        <f>IF(COUNTIF('Résultats des tournois'!$B19:'Résultats des tournois'!AL19,"&lt;&gt;")&lt;=5,32,IF(COUNTIF('Résultats des tournois'!$B19:'Résultats des tournois'!AL19,"&lt;&gt;")&lt;=15,24,16))</f>
        <v>24</v>
      </c>
      <c r="AM19" s="15">
        <f>IF(COUNTIF('Résultats des tournois'!$B19:'Résultats des tournois'!AM19,"&lt;&gt;")&lt;=5,32,IF(COUNTIF('Résultats des tournois'!$B19:'Résultats des tournois'!AM19,"&lt;&gt;")&lt;=15,24,16))</f>
        <v>24</v>
      </c>
      <c r="AN19" s="15">
        <f>IF(COUNTIF('Résultats des tournois'!$B19:'Résultats des tournois'!AN19,"&lt;&gt;")&lt;=5,32,IF(COUNTIF('Résultats des tournois'!$B19:'Résultats des tournois'!AN19,"&lt;&gt;")&lt;=15,24,16))</f>
        <v>24</v>
      </c>
      <c r="AO19" s="15">
        <f>IF(COUNTIF('Résultats des tournois'!$B19:'Résultats des tournois'!AO19,"&lt;&gt;")&lt;=5,32,IF(COUNTIF('Résultats des tournois'!$B19:'Résultats des tournois'!AO19,"&lt;&gt;")&lt;=15,24,16))</f>
        <v>24</v>
      </c>
      <c r="AP19" s="15">
        <f>IF(COUNTIF('Résultats des tournois'!$B19:'Résultats des tournois'!AP19,"&lt;&gt;")&lt;=5,32,IF(COUNTIF('Résultats des tournois'!$B19:'Résultats des tournois'!AP19,"&lt;&gt;")&lt;=15,24,16))</f>
        <v>24</v>
      </c>
      <c r="AQ19" s="15">
        <f>IF(COUNTIF('Résultats des tournois'!$B19:'Résultats des tournois'!AQ19,"&lt;&gt;")&lt;=5,32,IF(COUNTIF('Résultats des tournois'!$B19:'Résultats des tournois'!AQ19,"&lt;&gt;")&lt;=15,24,16))</f>
        <v>24</v>
      </c>
      <c r="AR19" s="15">
        <f>IF(COUNTIF('Résultats des tournois'!$B19:'Résultats des tournois'!AR19,"&lt;&gt;")&lt;=5,32,IF(COUNTIF('Résultats des tournois'!$B19:'Résultats des tournois'!AR19,"&lt;&gt;")&lt;=15,24,16))</f>
        <v>24</v>
      </c>
      <c r="AS19" s="15">
        <f>IF(COUNTIF('Résultats des tournois'!$B19:'Résultats des tournois'!AS19,"&lt;&gt;")&lt;=5,32,IF(COUNTIF('Résultats des tournois'!$B19:'Résultats des tournois'!AS19,"&lt;&gt;")&lt;=15,24,16))</f>
        <v>24</v>
      </c>
      <c r="AT19" s="15">
        <f>IF(COUNTIF('Résultats des tournois'!$B19:'Résultats des tournois'!AT19,"&lt;&gt;")&lt;=5,32,IF(COUNTIF('Résultats des tournois'!$B19:'Résultats des tournois'!AT19,"&lt;&gt;")&lt;=15,24,16))</f>
        <v>24</v>
      </c>
      <c r="AU19" s="15">
        <f>IF(COUNTIF('Résultats des tournois'!$B19:'Résultats des tournois'!AU19,"&lt;&gt;")&lt;=5,32,IF(COUNTIF('Résultats des tournois'!$B19:'Résultats des tournois'!AU19,"&lt;&gt;")&lt;=15,24,16))</f>
        <v>24</v>
      </c>
      <c r="AV19" s="15">
        <f>IF(COUNTIF('Résultats des tournois'!$B19:'Résultats des tournois'!AV19,"&lt;&gt;")&lt;=5,32,IF(COUNTIF('Résultats des tournois'!$B19:'Résultats des tournois'!AV19,"&lt;&gt;")&lt;=15,24,16))</f>
        <v>24</v>
      </c>
      <c r="AW19" s="15">
        <f>IF(COUNTIF('Résultats des tournois'!$B19:'Résultats des tournois'!AW19,"&lt;&gt;")&lt;=5,32,IF(COUNTIF('Résultats des tournois'!$B19:'Résultats des tournois'!AW19,"&lt;&gt;")&lt;=15,24,16))</f>
        <v>24</v>
      </c>
      <c r="AX19" s="15">
        <f>IF(COUNTIF('Résultats des tournois'!$B19:'Résultats des tournois'!AX19,"&lt;&gt;")&lt;=5,32,IF(COUNTIF('Résultats des tournois'!$B19:'Résultats des tournois'!AX19,"&lt;&gt;")&lt;=15,24,16))</f>
        <v>24</v>
      </c>
    </row>
    <row r="20" ht="14.25" customHeight="1">
      <c r="A20" s="15" t="str">
        <f>IF('Résultats des tournois'!A20="","",'Résultats des tournois'!A20)</f>
        <v>Falzarr</v>
      </c>
      <c r="B20" s="15">
        <f>IF(COUNTIF('Résultats des tournois'!B20,"&lt;&gt;")&lt;=5,32,IF(COUNTIF('Résultats des tournois'!B20,"&lt;&gt;")&lt;=15,24,16))</f>
        <v>32</v>
      </c>
      <c r="C20" s="15">
        <f>IF(COUNTIF('Résultats des tournois'!$B20:'Résultats des tournois'!C20,"&lt;&gt;")&lt;=5,32,IF(COUNTIF('Résultats des tournois'!$B20:'Résultats des tournois'!C20,"&lt;&gt;")&lt;=15,24,16))</f>
        <v>32</v>
      </c>
      <c r="D20" s="15">
        <f>IF(COUNTIF('Résultats des tournois'!$B20:'Résultats des tournois'!D20,"&lt;&gt;")&lt;=5,32,IF(COUNTIF('Résultats des tournois'!$B20:'Résultats des tournois'!D20,"&lt;&gt;")&lt;=15,24,16))</f>
        <v>32</v>
      </c>
      <c r="E20" s="15">
        <f>IF(COUNTIF('Résultats des tournois'!$B20:'Résultats des tournois'!E20,"&lt;&gt;")&lt;=5,32,IF(COUNTIF('Résultats des tournois'!$B20:'Résultats des tournois'!E20,"&lt;&gt;")&lt;=15,24,16))</f>
        <v>32</v>
      </c>
      <c r="F20" s="15">
        <f>IF(COUNTIF('Résultats des tournois'!$B20:'Résultats des tournois'!F20,"&lt;&gt;")&lt;=5,32,IF(COUNTIF('Résultats des tournois'!$B20:'Résultats des tournois'!F20,"&lt;&gt;")&lt;=15,24,16))</f>
        <v>32</v>
      </c>
      <c r="G20" s="15">
        <f>IF(COUNTIF('Résultats des tournois'!$B20:'Résultats des tournois'!G20,"&lt;&gt;")&lt;=5,32,IF(COUNTIF('Résultats des tournois'!$B20:'Résultats des tournois'!G20,"&lt;&gt;")&lt;=15,24,16))</f>
        <v>32</v>
      </c>
      <c r="H20" s="15">
        <f>IF(COUNTIF('Résultats des tournois'!$B20:'Résultats des tournois'!H20,"&lt;&gt;")&lt;=5,32,IF(COUNTIF('Résultats des tournois'!$B20:'Résultats des tournois'!H20,"&lt;&gt;")&lt;=15,24,16))</f>
        <v>32</v>
      </c>
      <c r="I20" s="15">
        <f>IF(COUNTIF('Résultats des tournois'!$B20:'Résultats des tournois'!I20,"&lt;&gt;")&lt;=5,32,IF(COUNTIF('Résultats des tournois'!$B20:'Résultats des tournois'!I20,"&lt;&gt;")&lt;=15,24,16))</f>
        <v>32</v>
      </c>
      <c r="J20" s="15">
        <f>IF(COUNTIF('Résultats des tournois'!$B20:'Résultats des tournois'!J20,"&lt;&gt;")&lt;=5,32,IF(COUNTIF('Résultats des tournois'!$B20:'Résultats des tournois'!J20,"&lt;&gt;")&lt;=15,24,16))</f>
        <v>32</v>
      </c>
      <c r="K20" s="15">
        <f>IF(COUNTIF('Résultats des tournois'!$B20:'Résultats des tournois'!K20,"&lt;&gt;")&lt;=5,32,IF(COUNTIF('Résultats des tournois'!$B20:'Résultats des tournois'!K20,"&lt;&gt;")&lt;=15,24,16))</f>
        <v>32</v>
      </c>
      <c r="L20" s="15">
        <f>IF(COUNTIF('Résultats des tournois'!$B20:'Résultats des tournois'!L20,"&lt;&gt;")&lt;=5,32,IF(COUNTIF('Résultats des tournois'!$B20:'Résultats des tournois'!L20,"&lt;&gt;")&lt;=15,24,16))</f>
        <v>32</v>
      </c>
      <c r="M20" s="15">
        <f>IF(COUNTIF('Résultats des tournois'!$B20:'Résultats des tournois'!M20,"&lt;&gt;")&lt;=5,32,IF(COUNTIF('Résultats des tournois'!$B20:'Résultats des tournois'!M20,"&lt;&gt;")&lt;=15,24,16))</f>
        <v>32</v>
      </c>
      <c r="N20" s="15">
        <f>IF(COUNTIF('Résultats des tournois'!$B20:'Résultats des tournois'!N20,"&lt;&gt;")&lt;=5,32,IF(COUNTIF('Résultats des tournois'!$B20:'Résultats des tournois'!N20,"&lt;&gt;")&lt;=15,24,16))</f>
        <v>32</v>
      </c>
      <c r="O20" s="15">
        <f>IF(COUNTIF('Résultats des tournois'!$B20:'Résultats des tournois'!O20,"&lt;&gt;")&lt;=5,32,IF(COUNTIF('Résultats des tournois'!$B20:'Résultats des tournois'!O20,"&lt;&gt;")&lt;=15,24,16))</f>
        <v>32</v>
      </c>
      <c r="P20" s="15">
        <f>IF(COUNTIF('Résultats des tournois'!$B20:'Résultats des tournois'!P20,"&lt;&gt;")&lt;=5,32,IF(COUNTIF('Résultats des tournois'!$B20:'Résultats des tournois'!P20,"&lt;&gt;")&lt;=15,24,16))</f>
        <v>32</v>
      </c>
      <c r="Q20" s="15">
        <f>IF(COUNTIF('Résultats des tournois'!$B20:'Résultats des tournois'!Q20,"&lt;&gt;")&lt;=5,32,IF(COUNTIF('Résultats des tournois'!$B20:'Résultats des tournois'!Q20,"&lt;&gt;")&lt;=15,24,16))</f>
        <v>32</v>
      </c>
      <c r="R20" s="15">
        <f>IF(COUNTIF('Résultats des tournois'!$B20:'Résultats des tournois'!R20,"&lt;&gt;")&lt;=5,32,IF(COUNTIF('Résultats des tournois'!$B20:'Résultats des tournois'!R20,"&lt;&gt;")&lt;=15,24,16))</f>
        <v>32</v>
      </c>
      <c r="S20" s="15">
        <f>IF(COUNTIF('Résultats des tournois'!$B20:'Résultats des tournois'!S20,"&lt;&gt;")&lt;=5,32,IF(COUNTIF('Résultats des tournois'!$B20:'Résultats des tournois'!S20,"&lt;&gt;")&lt;=15,24,16))</f>
        <v>32</v>
      </c>
      <c r="T20" s="15">
        <f>IF(COUNTIF('Résultats des tournois'!$B20:'Résultats des tournois'!T20,"&lt;&gt;")&lt;=5,32,IF(COUNTIF('Résultats des tournois'!$B20:'Résultats des tournois'!T20,"&lt;&gt;")&lt;=15,24,16))</f>
        <v>32</v>
      </c>
      <c r="U20" s="15">
        <f>IF(COUNTIF('Résultats des tournois'!$B20:'Résultats des tournois'!U20,"&lt;&gt;")&lt;=5,32,IF(COUNTIF('Résultats des tournois'!$B20:'Résultats des tournois'!U20,"&lt;&gt;")&lt;=15,24,16))</f>
        <v>32</v>
      </c>
      <c r="V20" s="15">
        <f>IF(COUNTIF('Résultats des tournois'!$B20:'Résultats des tournois'!V20,"&lt;&gt;")&lt;=5,32,IF(COUNTIF('Résultats des tournois'!$B20:'Résultats des tournois'!V20,"&lt;&gt;")&lt;=15,24,16))</f>
        <v>32</v>
      </c>
      <c r="W20" s="15">
        <f>IF(COUNTIF('Résultats des tournois'!$B20:'Résultats des tournois'!W20,"&lt;&gt;")&lt;=5,32,IF(COUNTIF('Résultats des tournois'!$B20:'Résultats des tournois'!W20,"&lt;&gt;")&lt;=15,24,16))</f>
        <v>32</v>
      </c>
      <c r="X20" s="15">
        <f>IF(COUNTIF('Résultats des tournois'!$B20:'Résultats des tournois'!X20,"&lt;&gt;")&lt;=5,32,IF(COUNTIF('Résultats des tournois'!$B20:'Résultats des tournois'!X20,"&lt;&gt;")&lt;=15,24,16))</f>
        <v>32</v>
      </c>
      <c r="Y20" s="15">
        <f>IF(COUNTIF('Résultats des tournois'!$B20:'Résultats des tournois'!Y20,"&lt;&gt;")&lt;=5,32,IF(COUNTIF('Résultats des tournois'!$B20:'Résultats des tournois'!Y20,"&lt;&gt;")&lt;=15,24,16))</f>
        <v>32</v>
      </c>
      <c r="Z20" s="15">
        <f>IF(COUNTIF('Résultats des tournois'!$B20:'Résultats des tournois'!Z20,"&lt;&gt;")&lt;=5,32,IF(COUNTIF('Résultats des tournois'!$B20:'Résultats des tournois'!Z20,"&lt;&gt;")&lt;=15,24,16))</f>
        <v>32</v>
      </c>
      <c r="AA20" s="15">
        <f>IF(COUNTIF('Résultats des tournois'!$B20:'Résultats des tournois'!AA20,"&lt;&gt;")&lt;=5,32,IF(COUNTIF('Résultats des tournois'!$B20:'Résultats des tournois'!AA20,"&lt;&gt;")&lt;=15,24,16))</f>
        <v>32</v>
      </c>
      <c r="AB20" s="15">
        <f>IF(COUNTIF('Résultats des tournois'!$B20:'Résultats des tournois'!AB20,"&lt;&gt;")&lt;=5,32,IF(COUNTIF('Résultats des tournois'!$B20:'Résultats des tournois'!AB20,"&lt;&gt;")&lt;=15,24,16))</f>
        <v>32</v>
      </c>
      <c r="AC20" s="15">
        <f>IF(COUNTIF('Résultats des tournois'!$B20:'Résultats des tournois'!AC20,"&lt;&gt;")&lt;=5,32,IF(COUNTIF('Résultats des tournois'!$B20:'Résultats des tournois'!AC20,"&lt;&gt;")&lt;=15,24,16))</f>
        <v>32</v>
      </c>
      <c r="AD20" s="15">
        <f>IF(COUNTIF('Résultats des tournois'!$B20:'Résultats des tournois'!AD20,"&lt;&gt;")&lt;=5,32,IF(COUNTIF('Résultats des tournois'!$B20:'Résultats des tournois'!AD20,"&lt;&gt;")&lt;=15,24,16))</f>
        <v>32</v>
      </c>
      <c r="AE20" s="15">
        <f>IF(COUNTIF('Résultats des tournois'!$B20:'Résultats des tournois'!AE20,"&lt;&gt;")&lt;=5,32,IF(COUNTIF('Résultats des tournois'!$B20:'Résultats des tournois'!AE20,"&lt;&gt;")&lt;=15,24,16))</f>
        <v>32</v>
      </c>
      <c r="AF20" s="15">
        <f>IF(COUNTIF('Résultats des tournois'!$B20:'Résultats des tournois'!AF20,"&lt;&gt;")&lt;=5,32,IF(COUNTIF('Résultats des tournois'!$B20:'Résultats des tournois'!AF20,"&lt;&gt;")&lt;=15,24,16))</f>
        <v>32</v>
      </c>
      <c r="AG20" s="15">
        <f>IF(COUNTIF('Résultats des tournois'!$B20:'Résultats des tournois'!AG20,"&lt;&gt;")&lt;=5,32,IF(COUNTIF('Résultats des tournois'!$B20:'Résultats des tournois'!AG20,"&lt;&gt;")&lt;=15,24,16))</f>
        <v>32</v>
      </c>
      <c r="AH20" s="15">
        <f>IF(COUNTIF('Résultats des tournois'!$B20:'Résultats des tournois'!AH20,"&lt;&gt;")&lt;=5,32,IF(COUNTIF('Résultats des tournois'!$B20:'Résultats des tournois'!AH20,"&lt;&gt;")&lt;=15,24,16))</f>
        <v>32</v>
      </c>
      <c r="AI20" s="15">
        <f>IF(COUNTIF('Résultats des tournois'!$B20:'Résultats des tournois'!AI20,"&lt;&gt;")&lt;=5,32,IF(COUNTIF('Résultats des tournois'!$B20:'Résultats des tournois'!AI20,"&lt;&gt;")&lt;=15,24,16))</f>
        <v>32</v>
      </c>
      <c r="AJ20" s="15">
        <f>IF(COUNTIF('Résultats des tournois'!$B20:'Résultats des tournois'!AJ20,"&lt;&gt;")&lt;=5,32,IF(COUNTIF('Résultats des tournois'!$B20:'Résultats des tournois'!AJ20,"&lt;&gt;")&lt;=15,24,16))</f>
        <v>32</v>
      </c>
      <c r="AK20" s="15">
        <f>IF(COUNTIF('Résultats des tournois'!$B20:'Résultats des tournois'!AK20,"&lt;&gt;")&lt;=5,32,IF(COUNTIF('Résultats des tournois'!$B20:'Résultats des tournois'!AK20,"&lt;&gt;")&lt;=15,24,16))</f>
        <v>32</v>
      </c>
      <c r="AL20" s="15">
        <f>IF(COUNTIF('Résultats des tournois'!$B20:'Résultats des tournois'!AL20,"&lt;&gt;")&lt;=5,32,IF(COUNTIF('Résultats des tournois'!$B20:'Résultats des tournois'!AL20,"&lt;&gt;")&lt;=15,24,16))</f>
        <v>32</v>
      </c>
      <c r="AM20" s="15">
        <f>IF(COUNTIF('Résultats des tournois'!$B20:'Résultats des tournois'!AM20,"&lt;&gt;")&lt;=5,32,IF(COUNTIF('Résultats des tournois'!$B20:'Résultats des tournois'!AM20,"&lt;&gt;")&lt;=15,24,16))</f>
        <v>32</v>
      </c>
      <c r="AN20" s="15">
        <f>IF(COUNTIF('Résultats des tournois'!$B20:'Résultats des tournois'!AN20,"&lt;&gt;")&lt;=5,32,IF(COUNTIF('Résultats des tournois'!$B20:'Résultats des tournois'!AN20,"&lt;&gt;")&lt;=15,24,16))</f>
        <v>32</v>
      </c>
      <c r="AO20" s="15">
        <f>IF(COUNTIF('Résultats des tournois'!$B20:'Résultats des tournois'!AO20,"&lt;&gt;")&lt;=5,32,IF(COUNTIF('Résultats des tournois'!$B20:'Résultats des tournois'!AO20,"&lt;&gt;")&lt;=15,24,16))</f>
        <v>32</v>
      </c>
      <c r="AP20" s="15">
        <f>IF(COUNTIF('Résultats des tournois'!$B20:'Résultats des tournois'!AP20,"&lt;&gt;")&lt;=5,32,IF(COUNTIF('Résultats des tournois'!$B20:'Résultats des tournois'!AP20,"&lt;&gt;")&lt;=15,24,16))</f>
        <v>32</v>
      </c>
      <c r="AQ20" s="15">
        <f>IF(COUNTIF('Résultats des tournois'!$B20:'Résultats des tournois'!AQ20,"&lt;&gt;")&lt;=5,32,IF(COUNTIF('Résultats des tournois'!$B20:'Résultats des tournois'!AQ20,"&lt;&gt;")&lt;=15,24,16))</f>
        <v>32</v>
      </c>
      <c r="AR20" s="15">
        <f>IF(COUNTIF('Résultats des tournois'!$B20:'Résultats des tournois'!AR20,"&lt;&gt;")&lt;=5,32,IF(COUNTIF('Résultats des tournois'!$B20:'Résultats des tournois'!AR20,"&lt;&gt;")&lt;=15,24,16))</f>
        <v>32</v>
      </c>
      <c r="AS20" s="15">
        <f>IF(COUNTIF('Résultats des tournois'!$B20:'Résultats des tournois'!AS20,"&lt;&gt;")&lt;=5,32,IF(COUNTIF('Résultats des tournois'!$B20:'Résultats des tournois'!AS20,"&lt;&gt;")&lt;=15,24,16))</f>
        <v>32</v>
      </c>
      <c r="AT20" s="15">
        <f>IF(COUNTIF('Résultats des tournois'!$B20:'Résultats des tournois'!AT20,"&lt;&gt;")&lt;=5,32,IF(COUNTIF('Résultats des tournois'!$B20:'Résultats des tournois'!AT20,"&lt;&gt;")&lt;=15,24,16))</f>
        <v>32</v>
      </c>
      <c r="AU20" s="15">
        <f>IF(COUNTIF('Résultats des tournois'!$B20:'Résultats des tournois'!AU20,"&lt;&gt;")&lt;=5,32,IF(COUNTIF('Résultats des tournois'!$B20:'Résultats des tournois'!AU20,"&lt;&gt;")&lt;=15,24,16))</f>
        <v>32</v>
      </c>
      <c r="AV20" s="15">
        <f>IF(COUNTIF('Résultats des tournois'!$B20:'Résultats des tournois'!AV20,"&lt;&gt;")&lt;=5,32,IF(COUNTIF('Résultats des tournois'!$B20:'Résultats des tournois'!AV20,"&lt;&gt;")&lt;=15,24,16))</f>
        <v>32</v>
      </c>
      <c r="AW20" s="15">
        <f>IF(COUNTIF('Résultats des tournois'!$B20:'Résultats des tournois'!AW20,"&lt;&gt;")&lt;=5,32,IF(COUNTIF('Résultats des tournois'!$B20:'Résultats des tournois'!AW20,"&lt;&gt;")&lt;=15,24,16))</f>
        <v>32</v>
      </c>
      <c r="AX20" s="15">
        <f>IF(COUNTIF('Résultats des tournois'!$B20:'Résultats des tournois'!AX20,"&lt;&gt;")&lt;=5,32,IF(COUNTIF('Résultats des tournois'!$B20:'Résultats des tournois'!AX20,"&lt;&gt;")&lt;=15,24,16))</f>
        <v>32</v>
      </c>
    </row>
    <row r="21" ht="14.25" customHeight="1">
      <c r="A21" s="15" t="str">
        <f>IF('Résultats des tournois'!A21="","",'Résultats des tournois'!A21)</f>
        <v>PikaJul</v>
      </c>
      <c r="B21" s="15">
        <f>IF(COUNTIF('Résultats des tournois'!B21,"&lt;&gt;")&lt;=5,32,IF(COUNTIF('Résultats des tournois'!B21,"&lt;&gt;")&lt;=15,24,16))</f>
        <v>32</v>
      </c>
      <c r="C21" s="15">
        <f>IF(COUNTIF('Résultats des tournois'!$B21:'Résultats des tournois'!C21,"&lt;&gt;")&lt;=5,32,IF(COUNTIF('Résultats des tournois'!$B21:'Résultats des tournois'!C21,"&lt;&gt;")&lt;=15,24,16))</f>
        <v>32</v>
      </c>
      <c r="D21" s="15">
        <f>IF(COUNTIF('Résultats des tournois'!$B21:'Résultats des tournois'!D21,"&lt;&gt;")&lt;=5,32,IF(COUNTIF('Résultats des tournois'!$B21:'Résultats des tournois'!D21,"&lt;&gt;")&lt;=15,24,16))</f>
        <v>32</v>
      </c>
      <c r="E21" s="15">
        <f>IF(COUNTIF('Résultats des tournois'!$B21:'Résultats des tournois'!E21,"&lt;&gt;")&lt;=5,32,IF(COUNTIF('Résultats des tournois'!$B21:'Résultats des tournois'!E21,"&lt;&gt;")&lt;=15,24,16))</f>
        <v>32</v>
      </c>
      <c r="F21" s="15">
        <f>IF(COUNTIF('Résultats des tournois'!$B21:'Résultats des tournois'!F21,"&lt;&gt;")&lt;=5,32,IF(COUNTIF('Résultats des tournois'!$B21:'Résultats des tournois'!F21,"&lt;&gt;")&lt;=15,24,16))</f>
        <v>32</v>
      </c>
      <c r="G21" s="15">
        <f>IF(COUNTIF('Résultats des tournois'!$B21:'Résultats des tournois'!G21,"&lt;&gt;")&lt;=5,32,IF(COUNTIF('Résultats des tournois'!$B21:'Résultats des tournois'!G21,"&lt;&gt;")&lt;=15,24,16))</f>
        <v>32</v>
      </c>
      <c r="H21" s="15">
        <f>IF(COUNTIF('Résultats des tournois'!$B21:'Résultats des tournois'!H21,"&lt;&gt;")&lt;=5,32,IF(COUNTIF('Résultats des tournois'!$B21:'Résultats des tournois'!H21,"&lt;&gt;")&lt;=15,24,16))</f>
        <v>32</v>
      </c>
      <c r="I21" s="15">
        <f>IF(COUNTIF('Résultats des tournois'!$B21:'Résultats des tournois'!I21,"&lt;&gt;")&lt;=5,32,IF(COUNTIF('Résultats des tournois'!$B21:'Résultats des tournois'!I21,"&lt;&gt;")&lt;=15,24,16))</f>
        <v>32</v>
      </c>
      <c r="J21" s="15">
        <f>IF(COUNTIF('Résultats des tournois'!$B21:'Résultats des tournois'!J21,"&lt;&gt;")&lt;=5,32,IF(COUNTIF('Résultats des tournois'!$B21:'Résultats des tournois'!J21,"&lt;&gt;")&lt;=15,24,16))</f>
        <v>32</v>
      </c>
      <c r="K21" s="15">
        <f>IF(COUNTIF('Résultats des tournois'!$B21:'Résultats des tournois'!K21,"&lt;&gt;")&lt;=5,32,IF(COUNTIF('Résultats des tournois'!$B21:'Résultats des tournois'!K21,"&lt;&gt;")&lt;=15,24,16))</f>
        <v>32</v>
      </c>
      <c r="L21" s="15">
        <f>IF(COUNTIF('Résultats des tournois'!$B21:'Résultats des tournois'!L21,"&lt;&gt;")&lt;=5,32,IF(COUNTIF('Résultats des tournois'!$B21:'Résultats des tournois'!L21,"&lt;&gt;")&lt;=15,24,16))</f>
        <v>32</v>
      </c>
      <c r="M21" s="15">
        <f>IF(COUNTIF('Résultats des tournois'!$B21:'Résultats des tournois'!M21,"&lt;&gt;")&lt;=5,32,IF(COUNTIF('Résultats des tournois'!$B21:'Résultats des tournois'!M21,"&lt;&gt;")&lt;=15,24,16))</f>
        <v>32</v>
      </c>
      <c r="N21" s="15">
        <f>IF(COUNTIF('Résultats des tournois'!$B21:'Résultats des tournois'!N21,"&lt;&gt;")&lt;=5,32,IF(COUNTIF('Résultats des tournois'!$B21:'Résultats des tournois'!N21,"&lt;&gt;")&lt;=15,24,16))</f>
        <v>32</v>
      </c>
      <c r="O21" s="15">
        <f>IF(COUNTIF('Résultats des tournois'!$B21:'Résultats des tournois'!O21,"&lt;&gt;")&lt;=5,32,IF(COUNTIF('Résultats des tournois'!$B21:'Résultats des tournois'!O21,"&lt;&gt;")&lt;=15,24,16))</f>
        <v>32</v>
      </c>
      <c r="P21" s="15">
        <f>IF(COUNTIF('Résultats des tournois'!$B21:'Résultats des tournois'!P21,"&lt;&gt;")&lt;=5,32,IF(COUNTIF('Résultats des tournois'!$B21:'Résultats des tournois'!P21,"&lt;&gt;")&lt;=15,24,16))</f>
        <v>32</v>
      </c>
      <c r="Q21" s="15">
        <f>IF(COUNTIF('Résultats des tournois'!$B21:'Résultats des tournois'!Q21,"&lt;&gt;")&lt;=5,32,IF(COUNTIF('Résultats des tournois'!$B21:'Résultats des tournois'!Q21,"&lt;&gt;")&lt;=15,24,16))</f>
        <v>32</v>
      </c>
      <c r="R21" s="15">
        <f>IF(COUNTIF('Résultats des tournois'!$B21:'Résultats des tournois'!R21,"&lt;&gt;")&lt;=5,32,IF(COUNTIF('Résultats des tournois'!$B21:'Résultats des tournois'!R21,"&lt;&gt;")&lt;=15,24,16))</f>
        <v>32</v>
      </c>
      <c r="S21" s="15">
        <f>IF(COUNTIF('Résultats des tournois'!$B21:'Résultats des tournois'!S21,"&lt;&gt;")&lt;=5,32,IF(COUNTIF('Résultats des tournois'!$B21:'Résultats des tournois'!S21,"&lt;&gt;")&lt;=15,24,16))</f>
        <v>32</v>
      </c>
      <c r="T21" s="15">
        <f>IF(COUNTIF('Résultats des tournois'!$B21:'Résultats des tournois'!T21,"&lt;&gt;")&lt;=5,32,IF(COUNTIF('Résultats des tournois'!$B21:'Résultats des tournois'!T21,"&lt;&gt;")&lt;=15,24,16))</f>
        <v>32</v>
      </c>
      <c r="U21" s="15">
        <f>IF(COUNTIF('Résultats des tournois'!$B21:'Résultats des tournois'!U21,"&lt;&gt;")&lt;=5,32,IF(COUNTIF('Résultats des tournois'!$B21:'Résultats des tournois'!U21,"&lt;&gt;")&lt;=15,24,16))</f>
        <v>32</v>
      </c>
      <c r="V21" s="15">
        <f>IF(COUNTIF('Résultats des tournois'!$B21:'Résultats des tournois'!V21,"&lt;&gt;")&lt;=5,32,IF(COUNTIF('Résultats des tournois'!$B21:'Résultats des tournois'!V21,"&lt;&gt;")&lt;=15,24,16))</f>
        <v>32</v>
      </c>
      <c r="W21" s="15">
        <f>IF(COUNTIF('Résultats des tournois'!$B21:'Résultats des tournois'!W21,"&lt;&gt;")&lt;=5,32,IF(COUNTIF('Résultats des tournois'!$B21:'Résultats des tournois'!W21,"&lt;&gt;")&lt;=15,24,16))</f>
        <v>32</v>
      </c>
      <c r="X21" s="15">
        <f>IF(COUNTIF('Résultats des tournois'!$B21:'Résultats des tournois'!X21,"&lt;&gt;")&lt;=5,32,IF(COUNTIF('Résultats des tournois'!$B21:'Résultats des tournois'!X21,"&lt;&gt;")&lt;=15,24,16))</f>
        <v>32</v>
      </c>
      <c r="Y21" s="15">
        <f>IF(COUNTIF('Résultats des tournois'!$B21:'Résultats des tournois'!Y21,"&lt;&gt;")&lt;=5,32,IF(COUNTIF('Résultats des tournois'!$B21:'Résultats des tournois'!Y21,"&lt;&gt;")&lt;=15,24,16))</f>
        <v>32</v>
      </c>
      <c r="Z21" s="15">
        <f>IF(COUNTIF('Résultats des tournois'!$B21:'Résultats des tournois'!Z21,"&lt;&gt;")&lt;=5,32,IF(COUNTIF('Résultats des tournois'!$B21:'Résultats des tournois'!Z21,"&lt;&gt;")&lt;=15,24,16))</f>
        <v>32</v>
      </c>
      <c r="AA21" s="15">
        <f>IF(COUNTIF('Résultats des tournois'!$B21:'Résultats des tournois'!AA21,"&lt;&gt;")&lt;=5,32,IF(COUNTIF('Résultats des tournois'!$B21:'Résultats des tournois'!AA21,"&lt;&gt;")&lt;=15,24,16))</f>
        <v>32</v>
      </c>
      <c r="AB21" s="15">
        <f>IF(COUNTIF('Résultats des tournois'!$B21:'Résultats des tournois'!AB21,"&lt;&gt;")&lt;=5,32,IF(COUNTIF('Résultats des tournois'!$B21:'Résultats des tournois'!AB21,"&lt;&gt;")&lt;=15,24,16))</f>
        <v>32</v>
      </c>
      <c r="AC21" s="15">
        <f>IF(COUNTIF('Résultats des tournois'!$B21:'Résultats des tournois'!AC21,"&lt;&gt;")&lt;=5,32,IF(COUNTIF('Résultats des tournois'!$B21:'Résultats des tournois'!AC21,"&lt;&gt;")&lt;=15,24,16))</f>
        <v>32</v>
      </c>
      <c r="AD21" s="15">
        <f>IF(COUNTIF('Résultats des tournois'!$B21:'Résultats des tournois'!AD21,"&lt;&gt;")&lt;=5,32,IF(COUNTIF('Résultats des tournois'!$B21:'Résultats des tournois'!AD21,"&lt;&gt;")&lt;=15,24,16))</f>
        <v>32</v>
      </c>
      <c r="AE21" s="15">
        <f>IF(COUNTIF('Résultats des tournois'!$B21:'Résultats des tournois'!AE21,"&lt;&gt;")&lt;=5,32,IF(COUNTIF('Résultats des tournois'!$B21:'Résultats des tournois'!AE21,"&lt;&gt;")&lt;=15,24,16))</f>
        <v>32</v>
      </c>
      <c r="AF21" s="15">
        <f>IF(COUNTIF('Résultats des tournois'!$B21:'Résultats des tournois'!AF21,"&lt;&gt;")&lt;=5,32,IF(COUNTIF('Résultats des tournois'!$B21:'Résultats des tournois'!AF21,"&lt;&gt;")&lt;=15,24,16))</f>
        <v>32</v>
      </c>
      <c r="AG21" s="15">
        <f>IF(COUNTIF('Résultats des tournois'!$B21:'Résultats des tournois'!AG21,"&lt;&gt;")&lt;=5,32,IF(COUNTIF('Résultats des tournois'!$B21:'Résultats des tournois'!AG21,"&lt;&gt;")&lt;=15,24,16))</f>
        <v>32</v>
      </c>
      <c r="AH21" s="15">
        <f>IF(COUNTIF('Résultats des tournois'!$B21:'Résultats des tournois'!AH21,"&lt;&gt;")&lt;=5,32,IF(COUNTIF('Résultats des tournois'!$B21:'Résultats des tournois'!AH21,"&lt;&gt;")&lt;=15,24,16))</f>
        <v>32</v>
      </c>
      <c r="AI21" s="15">
        <f>IF(COUNTIF('Résultats des tournois'!$B21:'Résultats des tournois'!AI21,"&lt;&gt;")&lt;=5,32,IF(COUNTIF('Résultats des tournois'!$B21:'Résultats des tournois'!AI21,"&lt;&gt;")&lt;=15,24,16))</f>
        <v>32</v>
      </c>
      <c r="AJ21" s="15">
        <f>IF(COUNTIF('Résultats des tournois'!$B21:'Résultats des tournois'!AJ21,"&lt;&gt;")&lt;=5,32,IF(COUNTIF('Résultats des tournois'!$B21:'Résultats des tournois'!AJ21,"&lt;&gt;")&lt;=15,24,16))</f>
        <v>32</v>
      </c>
      <c r="AK21" s="15">
        <f>IF(COUNTIF('Résultats des tournois'!$B21:'Résultats des tournois'!AK21,"&lt;&gt;")&lt;=5,32,IF(COUNTIF('Résultats des tournois'!$B21:'Résultats des tournois'!AK21,"&lt;&gt;")&lt;=15,24,16))</f>
        <v>32</v>
      </c>
      <c r="AL21" s="15">
        <f>IF(COUNTIF('Résultats des tournois'!$B21:'Résultats des tournois'!AL21,"&lt;&gt;")&lt;=5,32,IF(COUNTIF('Résultats des tournois'!$B21:'Résultats des tournois'!AL21,"&lt;&gt;")&lt;=15,24,16))</f>
        <v>32</v>
      </c>
      <c r="AM21" s="15">
        <f>IF(COUNTIF('Résultats des tournois'!$B21:'Résultats des tournois'!AM21,"&lt;&gt;")&lt;=5,32,IF(COUNTIF('Résultats des tournois'!$B21:'Résultats des tournois'!AM21,"&lt;&gt;")&lt;=15,24,16))</f>
        <v>32</v>
      </c>
      <c r="AN21" s="15">
        <f>IF(COUNTIF('Résultats des tournois'!$B21:'Résultats des tournois'!AN21,"&lt;&gt;")&lt;=5,32,IF(COUNTIF('Résultats des tournois'!$B21:'Résultats des tournois'!AN21,"&lt;&gt;")&lt;=15,24,16))</f>
        <v>32</v>
      </c>
      <c r="AO21" s="15">
        <f>IF(COUNTIF('Résultats des tournois'!$B21:'Résultats des tournois'!AO21,"&lt;&gt;")&lt;=5,32,IF(COUNTIF('Résultats des tournois'!$B21:'Résultats des tournois'!AO21,"&lt;&gt;")&lt;=15,24,16))</f>
        <v>32</v>
      </c>
      <c r="AP21" s="15">
        <f>IF(COUNTIF('Résultats des tournois'!$B21:'Résultats des tournois'!AP21,"&lt;&gt;")&lt;=5,32,IF(COUNTIF('Résultats des tournois'!$B21:'Résultats des tournois'!AP21,"&lt;&gt;")&lt;=15,24,16))</f>
        <v>32</v>
      </c>
      <c r="AQ21" s="15">
        <f>IF(COUNTIF('Résultats des tournois'!$B21:'Résultats des tournois'!AQ21,"&lt;&gt;")&lt;=5,32,IF(COUNTIF('Résultats des tournois'!$B21:'Résultats des tournois'!AQ21,"&lt;&gt;")&lt;=15,24,16))</f>
        <v>32</v>
      </c>
      <c r="AR21" s="15">
        <f>IF(COUNTIF('Résultats des tournois'!$B21:'Résultats des tournois'!AR21,"&lt;&gt;")&lt;=5,32,IF(COUNTIF('Résultats des tournois'!$B21:'Résultats des tournois'!AR21,"&lt;&gt;")&lt;=15,24,16))</f>
        <v>32</v>
      </c>
      <c r="AS21" s="15">
        <f>IF(COUNTIF('Résultats des tournois'!$B21:'Résultats des tournois'!AS21,"&lt;&gt;")&lt;=5,32,IF(COUNTIF('Résultats des tournois'!$B21:'Résultats des tournois'!AS21,"&lt;&gt;")&lt;=15,24,16))</f>
        <v>32</v>
      </c>
      <c r="AT21" s="15">
        <f>IF(COUNTIF('Résultats des tournois'!$B21:'Résultats des tournois'!AT21,"&lt;&gt;")&lt;=5,32,IF(COUNTIF('Résultats des tournois'!$B21:'Résultats des tournois'!AT21,"&lt;&gt;")&lt;=15,24,16))</f>
        <v>32</v>
      </c>
      <c r="AU21" s="15">
        <f>IF(COUNTIF('Résultats des tournois'!$B21:'Résultats des tournois'!AU21,"&lt;&gt;")&lt;=5,32,IF(COUNTIF('Résultats des tournois'!$B21:'Résultats des tournois'!AU21,"&lt;&gt;")&lt;=15,24,16))</f>
        <v>32</v>
      </c>
      <c r="AV21" s="15">
        <f>IF(COUNTIF('Résultats des tournois'!$B21:'Résultats des tournois'!AV21,"&lt;&gt;")&lt;=5,32,IF(COUNTIF('Résultats des tournois'!$B21:'Résultats des tournois'!AV21,"&lt;&gt;")&lt;=15,24,16))</f>
        <v>32</v>
      </c>
      <c r="AW21" s="15">
        <f>IF(COUNTIF('Résultats des tournois'!$B21:'Résultats des tournois'!AW21,"&lt;&gt;")&lt;=5,32,IF(COUNTIF('Résultats des tournois'!$B21:'Résultats des tournois'!AW21,"&lt;&gt;")&lt;=15,24,16))</f>
        <v>32</v>
      </c>
      <c r="AX21" s="15">
        <f>IF(COUNTIF('Résultats des tournois'!$B21:'Résultats des tournois'!AX21,"&lt;&gt;")&lt;=5,32,IF(COUNTIF('Résultats des tournois'!$B21:'Résultats des tournois'!AX21,"&lt;&gt;")&lt;=15,24,16))</f>
        <v>32</v>
      </c>
    </row>
    <row r="22" ht="14.25" customHeight="1">
      <c r="A22" s="15" t="str">
        <f>IF('Résultats des tournois'!A22="","",'Résultats des tournois'!A22)</f>
        <v>Teddy</v>
      </c>
      <c r="B22" s="15">
        <f>IF(COUNTIF('Résultats des tournois'!B22,"&lt;&gt;")&lt;=5,32,IF(COUNTIF('Résultats des tournois'!B22,"&lt;&gt;")&lt;=15,24,16))</f>
        <v>32</v>
      </c>
      <c r="C22" s="15">
        <f>IF(COUNTIF('Résultats des tournois'!$B22:'Résultats des tournois'!C22,"&lt;&gt;")&lt;=5,32,IF(COUNTIF('Résultats des tournois'!$B22:'Résultats des tournois'!C22,"&lt;&gt;")&lt;=15,24,16))</f>
        <v>32</v>
      </c>
      <c r="D22" s="15">
        <f>IF(COUNTIF('Résultats des tournois'!$B22:'Résultats des tournois'!D22,"&lt;&gt;")&lt;=5,32,IF(COUNTIF('Résultats des tournois'!$B22:'Résultats des tournois'!D22,"&lt;&gt;")&lt;=15,24,16))</f>
        <v>32</v>
      </c>
      <c r="E22" s="15">
        <f>IF(COUNTIF('Résultats des tournois'!$B22:'Résultats des tournois'!E22,"&lt;&gt;")&lt;=5,32,IF(COUNTIF('Résultats des tournois'!$B22:'Résultats des tournois'!E22,"&lt;&gt;")&lt;=15,24,16))</f>
        <v>32</v>
      </c>
      <c r="F22" s="15">
        <f>IF(COUNTIF('Résultats des tournois'!$B22:'Résultats des tournois'!F22,"&lt;&gt;")&lt;=5,32,IF(COUNTIF('Résultats des tournois'!$B22:'Résultats des tournois'!F22,"&lt;&gt;")&lt;=15,24,16))</f>
        <v>32</v>
      </c>
      <c r="G22" s="15">
        <f>IF(COUNTIF('Résultats des tournois'!$B22:'Résultats des tournois'!G22,"&lt;&gt;")&lt;=5,32,IF(COUNTIF('Résultats des tournois'!$B22:'Résultats des tournois'!G22,"&lt;&gt;")&lt;=15,24,16))</f>
        <v>32</v>
      </c>
      <c r="H22" s="15">
        <f>IF(COUNTIF('Résultats des tournois'!$B22:'Résultats des tournois'!H22,"&lt;&gt;")&lt;=5,32,IF(COUNTIF('Résultats des tournois'!$B22:'Résultats des tournois'!H22,"&lt;&gt;")&lt;=15,24,16))</f>
        <v>32</v>
      </c>
      <c r="I22" s="15">
        <f>IF(COUNTIF('Résultats des tournois'!$B22:'Résultats des tournois'!I22,"&lt;&gt;")&lt;=5,32,IF(COUNTIF('Résultats des tournois'!$B22:'Résultats des tournois'!I22,"&lt;&gt;")&lt;=15,24,16))</f>
        <v>32</v>
      </c>
      <c r="J22" s="15">
        <f>IF(COUNTIF('Résultats des tournois'!$B22:'Résultats des tournois'!J22,"&lt;&gt;")&lt;=5,32,IF(COUNTIF('Résultats des tournois'!$B22:'Résultats des tournois'!J22,"&lt;&gt;")&lt;=15,24,16))</f>
        <v>32</v>
      </c>
      <c r="K22" s="15">
        <f>IF(COUNTIF('Résultats des tournois'!$B22:'Résultats des tournois'!K22,"&lt;&gt;")&lt;=5,32,IF(COUNTIF('Résultats des tournois'!$B22:'Résultats des tournois'!K22,"&lt;&gt;")&lt;=15,24,16))</f>
        <v>32</v>
      </c>
      <c r="L22" s="15">
        <f>IF(COUNTIF('Résultats des tournois'!$B22:'Résultats des tournois'!L22,"&lt;&gt;")&lt;=5,32,IF(COUNTIF('Résultats des tournois'!$B22:'Résultats des tournois'!L22,"&lt;&gt;")&lt;=15,24,16))</f>
        <v>32</v>
      </c>
      <c r="M22" s="15">
        <f>IF(COUNTIF('Résultats des tournois'!$B22:'Résultats des tournois'!M22,"&lt;&gt;")&lt;=5,32,IF(COUNTIF('Résultats des tournois'!$B22:'Résultats des tournois'!M22,"&lt;&gt;")&lt;=15,24,16))</f>
        <v>32</v>
      </c>
      <c r="N22" s="15">
        <f>IF(COUNTIF('Résultats des tournois'!$B22:'Résultats des tournois'!N22,"&lt;&gt;")&lt;=5,32,IF(COUNTIF('Résultats des tournois'!$B22:'Résultats des tournois'!N22,"&lt;&gt;")&lt;=15,24,16))</f>
        <v>32</v>
      </c>
      <c r="O22" s="15">
        <f>IF(COUNTIF('Résultats des tournois'!$B22:'Résultats des tournois'!O22,"&lt;&gt;")&lt;=5,32,IF(COUNTIF('Résultats des tournois'!$B22:'Résultats des tournois'!O22,"&lt;&gt;")&lt;=15,24,16))</f>
        <v>32</v>
      </c>
      <c r="P22" s="15">
        <f>IF(COUNTIF('Résultats des tournois'!$B22:'Résultats des tournois'!P22,"&lt;&gt;")&lt;=5,32,IF(COUNTIF('Résultats des tournois'!$B22:'Résultats des tournois'!P22,"&lt;&gt;")&lt;=15,24,16))</f>
        <v>32</v>
      </c>
      <c r="Q22" s="15">
        <f>IF(COUNTIF('Résultats des tournois'!$B22:'Résultats des tournois'!Q22,"&lt;&gt;")&lt;=5,32,IF(COUNTIF('Résultats des tournois'!$B22:'Résultats des tournois'!Q22,"&lt;&gt;")&lt;=15,24,16))</f>
        <v>32</v>
      </c>
      <c r="R22" s="15">
        <f>IF(COUNTIF('Résultats des tournois'!$B22:'Résultats des tournois'!R22,"&lt;&gt;")&lt;=5,32,IF(COUNTIF('Résultats des tournois'!$B22:'Résultats des tournois'!R22,"&lt;&gt;")&lt;=15,24,16))</f>
        <v>32</v>
      </c>
      <c r="S22" s="15">
        <f>IF(COUNTIF('Résultats des tournois'!$B22:'Résultats des tournois'!S22,"&lt;&gt;")&lt;=5,32,IF(COUNTIF('Résultats des tournois'!$B22:'Résultats des tournois'!S22,"&lt;&gt;")&lt;=15,24,16))</f>
        <v>32</v>
      </c>
      <c r="T22" s="15">
        <f>IF(COUNTIF('Résultats des tournois'!$B22:'Résultats des tournois'!T22,"&lt;&gt;")&lt;=5,32,IF(COUNTIF('Résultats des tournois'!$B22:'Résultats des tournois'!T22,"&lt;&gt;")&lt;=15,24,16))</f>
        <v>32</v>
      </c>
      <c r="U22" s="15">
        <f>IF(COUNTIF('Résultats des tournois'!$B22:'Résultats des tournois'!U22,"&lt;&gt;")&lt;=5,32,IF(COUNTIF('Résultats des tournois'!$B22:'Résultats des tournois'!U22,"&lt;&gt;")&lt;=15,24,16))</f>
        <v>32</v>
      </c>
      <c r="V22" s="15">
        <f>IF(COUNTIF('Résultats des tournois'!$B22:'Résultats des tournois'!V22,"&lt;&gt;")&lt;=5,32,IF(COUNTIF('Résultats des tournois'!$B22:'Résultats des tournois'!V22,"&lt;&gt;")&lt;=15,24,16))</f>
        <v>32</v>
      </c>
      <c r="W22" s="15">
        <f>IF(COUNTIF('Résultats des tournois'!$B22:'Résultats des tournois'!W22,"&lt;&gt;")&lt;=5,32,IF(COUNTIF('Résultats des tournois'!$B22:'Résultats des tournois'!W22,"&lt;&gt;")&lt;=15,24,16))</f>
        <v>32</v>
      </c>
      <c r="X22" s="15">
        <f>IF(COUNTIF('Résultats des tournois'!$B22:'Résultats des tournois'!X22,"&lt;&gt;")&lt;=5,32,IF(COUNTIF('Résultats des tournois'!$B22:'Résultats des tournois'!X22,"&lt;&gt;")&lt;=15,24,16))</f>
        <v>32</v>
      </c>
      <c r="Y22" s="15">
        <f>IF(COUNTIF('Résultats des tournois'!$B22:'Résultats des tournois'!Y22,"&lt;&gt;")&lt;=5,32,IF(COUNTIF('Résultats des tournois'!$B22:'Résultats des tournois'!Y22,"&lt;&gt;")&lt;=15,24,16))</f>
        <v>32</v>
      </c>
      <c r="Z22" s="15">
        <f>IF(COUNTIF('Résultats des tournois'!$B22:'Résultats des tournois'!Z22,"&lt;&gt;")&lt;=5,32,IF(COUNTIF('Résultats des tournois'!$B22:'Résultats des tournois'!Z22,"&lt;&gt;")&lt;=15,24,16))</f>
        <v>32</v>
      </c>
      <c r="AA22" s="15">
        <f>IF(COUNTIF('Résultats des tournois'!$B22:'Résultats des tournois'!AA22,"&lt;&gt;")&lt;=5,32,IF(COUNTIF('Résultats des tournois'!$B22:'Résultats des tournois'!AA22,"&lt;&gt;")&lt;=15,24,16))</f>
        <v>32</v>
      </c>
      <c r="AB22" s="15">
        <f>IF(COUNTIF('Résultats des tournois'!$B22:'Résultats des tournois'!AB22,"&lt;&gt;")&lt;=5,32,IF(COUNTIF('Résultats des tournois'!$B22:'Résultats des tournois'!AB22,"&lt;&gt;")&lt;=15,24,16))</f>
        <v>32</v>
      </c>
      <c r="AC22" s="15">
        <f>IF(COUNTIF('Résultats des tournois'!$B22:'Résultats des tournois'!AC22,"&lt;&gt;")&lt;=5,32,IF(COUNTIF('Résultats des tournois'!$B22:'Résultats des tournois'!AC22,"&lt;&gt;")&lt;=15,24,16))</f>
        <v>32</v>
      </c>
      <c r="AD22" s="15">
        <f>IF(COUNTIF('Résultats des tournois'!$B22:'Résultats des tournois'!AD22,"&lt;&gt;")&lt;=5,32,IF(COUNTIF('Résultats des tournois'!$B22:'Résultats des tournois'!AD22,"&lt;&gt;")&lt;=15,24,16))</f>
        <v>32</v>
      </c>
      <c r="AE22" s="15">
        <f>IF(COUNTIF('Résultats des tournois'!$B22:'Résultats des tournois'!AE22,"&lt;&gt;")&lt;=5,32,IF(COUNTIF('Résultats des tournois'!$B22:'Résultats des tournois'!AE22,"&lt;&gt;")&lt;=15,24,16))</f>
        <v>32</v>
      </c>
      <c r="AF22" s="15">
        <f>IF(COUNTIF('Résultats des tournois'!$B22:'Résultats des tournois'!AF22,"&lt;&gt;")&lt;=5,32,IF(COUNTIF('Résultats des tournois'!$B22:'Résultats des tournois'!AF22,"&lt;&gt;")&lt;=15,24,16))</f>
        <v>32</v>
      </c>
      <c r="AG22" s="15">
        <f>IF(COUNTIF('Résultats des tournois'!$B22:'Résultats des tournois'!AG22,"&lt;&gt;")&lt;=5,32,IF(COUNTIF('Résultats des tournois'!$B22:'Résultats des tournois'!AG22,"&lt;&gt;")&lt;=15,24,16))</f>
        <v>32</v>
      </c>
      <c r="AH22" s="15">
        <f>IF(COUNTIF('Résultats des tournois'!$B22:'Résultats des tournois'!AH22,"&lt;&gt;")&lt;=5,32,IF(COUNTIF('Résultats des tournois'!$B22:'Résultats des tournois'!AH22,"&lt;&gt;")&lt;=15,24,16))</f>
        <v>32</v>
      </c>
      <c r="AI22" s="15">
        <f>IF(COUNTIF('Résultats des tournois'!$B22:'Résultats des tournois'!AI22,"&lt;&gt;")&lt;=5,32,IF(COUNTIF('Résultats des tournois'!$B22:'Résultats des tournois'!AI22,"&lt;&gt;")&lt;=15,24,16))</f>
        <v>32</v>
      </c>
      <c r="AJ22" s="15">
        <f>IF(COUNTIF('Résultats des tournois'!$B22:'Résultats des tournois'!AJ22,"&lt;&gt;")&lt;=5,32,IF(COUNTIF('Résultats des tournois'!$B22:'Résultats des tournois'!AJ22,"&lt;&gt;")&lt;=15,24,16))</f>
        <v>32</v>
      </c>
      <c r="AK22" s="15">
        <f>IF(COUNTIF('Résultats des tournois'!$B22:'Résultats des tournois'!AK22,"&lt;&gt;")&lt;=5,32,IF(COUNTIF('Résultats des tournois'!$B22:'Résultats des tournois'!AK22,"&lt;&gt;")&lt;=15,24,16))</f>
        <v>32</v>
      </c>
      <c r="AL22" s="15">
        <f>IF(COUNTIF('Résultats des tournois'!$B22:'Résultats des tournois'!AL22,"&lt;&gt;")&lt;=5,32,IF(COUNTIF('Résultats des tournois'!$B22:'Résultats des tournois'!AL22,"&lt;&gt;")&lt;=15,24,16))</f>
        <v>32</v>
      </c>
      <c r="AM22" s="15">
        <f>IF(COUNTIF('Résultats des tournois'!$B22:'Résultats des tournois'!AM22,"&lt;&gt;")&lt;=5,32,IF(COUNTIF('Résultats des tournois'!$B22:'Résultats des tournois'!AM22,"&lt;&gt;")&lt;=15,24,16))</f>
        <v>32</v>
      </c>
      <c r="AN22" s="15">
        <f>IF(COUNTIF('Résultats des tournois'!$B22:'Résultats des tournois'!AN22,"&lt;&gt;")&lt;=5,32,IF(COUNTIF('Résultats des tournois'!$B22:'Résultats des tournois'!AN22,"&lt;&gt;")&lt;=15,24,16))</f>
        <v>32</v>
      </c>
      <c r="AO22" s="15">
        <f>IF(COUNTIF('Résultats des tournois'!$B22:'Résultats des tournois'!AO22,"&lt;&gt;")&lt;=5,32,IF(COUNTIF('Résultats des tournois'!$B22:'Résultats des tournois'!AO22,"&lt;&gt;")&lt;=15,24,16))</f>
        <v>32</v>
      </c>
      <c r="AP22" s="15">
        <f>IF(COUNTIF('Résultats des tournois'!$B22:'Résultats des tournois'!AP22,"&lt;&gt;")&lt;=5,32,IF(COUNTIF('Résultats des tournois'!$B22:'Résultats des tournois'!AP22,"&lt;&gt;")&lt;=15,24,16))</f>
        <v>32</v>
      </c>
      <c r="AQ22" s="15">
        <f>IF(COUNTIF('Résultats des tournois'!$B22:'Résultats des tournois'!AQ22,"&lt;&gt;")&lt;=5,32,IF(COUNTIF('Résultats des tournois'!$B22:'Résultats des tournois'!AQ22,"&lt;&gt;")&lt;=15,24,16))</f>
        <v>32</v>
      </c>
      <c r="AR22" s="15">
        <f>IF(COUNTIF('Résultats des tournois'!$B22:'Résultats des tournois'!AR22,"&lt;&gt;")&lt;=5,32,IF(COUNTIF('Résultats des tournois'!$B22:'Résultats des tournois'!AR22,"&lt;&gt;")&lt;=15,24,16))</f>
        <v>32</v>
      </c>
      <c r="AS22" s="15">
        <f>IF(COUNTIF('Résultats des tournois'!$B22:'Résultats des tournois'!AS22,"&lt;&gt;")&lt;=5,32,IF(COUNTIF('Résultats des tournois'!$B22:'Résultats des tournois'!AS22,"&lt;&gt;")&lt;=15,24,16))</f>
        <v>32</v>
      </c>
      <c r="AT22" s="15">
        <f>IF(COUNTIF('Résultats des tournois'!$B22:'Résultats des tournois'!AT22,"&lt;&gt;")&lt;=5,32,IF(COUNTIF('Résultats des tournois'!$B22:'Résultats des tournois'!AT22,"&lt;&gt;")&lt;=15,24,16))</f>
        <v>32</v>
      </c>
      <c r="AU22" s="15">
        <f>IF(COUNTIF('Résultats des tournois'!$B22:'Résultats des tournois'!AU22,"&lt;&gt;")&lt;=5,32,IF(COUNTIF('Résultats des tournois'!$B22:'Résultats des tournois'!AU22,"&lt;&gt;")&lt;=15,24,16))</f>
        <v>32</v>
      </c>
      <c r="AV22" s="15">
        <f>IF(COUNTIF('Résultats des tournois'!$B22:'Résultats des tournois'!AV22,"&lt;&gt;")&lt;=5,32,IF(COUNTIF('Résultats des tournois'!$B22:'Résultats des tournois'!AV22,"&lt;&gt;")&lt;=15,24,16))</f>
        <v>32</v>
      </c>
      <c r="AW22" s="15">
        <f>IF(COUNTIF('Résultats des tournois'!$B22:'Résultats des tournois'!AW22,"&lt;&gt;")&lt;=5,32,IF(COUNTIF('Résultats des tournois'!$B22:'Résultats des tournois'!AW22,"&lt;&gt;")&lt;=15,24,16))</f>
        <v>32</v>
      </c>
      <c r="AX22" s="15">
        <f>IF(COUNTIF('Résultats des tournois'!$B22:'Résultats des tournois'!AX22,"&lt;&gt;")&lt;=5,32,IF(COUNTIF('Résultats des tournois'!$B22:'Résultats des tournois'!AX22,"&lt;&gt;")&lt;=15,24,16))</f>
        <v>32</v>
      </c>
    </row>
    <row r="23" ht="14.25" customHeight="1">
      <c r="A23" s="15" t="str">
        <f>IF('Résultats des tournois'!A23="","",'Résultats des tournois'!A23)</f>
        <v>Benoît</v>
      </c>
      <c r="B23" s="15">
        <f>IF(COUNTIF('Résultats des tournois'!B23,"&lt;&gt;")&lt;=5,32,IF(COUNTIF('Résultats des tournois'!B23,"&lt;&gt;")&lt;=15,24,16))</f>
        <v>32</v>
      </c>
      <c r="C23" s="15">
        <f>IF(COUNTIF('Résultats des tournois'!$B23:'Résultats des tournois'!C23,"&lt;&gt;")&lt;=5,32,IF(COUNTIF('Résultats des tournois'!$B23:'Résultats des tournois'!C23,"&lt;&gt;")&lt;=15,24,16))</f>
        <v>32</v>
      </c>
      <c r="D23" s="15">
        <f>IF(COUNTIF('Résultats des tournois'!$B23:'Résultats des tournois'!D23,"&lt;&gt;")&lt;=5,32,IF(COUNTIF('Résultats des tournois'!$B23:'Résultats des tournois'!D23,"&lt;&gt;")&lt;=15,24,16))</f>
        <v>32</v>
      </c>
      <c r="E23" s="15">
        <f>IF(COUNTIF('Résultats des tournois'!$B23:'Résultats des tournois'!E23,"&lt;&gt;")&lt;=5,32,IF(COUNTIF('Résultats des tournois'!$B23:'Résultats des tournois'!E23,"&lt;&gt;")&lt;=15,24,16))</f>
        <v>32</v>
      </c>
      <c r="F23" s="15">
        <f>IF(COUNTIF('Résultats des tournois'!$B23:'Résultats des tournois'!F23,"&lt;&gt;")&lt;=5,32,IF(COUNTIF('Résultats des tournois'!$B23:'Résultats des tournois'!F23,"&lt;&gt;")&lt;=15,24,16))</f>
        <v>32</v>
      </c>
      <c r="G23" s="15">
        <f>IF(COUNTIF('Résultats des tournois'!$B23:'Résultats des tournois'!G23,"&lt;&gt;")&lt;=5,32,IF(COUNTIF('Résultats des tournois'!$B23:'Résultats des tournois'!G23,"&lt;&gt;")&lt;=15,24,16))</f>
        <v>32</v>
      </c>
      <c r="H23" s="15">
        <f>IF(COUNTIF('Résultats des tournois'!$B23:'Résultats des tournois'!H23,"&lt;&gt;")&lt;=5,32,IF(COUNTIF('Résultats des tournois'!$B23:'Résultats des tournois'!H23,"&lt;&gt;")&lt;=15,24,16))</f>
        <v>32</v>
      </c>
      <c r="I23" s="15">
        <f>IF(COUNTIF('Résultats des tournois'!$B23:'Résultats des tournois'!I23,"&lt;&gt;")&lt;=5,32,IF(COUNTIF('Résultats des tournois'!$B23:'Résultats des tournois'!I23,"&lt;&gt;")&lt;=15,24,16))</f>
        <v>32</v>
      </c>
      <c r="J23" s="15">
        <f>IF(COUNTIF('Résultats des tournois'!$B23:'Résultats des tournois'!J23,"&lt;&gt;")&lt;=5,32,IF(COUNTIF('Résultats des tournois'!$B23:'Résultats des tournois'!J23,"&lt;&gt;")&lt;=15,24,16))</f>
        <v>32</v>
      </c>
      <c r="K23" s="15">
        <f>IF(COUNTIF('Résultats des tournois'!$B23:'Résultats des tournois'!K23,"&lt;&gt;")&lt;=5,32,IF(COUNTIF('Résultats des tournois'!$B23:'Résultats des tournois'!K23,"&lt;&gt;")&lt;=15,24,16))</f>
        <v>32</v>
      </c>
      <c r="L23" s="15">
        <f>IF(COUNTIF('Résultats des tournois'!$B23:'Résultats des tournois'!L23,"&lt;&gt;")&lt;=5,32,IF(COUNTIF('Résultats des tournois'!$B23:'Résultats des tournois'!L23,"&lt;&gt;")&lt;=15,24,16))</f>
        <v>32</v>
      </c>
      <c r="M23" s="15">
        <f>IF(COUNTIF('Résultats des tournois'!$B23:'Résultats des tournois'!M23,"&lt;&gt;")&lt;=5,32,IF(COUNTIF('Résultats des tournois'!$B23:'Résultats des tournois'!M23,"&lt;&gt;")&lt;=15,24,16))</f>
        <v>32</v>
      </c>
      <c r="N23" s="15">
        <f>IF(COUNTIF('Résultats des tournois'!$B23:'Résultats des tournois'!N23,"&lt;&gt;")&lt;=5,32,IF(COUNTIF('Résultats des tournois'!$B23:'Résultats des tournois'!N23,"&lt;&gt;")&lt;=15,24,16))</f>
        <v>32</v>
      </c>
      <c r="O23" s="15">
        <f>IF(COUNTIF('Résultats des tournois'!$B23:'Résultats des tournois'!O23,"&lt;&gt;")&lt;=5,32,IF(COUNTIF('Résultats des tournois'!$B23:'Résultats des tournois'!O23,"&lt;&gt;")&lt;=15,24,16))</f>
        <v>32</v>
      </c>
      <c r="P23" s="15">
        <f>IF(COUNTIF('Résultats des tournois'!$B23:'Résultats des tournois'!P23,"&lt;&gt;")&lt;=5,32,IF(COUNTIF('Résultats des tournois'!$B23:'Résultats des tournois'!P23,"&lt;&gt;")&lt;=15,24,16))</f>
        <v>32</v>
      </c>
      <c r="Q23" s="15">
        <f>IF(COUNTIF('Résultats des tournois'!$B23:'Résultats des tournois'!Q23,"&lt;&gt;")&lt;=5,32,IF(COUNTIF('Résultats des tournois'!$B23:'Résultats des tournois'!Q23,"&lt;&gt;")&lt;=15,24,16))</f>
        <v>32</v>
      </c>
      <c r="R23" s="15">
        <f>IF(COUNTIF('Résultats des tournois'!$B23:'Résultats des tournois'!R23,"&lt;&gt;")&lt;=5,32,IF(COUNTIF('Résultats des tournois'!$B23:'Résultats des tournois'!R23,"&lt;&gt;")&lt;=15,24,16))</f>
        <v>32</v>
      </c>
      <c r="S23" s="15">
        <f>IF(COUNTIF('Résultats des tournois'!$B23:'Résultats des tournois'!S23,"&lt;&gt;")&lt;=5,32,IF(COUNTIF('Résultats des tournois'!$B23:'Résultats des tournois'!S23,"&lt;&gt;")&lt;=15,24,16))</f>
        <v>32</v>
      </c>
      <c r="T23" s="15">
        <f>IF(COUNTIF('Résultats des tournois'!$B23:'Résultats des tournois'!T23,"&lt;&gt;")&lt;=5,32,IF(COUNTIF('Résultats des tournois'!$B23:'Résultats des tournois'!T23,"&lt;&gt;")&lt;=15,24,16))</f>
        <v>32</v>
      </c>
      <c r="U23" s="15">
        <f>IF(COUNTIF('Résultats des tournois'!$B23:'Résultats des tournois'!U23,"&lt;&gt;")&lt;=5,32,IF(COUNTIF('Résultats des tournois'!$B23:'Résultats des tournois'!U23,"&lt;&gt;")&lt;=15,24,16))</f>
        <v>32</v>
      </c>
      <c r="V23" s="15">
        <f>IF(COUNTIF('Résultats des tournois'!$B23:'Résultats des tournois'!V23,"&lt;&gt;")&lt;=5,32,IF(COUNTIF('Résultats des tournois'!$B23:'Résultats des tournois'!V23,"&lt;&gt;")&lt;=15,24,16))</f>
        <v>32</v>
      </c>
      <c r="W23" s="15">
        <f>IF(COUNTIF('Résultats des tournois'!$B23:'Résultats des tournois'!W23,"&lt;&gt;")&lt;=5,32,IF(COUNTIF('Résultats des tournois'!$B23:'Résultats des tournois'!W23,"&lt;&gt;")&lt;=15,24,16))</f>
        <v>32</v>
      </c>
      <c r="X23" s="15">
        <f>IF(COUNTIF('Résultats des tournois'!$B23:'Résultats des tournois'!X23,"&lt;&gt;")&lt;=5,32,IF(COUNTIF('Résultats des tournois'!$B23:'Résultats des tournois'!X23,"&lt;&gt;")&lt;=15,24,16))</f>
        <v>32</v>
      </c>
      <c r="Y23" s="15">
        <f>IF(COUNTIF('Résultats des tournois'!$B23:'Résultats des tournois'!Y23,"&lt;&gt;")&lt;=5,32,IF(COUNTIF('Résultats des tournois'!$B23:'Résultats des tournois'!Y23,"&lt;&gt;")&lt;=15,24,16))</f>
        <v>32</v>
      </c>
      <c r="Z23" s="15">
        <f>IF(COUNTIF('Résultats des tournois'!$B23:'Résultats des tournois'!Z23,"&lt;&gt;")&lt;=5,32,IF(COUNTIF('Résultats des tournois'!$B23:'Résultats des tournois'!Z23,"&lt;&gt;")&lt;=15,24,16))</f>
        <v>32</v>
      </c>
      <c r="AA23" s="15">
        <f>IF(COUNTIF('Résultats des tournois'!$B23:'Résultats des tournois'!AA23,"&lt;&gt;")&lt;=5,32,IF(COUNTIF('Résultats des tournois'!$B23:'Résultats des tournois'!AA23,"&lt;&gt;")&lt;=15,24,16))</f>
        <v>32</v>
      </c>
      <c r="AB23" s="15">
        <f>IF(COUNTIF('Résultats des tournois'!$B23:'Résultats des tournois'!AB23,"&lt;&gt;")&lt;=5,32,IF(COUNTIF('Résultats des tournois'!$B23:'Résultats des tournois'!AB23,"&lt;&gt;")&lt;=15,24,16))</f>
        <v>32</v>
      </c>
      <c r="AC23" s="15">
        <f>IF(COUNTIF('Résultats des tournois'!$B23:'Résultats des tournois'!AC23,"&lt;&gt;")&lt;=5,32,IF(COUNTIF('Résultats des tournois'!$B23:'Résultats des tournois'!AC23,"&lt;&gt;")&lt;=15,24,16))</f>
        <v>32</v>
      </c>
      <c r="AD23" s="15">
        <f>IF(COUNTIF('Résultats des tournois'!$B23:'Résultats des tournois'!AD23,"&lt;&gt;")&lt;=5,32,IF(COUNTIF('Résultats des tournois'!$B23:'Résultats des tournois'!AD23,"&lt;&gt;")&lt;=15,24,16))</f>
        <v>32</v>
      </c>
      <c r="AE23" s="15">
        <f>IF(COUNTIF('Résultats des tournois'!$B23:'Résultats des tournois'!AE23,"&lt;&gt;")&lt;=5,32,IF(COUNTIF('Résultats des tournois'!$B23:'Résultats des tournois'!AE23,"&lt;&gt;")&lt;=15,24,16))</f>
        <v>32</v>
      </c>
      <c r="AF23" s="15">
        <f>IF(COUNTIF('Résultats des tournois'!$B23:'Résultats des tournois'!AF23,"&lt;&gt;")&lt;=5,32,IF(COUNTIF('Résultats des tournois'!$B23:'Résultats des tournois'!AF23,"&lt;&gt;")&lt;=15,24,16))</f>
        <v>32</v>
      </c>
      <c r="AG23" s="15">
        <f>IF(COUNTIF('Résultats des tournois'!$B23:'Résultats des tournois'!AG23,"&lt;&gt;")&lt;=5,32,IF(COUNTIF('Résultats des tournois'!$B23:'Résultats des tournois'!AG23,"&lt;&gt;")&lt;=15,24,16))</f>
        <v>32</v>
      </c>
      <c r="AH23" s="15">
        <f>IF(COUNTIF('Résultats des tournois'!$B23:'Résultats des tournois'!AH23,"&lt;&gt;")&lt;=5,32,IF(COUNTIF('Résultats des tournois'!$B23:'Résultats des tournois'!AH23,"&lt;&gt;")&lt;=15,24,16))</f>
        <v>32</v>
      </c>
      <c r="AI23" s="15">
        <f>IF(COUNTIF('Résultats des tournois'!$B23:'Résultats des tournois'!AI23,"&lt;&gt;")&lt;=5,32,IF(COUNTIF('Résultats des tournois'!$B23:'Résultats des tournois'!AI23,"&lt;&gt;")&lt;=15,24,16))</f>
        <v>32</v>
      </c>
      <c r="AJ23" s="15">
        <f>IF(COUNTIF('Résultats des tournois'!$B23:'Résultats des tournois'!AJ23,"&lt;&gt;")&lt;=5,32,IF(COUNTIF('Résultats des tournois'!$B23:'Résultats des tournois'!AJ23,"&lt;&gt;")&lt;=15,24,16))</f>
        <v>32</v>
      </c>
      <c r="AK23" s="15">
        <f>IF(COUNTIF('Résultats des tournois'!$B23:'Résultats des tournois'!AK23,"&lt;&gt;")&lt;=5,32,IF(COUNTIF('Résultats des tournois'!$B23:'Résultats des tournois'!AK23,"&lt;&gt;")&lt;=15,24,16))</f>
        <v>32</v>
      </c>
      <c r="AL23" s="15">
        <f>IF(COUNTIF('Résultats des tournois'!$B23:'Résultats des tournois'!AL23,"&lt;&gt;")&lt;=5,32,IF(COUNTIF('Résultats des tournois'!$B23:'Résultats des tournois'!AL23,"&lt;&gt;")&lt;=15,24,16))</f>
        <v>32</v>
      </c>
      <c r="AM23" s="15">
        <f>IF(COUNTIF('Résultats des tournois'!$B23:'Résultats des tournois'!AM23,"&lt;&gt;")&lt;=5,32,IF(COUNTIF('Résultats des tournois'!$B23:'Résultats des tournois'!AM23,"&lt;&gt;")&lt;=15,24,16))</f>
        <v>32</v>
      </c>
      <c r="AN23" s="15">
        <f>IF(COUNTIF('Résultats des tournois'!$B23:'Résultats des tournois'!AN23,"&lt;&gt;")&lt;=5,32,IF(COUNTIF('Résultats des tournois'!$B23:'Résultats des tournois'!AN23,"&lt;&gt;")&lt;=15,24,16))</f>
        <v>32</v>
      </c>
      <c r="AO23" s="15">
        <f>IF(COUNTIF('Résultats des tournois'!$B23:'Résultats des tournois'!AO23,"&lt;&gt;")&lt;=5,32,IF(COUNTIF('Résultats des tournois'!$B23:'Résultats des tournois'!AO23,"&lt;&gt;")&lt;=15,24,16))</f>
        <v>32</v>
      </c>
      <c r="AP23" s="15">
        <f>IF(COUNTIF('Résultats des tournois'!$B23:'Résultats des tournois'!AP23,"&lt;&gt;")&lt;=5,32,IF(COUNTIF('Résultats des tournois'!$B23:'Résultats des tournois'!AP23,"&lt;&gt;")&lt;=15,24,16))</f>
        <v>32</v>
      </c>
      <c r="AQ23" s="15">
        <f>IF(COUNTIF('Résultats des tournois'!$B23:'Résultats des tournois'!AQ23,"&lt;&gt;")&lt;=5,32,IF(COUNTIF('Résultats des tournois'!$B23:'Résultats des tournois'!AQ23,"&lt;&gt;")&lt;=15,24,16))</f>
        <v>32</v>
      </c>
      <c r="AR23" s="15">
        <f>IF(COUNTIF('Résultats des tournois'!$B23:'Résultats des tournois'!AR23,"&lt;&gt;")&lt;=5,32,IF(COUNTIF('Résultats des tournois'!$B23:'Résultats des tournois'!AR23,"&lt;&gt;")&lt;=15,24,16))</f>
        <v>32</v>
      </c>
      <c r="AS23" s="15">
        <f>IF(COUNTIF('Résultats des tournois'!$B23:'Résultats des tournois'!AS23,"&lt;&gt;")&lt;=5,32,IF(COUNTIF('Résultats des tournois'!$B23:'Résultats des tournois'!AS23,"&lt;&gt;")&lt;=15,24,16))</f>
        <v>32</v>
      </c>
      <c r="AT23" s="15">
        <f>IF(COUNTIF('Résultats des tournois'!$B23:'Résultats des tournois'!AT23,"&lt;&gt;")&lt;=5,32,IF(COUNTIF('Résultats des tournois'!$B23:'Résultats des tournois'!AT23,"&lt;&gt;")&lt;=15,24,16))</f>
        <v>32</v>
      </c>
      <c r="AU23" s="15">
        <f>IF(COUNTIF('Résultats des tournois'!$B23:'Résultats des tournois'!AU23,"&lt;&gt;")&lt;=5,32,IF(COUNTIF('Résultats des tournois'!$B23:'Résultats des tournois'!AU23,"&lt;&gt;")&lt;=15,24,16))</f>
        <v>32</v>
      </c>
      <c r="AV23" s="15">
        <f>IF(COUNTIF('Résultats des tournois'!$B23:'Résultats des tournois'!AV23,"&lt;&gt;")&lt;=5,32,IF(COUNTIF('Résultats des tournois'!$B23:'Résultats des tournois'!AV23,"&lt;&gt;")&lt;=15,24,16))</f>
        <v>32</v>
      </c>
      <c r="AW23" s="15">
        <f>IF(COUNTIF('Résultats des tournois'!$B23:'Résultats des tournois'!AW23,"&lt;&gt;")&lt;=5,32,IF(COUNTIF('Résultats des tournois'!$B23:'Résultats des tournois'!AW23,"&lt;&gt;")&lt;=15,24,16))</f>
        <v>32</v>
      </c>
      <c r="AX23" s="15">
        <f>IF(COUNTIF('Résultats des tournois'!$B23:'Résultats des tournois'!AX23,"&lt;&gt;")&lt;=5,32,IF(COUNTIF('Résultats des tournois'!$B23:'Résultats des tournois'!AX23,"&lt;&gt;")&lt;=15,24,16))</f>
        <v>32</v>
      </c>
    </row>
    <row r="24" ht="14.25" customHeight="1">
      <c r="A24" s="15" t="str">
        <f>IF('Résultats des tournois'!A24="","",'Résultats des tournois'!A24)</f>
        <v>Popa'akatuki</v>
      </c>
      <c r="B24" s="15">
        <f>IF(COUNTIF('Résultats des tournois'!B24,"&lt;&gt;")&lt;=5,32,IF(COUNTIF('Résultats des tournois'!B24,"&lt;&gt;")&lt;=15,24,16))</f>
        <v>32</v>
      </c>
      <c r="C24" s="15">
        <f>IF(COUNTIF('Résultats des tournois'!$B24:'Résultats des tournois'!C24,"&lt;&gt;")&lt;=5,32,IF(COUNTIF('Résultats des tournois'!$B24:'Résultats des tournois'!C24,"&lt;&gt;")&lt;=15,24,16))</f>
        <v>32</v>
      </c>
      <c r="D24" s="15">
        <f>IF(COUNTIF('Résultats des tournois'!$B24:'Résultats des tournois'!D24,"&lt;&gt;")&lt;=5,32,IF(COUNTIF('Résultats des tournois'!$B24:'Résultats des tournois'!D24,"&lt;&gt;")&lt;=15,24,16))</f>
        <v>32</v>
      </c>
      <c r="E24" s="15">
        <f>IF(COUNTIF('Résultats des tournois'!$B24:'Résultats des tournois'!E24,"&lt;&gt;")&lt;=5,32,IF(COUNTIF('Résultats des tournois'!$B24:'Résultats des tournois'!E24,"&lt;&gt;")&lt;=15,24,16))</f>
        <v>32</v>
      </c>
      <c r="F24" s="15">
        <f>IF(COUNTIF('Résultats des tournois'!$B24:'Résultats des tournois'!F24,"&lt;&gt;")&lt;=5,32,IF(COUNTIF('Résultats des tournois'!$B24:'Résultats des tournois'!F24,"&lt;&gt;")&lt;=15,24,16))</f>
        <v>32</v>
      </c>
      <c r="G24" s="15">
        <f>IF(COUNTIF('Résultats des tournois'!$B24:'Résultats des tournois'!G24,"&lt;&gt;")&lt;=5,32,IF(COUNTIF('Résultats des tournois'!$B24:'Résultats des tournois'!G24,"&lt;&gt;")&lt;=15,24,16))</f>
        <v>32</v>
      </c>
      <c r="H24" s="15">
        <f>IF(COUNTIF('Résultats des tournois'!$B24:'Résultats des tournois'!H24,"&lt;&gt;")&lt;=5,32,IF(COUNTIF('Résultats des tournois'!$B24:'Résultats des tournois'!H24,"&lt;&gt;")&lt;=15,24,16))</f>
        <v>32</v>
      </c>
      <c r="I24" s="15">
        <f>IF(COUNTIF('Résultats des tournois'!$B24:'Résultats des tournois'!I24,"&lt;&gt;")&lt;=5,32,IF(COUNTIF('Résultats des tournois'!$B24:'Résultats des tournois'!I24,"&lt;&gt;")&lt;=15,24,16))</f>
        <v>32</v>
      </c>
      <c r="J24" s="15">
        <f>IF(COUNTIF('Résultats des tournois'!$B24:'Résultats des tournois'!J24,"&lt;&gt;")&lt;=5,32,IF(COUNTIF('Résultats des tournois'!$B24:'Résultats des tournois'!J24,"&lt;&gt;")&lt;=15,24,16))</f>
        <v>32</v>
      </c>
      <c r="K24" s="15">
        <f>IF(COUNTIF('Résultats des tournois'!$B24:'Résultats des tournois'!K24,"&lt;&gt;")&lt;=5,32,IF(COUNTIF('Résultats des tournois'!$B24:'Résultats des tournois'!K24,"&lt;&gt;")&lt;=15,24,16))</f>
        <v>32</v>
      </c>
      <c r="L24" s="15">
        <f>IF(COUNTIF('Résultats des tournois'!$B24:'Résultats des tournois'!L24,"&lt;&gt;")&lt;=5,32,IF(COUNTIF('Résultats des tournois'!$B24:'Résultats des tournois'!L24,"&lt;&gt;")&lt;=15,24,16))</f>
        <v>32</v>
      </c>
      <c r="M24" s="15">
        <f>IF(COUNTIF('Résultats des tournois'!$B24:'Résultats des tournois'!M24,"&lt;&gt;")&lt;=5,32,IF(COUNTIF('Résultats des tournois'!$B24:'Résultats des tournois'!M24,"&lt;&gt;")&lt;=15,24,16))</f>
        <v>32</v>
      </c>
      <c r="N24" s="15">
        <f>IF(COUNTIF('Résultats des tournois'!$B24:'Résultats des tournois'!N24,"&lt;&gt;")&lt;=5,32,IF(COUNTIF('Résultats des tournois'!$B24:'Résultats des tournois'!N24,"&lt;&gt;")&lt;=15,24,16))</f>
        <v>32</v>
      </c>
      <c r="O24" s="15">
        <f>IF(COUNTIF('Résultats des tournois'!$B24:'Résultats des tournois'!O24,"&lt;&gt;")&lt;=5,32,IF(COUNTIF('Résultats des tournois'!$B24:'Résultats des tournois'!O24,"&lt;&gt;")&lt;=15,24,16))</f>
        <v>32</v>
      </c>
      <c r="P24" s="15">
        <f>IF(COUNTIF('Résultats des tournois'!$B24:'Résultats des tournois'!P24,"&lt;&gt;")&lt;=5,32,IF(COUNTIF('Résultats des tournois'!$B24:'Résultats des tournois'!P24,"&lt;&gt;")&lt;=15,24,16))</f>
        <v>32</v>
      </c>
      <c r="Q24" s="15">
        <f>IF(COUNTIF('Résultats des tournois'!$B24:'Résultats des tournois'!Q24,"&lt;&gt;")&lt;=5,32,IF(COUNTIF('Résultats des tournois'!$B24:'Résultats des tournois'!Q24,"&lt;&gt;")&lt;=15,24,16))</f>
        <v>32</v>
      </c>
      <c r="R24" s="15">
        <f>IF(COUNTIF('Résultats des tournois'!$B24:'Résultats des tournois'!R24,"&lt;&gt;")&lt;=5,32,IF(COUNTIF('Résultats des tournois'!$B24:'Résultats des tournois'!R24,"&lt;&gt;")&lt;=15,24,16))</f>
        <v>32</v>
      </c>
      <c r="S24" s="15">
        <f>IF(COUNTIF('Résultats des tournois'!$B24:'Résultats des tournois'!S24,"&lt;&gt;")&lt;=5,32,IF(COUNTIF('Résultats des tournois'!$B24:'Résultats des tournois'!S24,"&lt;&gt;")&lt;=15,24,16))</f>
        <v>32</v>
      </c>
      <c r="T24" s="15">
        <f>IF(COUNTIF('Résultats des tournois'!$B24:'Résultats des tournois'!T24,"&lt;&gt;")&lt;=5,32,IF(COUNTIF('Résultats des tournois'!$B24:'Résultats des tournois'!T24,"&lt;&gt;")&lt;=15,24,16))</f>
        <v>32</v>
      </c>
      <c r="U24" s="15">
        <f>IF(COUNTIF('Résultats des tournois'!$B24:'Résultats des tournois'!U24,"&lt;&gt;")&lt;=5,32,IF(COUNTIF('Résultats des tournois'!$B24:'Résultats des tournois'!U24,"&lt;&gt;")&lt;=15,24,16))</f>
        <v>32</v>
      </c>
      <c r="V24" s="15">
        <f>IF(COUNTIF('Résultats des tournois'!$B24:'Résultats des tournois'!V24,"&lt;&gt;")&lt;=5,32,IF(COUNTIF('Résultats des tournois'!$B24:'Résultats des tournois'!V24,"&lt;&gt;")&lt;=15,24,16))</f>
        <v>32</v>
      </c>
      <c r="W24" s="15">
        <f>IF(COUNTIF('Résultats des tournois'!$B24:'Résultats des tournois'!W24,"&lt;&gt;")&lt;=5,32,IF(COUNTIF('Résultats des tournois'!$B24:'Résultats des tournois'!W24,"&lt;&gt;")&lt;=15,24,16))</f>
        <v>32</v>
      </c>
      <c r="X24" s="15">
        <f>IF(COUNTIF('Résultats des tournois'!$B24:'Résultats des tournois'!X24,"&lt;&gt;")&lt;=5,32,IF(COUNTIF('Résultats des tournois'!$B24:'Résultats des tournois'!X24,"&lt;&gt;")&lt;=15,24,16))</f>
        <v>32</v>
      </c>
      <c r="Y24" s="15">
        <f>IF(COUNTIF('Résultats des tournois'!$B24:'Résultats des tournois'!Y24,"&lt;&gt;")&lt;=5,32,IF(COUNTIF('Résultats des tournois'!$B24:'Résultats des tournois'!Y24,"&lt;&gt;")&lt;=15,24,16))</f>
        <v>32</v>
      </c>
      <c r="Z24" s="15">
        <f>IF(COUNTIF('Résultats des tournois'!$B24:'Résultats des tournois'!Z24,"&lt;&gt;")&lt;=5,32,IF(COUNTIF('Résultats des tournois'!$B24:'Résultats des tournois'!Z24,"&lt;&gt;")&lt;=15,24,16))</f>
        <v>32</v>
      </c>
      <c r="AA24" s="15">
        <f>IF(COUNTIF('Résultats des tournois'!$B24:'Résultats des tournois'!AA24,"&lt;&gt;")&lt;=5,32,IF(COUNTIF('Résultats des tournois'!$B24:'Résultats des tournois'!AA24,"&lt;&gt;")&lt;=15,24,16))</f>
        <v>32</v>
      </c>
      <c r="AB24" s="15">
        <f>IF(COUNTIF('Résultats des tournois'!$B24:'Résultats des tournois'!AB24,"&lt;&gt;")&lt;=5,32,IF(COUNTIF('Résultats des tournois'!$B24:'Résultats des tournois'!AB24,"&lt;&gt;")&lt;=15,24,16))</f>
        <v>32</v>
      </c>
      <c r="AC24" s="15">
        <f>IF(COUNTIF('Résultats des tournois'!$B24:'Résultats des tournois'!AC24,"&lt;&gt;")&lt;=5,32,IF(COUNTIF('Résultats des tournois'!$B24:'Résultats des tournois'!AC24,"&lt;&gt;")&lt;=15,24,16))</f>
        <v>32</v>
      </c>
      <c r="AD24" s="15">
        <f>IF(COUNTIF('Résultats des tournois'!$B24:'Résultats des tournois'!AD24,"&lt;&gt;")&lt;=5,32,IF(COUNTIF('Résultats des tournois'!$B24:'Résultats des tournois'!AD24,"&lt;&gt;")&lt;=15,24,16))</f>
        <v>32</v>
      </c>
      <c r="AE24" s="15">
        <f>IF(COUNTIF('Résultats des tournois'!$B24:'Résultats des tournois'!AE24,"&lt;&gt;")&lt;=5,32,IF(COUNTIF('Résultats des tournois'!$B24:'Résultats des tournois'!AE24,"&lt;&gt;")&lt;=15,24,16))</f>
        <v>32</v>
      </c>
      <c r="AF24" s="15">
        <f>IF(COUNTIF('Résultats des tournois'!$B24:'Résultats des tournois'!AF24,"&lt;&gt;")&lt;=5,32,IF(COUNTIF('Résultats des tournois'!$B24:'Résultats des tournois'!AF24,"&lt;&gt;")&lt;=15,24,16))</f>
        <v>32</v>
      </c>
      <c r="AG24" s="15">
        <f>IF(COUNTIF('Résultats des tournois'!$B24:'Résultats des tournois'!AG24,"&lt;&gt;")&lt;=5,32,IF(COUNTIF('Résultats des tournois'!$B24:'Résultats des tournois'!AG24,"&lt;&gt;")&lt;=15,24,16))</f>
        <v>32</v>
      </c>
      <c r="AH24" s="15">
        <f>IF(COUNTIF('Résultats des tournois'!$B24:'Résultats des tournois'!AH24,"&lt;&gt;")&lt;=5,32,IF(COUNTIF('Résultats des tournois'!$B24:'Résultats des tournois'!AH24,"&lt;&gt;")&lt;=15,24,16))</f>
        <v>32</v>
      </c>
      <c r="AI24" s="15">
        <f>IF(COUNTIF('Résultats des tournois'!$B24:'Résultats des tournois'!AI24,"&lt;&gt;")&lt;=5,32,IF(COUNTIF('Résultats des tournois'!$B24:'Résultats des tournois'!AI24,"&lt;&gt;")&lt;=15,24,16))</f>
        <v>32</v>
      </c>
      <c r="AJ24" s="15">
        <f>IF(COUNTIF('Résultats des tournois'!$B24:'Résultats des tournois'!AJ24,"&lt;&gt;")&lt;=5,32,IF(COUNTIF('Résultats des tournois'!$B24:'Résultats des tournois'!AJ24,"&lt;&gt;")&lt;=15,24,16))</f>
        <v>32</v>
      </c>
      <c r="AK24" s="15">
        <f>IF(COUNTIF('Résultats des tournois'!$B24:'Résultats des tournois'!AK24,"&lt;&gt;")&lt;=5,32,IF(COUNTIF('Résultats des tournois'!$B24:'Résultats des tournois'!AK24,"&lt;&gt;")&lt;=15,24,16))</f>
        <v>32</v>
      </c>
      <c r="AL24" s="15">
        <f>IF(COUNTIF('Résultats des tournois'!$B24:'Résultats des tournois'!AL24,"&lt;&gt;")&lt;=5,32,IF(COUNTIF('Résultats des tournois'!$B24:'Résultats des tournois'!AL24,"&lt;&gt;")&lt;=15,24,16))</f>
        <v>32</v>
      </c>
      <c r="AM24" s="15">
        <f>IF(COUNTIF('Résultats des tournois'!$B24:'Résultats des tournois'!AM24,"&lt;&gt;")&lt;=5,32,IF(COUNTIF('Résultats des tournois'!$B24:'Résultats des tournois'!AM24,"&lt;&gt;")&lt;=15,24,16))</f>
        <v>32</v>
      </c>
      <c r="AN24" s="15">
        <f>IF(COUNTIF('Résultats des tournois'!$B24:'Résultats des tournois'!AN24,"&lt;&gt;")&lt;=5,32,IF(COUNTIF('Résultats des tournois'!$B24:'Résultats des tournois'!AN24,"&lt;&gt;")&lt;=15,24,16))</f>
        <v>32</v>
      </c>
      <c r="AO24" s="15">
        <f>IF(COUNTIF('Résultats des tournois'!$B24:'Résultats des tournois'!AO24,"&lt;&gt;")&lt;=5,32,IF(COUNTIF('Résultats des tournois'!$B24:'Résultats des tournois'!AO24,"&lt;&gt;")&lt;=15,24,16))</f>
        <v>32</v>
      </c>
      <c r="AP24" s="15">
        <f>IF(COUNTIF('Résultats des tournois'!$B24:'Résultats des tournois'!AP24,"&lt;&gt;")&lt;=5,32,IF(COUNTIF('Résultats des tournois'!$B24:'Résultats des tournois'!AP24,"&lt;&gt;")&lt;=15,24,16))</f>
        <v>32</v>
      </c>
      <c r="AQ24" s="15">
        <f>IF(COUNTIF('Résultats des tournois'!$B24:'Résultats des tournois'!AQ24,"&lt;&gt;")&lt;=5,32,IF(COUNTIF('Résultats des tournois'!$B24:'Résultats des tournois'!AQ24,"&lt;&gt;")&lt;=15,24,16))</f>
        <v>32</v>
      </c>
      <c r="AR24" s="15">
        <f>IF(COUNTIF('Résultats des tournois'!$B24:'Résultats des tournois'!AR24,"&lt;&gt;")&lt;=5,32,IF(COUNTIF('Résultats des tournois'!$B24:'Résultats des tournois'!AR24,"&lt;&gt;")&lt;=15,24,16))</f>
        <v>32</v>
      </c>
      <c r="AS24" s="15">
        <f>IF(COUNTIF('Résultats des tournois'!$B24:'Résultats des tournois'!AS24,"&lt;&gt;")&lt;=5,32,IF(COUNTIF('Résultats des tournois'!$B24:'Résultats des tournois'!AS24,"&lt;&gt;")&lt;=15,24,16))</f>
        <v>32</v>
      </c>
      <c r="AT24" s="15">
        <f>IF(COUNTIF('Résultats des tournois'!$B24:'Résultats des tournois'!AT24,"&lt;&gt;")&lt;=5,32,IF(COUNTIF('Résultats des tournois'!$B24:'Résultats des tournois'!AT24,"&lt;&gt;")&lt;=15,24,16))</f>
        <v>32</v>
      </c>
      <c r="AU24" s="15">
        <f>IF(COUNTIF('Résultats des tournois'!$B24:'Résultats des tournois'!AU24,"&lt;&gt;")&lt;=5,32,IF(COUNTIF('Résultats des tournois'!$B24:'Résultats des tournois'!AU24,"&lt;&gt;")&lt;=15,24,16))</f>
        <v>32</v>
      </c>
      <c r="AV24" s="15">
        <f>IF(COUNTIF('Résultats des tournois'!$B24:'Résultats des tournois'!AV24,"&lt;&gt;")&lt;=5,32,IF(COUNTIF('Résultats des tournois'!$B24:'Résultats des tournois'!AV24,"&lt;&gt;")&lt;=15,24,16))</f>
        <v>32</v>
      </c>
      <c r="AW24" s="15">
        <f>IF(COUNTIF('Résultats des tournois'!$B24:'Résultats des tournois'!AW24,"&lt;&gt;")&lt;=5,32,IF(COUNTIF('Résultats des tournois'!$B24:'Résultats des tournois'!AW24,"&lt;&gt;")&lt;=15,24,16))</f>
        <v>32</v>
      </c>
      <c r="AX24" s="15">
        <f>IF(COUNTIF('Résultats des tournois'!$B24:'Résultats des tournois'!AX24,"&lt;&gt;")&lt;=5,32,IF(COUNTIF('Résultats des tournois'!$B24:'Résultats des tournois'!AX24,"&lt;&gt;")&lt;=15,24,16))</f>
        <v>32</v>
      </c>
    </row>
    <row r="25" ht="14.25" customHeight="1">
      <c r="A25" s="15" t="str">
        <f>IF('Résultats des tournois'!A25="","",'Résultats des tournois'!A25)</f>
        <v>Jerem</v>
      </c>
      <c r="B25" s="15">
        <f>IF(COUNTIF('Résultats des tournois'!B25,"&lt;&gt;")&lt;=5,32,IF(COUNTIF('Résultats des tournois'!B25,"&lt;&gt;")&lt;=15,24,16))</f>
        <v>32</v>
      </c>
      <c r="C25" s="15">
        <f>IF(COUNTIF('Résultats des tournois'!$B25:'Résultats des tournois'!C25,"&lt;&gt;")&lt;=5,32,IF(COUNTIF('Résultats des tournois'!$B25:'Résultats des tournois'!C25,"&lt;&gt;")&lt;=15,24,16))</f>
        <v>32</v>
      </c>
      <c r="D25" s="15">
        <f>IF(COUNTIF('Résultats des tournois'!$B25:'Résultats des tournois'!D25,"&lt;&gt;")&lt;=5,32,IF(COUNTIF('Résultats des tournois'!$B25:'Résultats des tournois'!D25,"&lt;&gt;")&lt;=15,24,16))</f>
        <v>32</v>
      </c>
      <c r="E25" s="15">
        <f>IF(COUNTIF('Résultats des tournois'!$B25:'Résultats des tournois'!E25,"&lt;&gt;")&lt;=5,32,IF(COUNTIF('Résultats des tournois'!$B25:'Résultats des tournois'!E25,"&lt;&gt;")&lt;=15,24,16))</f>
        <v>32</v>
      </c>
      <c r="F25" s="15">
        <f>IF(COUNTIF('Résultats des tournois'!$B25:'Résultats des tournois'!F25,"&lt;&gt;")&lt;=5,32,IF(COUNTIF('Résultats des tournois'!$B25:'Résultats des tournois'!F25,"&lt;&gt;")&lt;=15,24,16))</f>
        <v>32</v>
      </c>
      <c r="G25" s="15">
        <f>IF(COUNTIF('Résultats des tournois'!$B25:'Résultats des tournois'!G25,"&lt;&gt;")&lt;=5,32,IF(COUNTIF('Résultats des tournois'!$B25:'Résultats des tournois'!G25,"&lt;&gt;")&lt;=15,24,16))</f>
        <v>32</v>
      </c>
      <c r="H25" s="15">
        <f>IF(COUNTIF('Résultats des tournois'!$B25:'Résultats des tournois'!H25,"&lt;&gt;")&lt;=5,32,IF(COUNTIF('Résultats des tournois'!$B25:'Résultats des tournois'!H25,"&lt;&gt;")&lt;=15,24,16))</f>
        <v>32</v>
      </c>
      <c r="I25" s="15">
        <f>IF(COUNTIF('Résultats des tournois'!$B25:'Résultats des tournois'!I25,"&lt;&gt;")&lt;=5,32,IF(COUNTIF('Résultats des tournois'!$B25:'Résultats des tournois'!I25,"&lt;&gt;")&lt;=15,24,16))</f>
        <v>32</v>
      </c>
      <c r="J25" s="15">
        <f>IF(COUNTIF('Résultats des tournois'!$B25:'Résultats des tournois'!J25,"&lt;&gt;")&lt;=5,32,IF(COUNTIF('Résultats des tournois'!$B25:'Résultats des tournois'!J25,"&lt;&gt;")&lt;=15,24,16))</f>
        <v>32</v>
      </c>
      <c r="K25" s="15">
        <f>IF(COUNTIF('Résultats des tournois'!$B25:'Résultats des tournois'!K25,"&lt;&gt;")&lt;=5,32,IF(COUNTIF('Résultats des tournois'!$B25:'Résultats des tournois'!K25,"&lt;&gt;")&lt;=15,24,16))</f>
        <v>32</v>
      </c>
      <c r="L25" s="15">
        <f>IF(COUNTIF('Résultats des tournois'!$B25:'Résultats des tournois'!L25,"&lt;&gt;")&lt;=5,32,IF(COUNTIF('Résultats des tournois'!$B25:'Résultats des tournois'!L25,"&lt;&gt;")&lt;=15,24,16))</f>
        <v>32</v>
      </c>
      <c r="M25" s="15">
        <f>IF(COUNTIF('Résultats des tournois'!$B25:'Résultats des tournois'!M25,"&lt;&gt;")&lt;=5,32,IF(COUNTIF('Résultats des tournois'!$B25:'Résultats des tournois'!M25,"&lt;&gt;")&lt;=15,24,16))</f>
        <v>32</v>
      </c>
      <c r="N25" s="15">
        <f>IF(COUNTIF('Résultats des tournois'!$B25:'Résultats des tournois'!N25,"&lt;&gt;")&lt;=5,32,IF(COUNTIF('Résultats des tournois'!$B25:'Résultats des tournois'!N25,"&lt;&gt;")&lt;=15,24,16))</f>
        <v>32</v>
      </c>
      <c r="O25" s="15">
        <f>IF(COUNTIF('Résultats des tournois'!$B25:'Résultats des tournois'!O25,"&lt;&gt;")&lt;=5,32,IF(COUNTIF('Résultats des tournois'!$B25:'Résultats des tournois'!O25,"&lt;&gt;")&lt;=15,24,16))</f>
        <v>32</v>
      </c>
      <c r="P25" s="15">
        <f>IF(COUNTIF('Résultats des tournois'!$B25:'Résultats des tournois'!P25,"&lt;&gt;")&lt;=5,32,IF(COUNTIF('Résultats des tournois'!$B25:'Résultats des tournois'!P25,"&lt;&gt;")&lt;=15,24,16))</f>
        <v>32</v>
      </c>
      <c r="Q25" s="15">
        <f>IF(COUNTIF('Résultats des tournois'!$B25:'Résultats des tournois'!Q25,"&lt;&gt;")&lt;=5,32,IF(COUNTIF('Résultats des tournois'!$B25:'Résultats des tournois'!Q25,"&lt;&gt;")&lt;=15,24,16))</f>
        <v>32</v>
      </c>
      <c r="R25" s="15">
        <f>IF(COUNTIF('Résultats des tournois'!$B25:'Résultats des tournois'!R25,"&lt;&gt;")&lt;=5,32,IF(COUNTIF('Résultats des tournois'!$B25:'Résultats des tournois'!R25,"&lt;&gt;")&lt;=15,24,16))</f>
        <v>32</v>
      </c>
      <c r="S25" s="15">
        <f>IF(COUNTIF('Résultats des tournois'!$B25:'Résultats des tournois'!S25,"&lt;&gt;")&lt;=5,32,IF(COUNTIF('Résultats des tournois'!$B25:'Résultats des tournois'!S25,"&lt;&gt;")&lt;=15,24,16))</f>
        <v>32</v>
      </c>
      <c r="T25" s="15">
        <f>IF(COUNTIF('Résultats des tournois'!$B25:'Résultats des tournois'!T25,"&lt;&gt;")&lt;=5,32,IF(COUNTIF('Résultats des tournois'!$B25:'Résultats des tournois'!T25,"&lt;&gt;")&lt;=15,24,16))</f>
        <v>32</v>
      </c>
      <c r="U25" s="15">
        <f>IF(COUNTIF('Résultats des tournois'!$B25:'Résultats des tournois'!U25,"&lt;&gt;")&lt;=5,32,IF(COUNTIF('Résultats des tournois'!$B25:'Résultats des tournois'!U25,"&lt;&gt;")&lt;=15,24,16))</f>
        <v>32</v>
      </c>
      <c r="V25" s="15">
        <f>IF(COUNTIF('Résultats des tournois'!$B25:'Résultats des tournois'!V25,"&lt;&gt;")&lt;=5,32,IF(COUNTIF('Résultats des tournois'!$B25:'Résultats des tournois'!V25,"&lt;&gt;")&lt;=15,24,16))</f>
        <v>32</v>
      </c>
      <c r="W25" s="15">
        <f>IF(COUNTIF('Résultats des tournois'!$B25:'Résultats des tournois'!W25,"&lt;&gt;")&lt;=5,32,IF(COUNTIF('Résultats des tournois'!$B25:'Résultats des tournois'!W25,"&lt;&gt;")&lt;=15,24,16))</f>
        <v>32</v>
      </c>
      <c r="X25" s="15">
        <f>IF(COUNTIF('Résultats des tournois'!$B25:'Résultats des tournois'!X25,"&lt;&gt;")&lt;=5,32,IF(COUNTIF('Résultats des tournois'!$B25:'Résultats des tournois'!X25,"&lt;&gt;")&lt;=15,24,16))</f>
        <v>32</v>
      </c>
      <c r="Y25" s="15">
        <f>IF(COUNTIF('Résultats des tournois'!$B25:'Résultats des tournois'!Y25,"&lt;&gt;")&lt;=5,32,IF(COUNTIF('Résultats des tournois'!$B25:'Résultats des tournois'!Y25,"&lt;&gt;")&lt;=15,24,16))</f>
        <v>32</v>
      </c>
      <c r="Z25" s="15">
        <f>IF(COUNTIF('Résultats des tournois'!$B25:'Résultats des tournois'!Z25,"&lt;&gt;")&lt;=5,32,IF(COUNTIF('Résultats des tournois'!$B25:'Résultats des tournois'!Z25,"&lt;&gt;")&lt;=15,24,16))</f>
        <v>32</v>
      </c>
      <c r="AA25" s="15">
        <f>IF(COUNTIF('Résultats des tournois'!$B25:'Résultats des tournois'!AA25,"&lt;&gt;")&lt;=5,32,IF(COUNTIF('Résultats des tournois'!$B25:'Résultats des tournois'!AA25,"&lt;&gt;")&lt;=15,24,16))</f>
        <v>32</v>
      </c>
      <c r="AB25" s="15">
        <f>IF(COUNTIF('Résultats des tournois'!$B25:'Résultats des tournois'!AB25,"&lt;&gt;")&lt;=5,32,IF(COUNTIF('Résultats des tournois'!$B25:'Résultats des tournois'!AB25,"&lt;&gt;")&lt;=15,24,16))</f>
        <v>32</v>
      </c>
      <c r="AC25" s="15">
        <f>IF(COUNTIF('Résultats des tournois'!$B25:'Résultats des tournois'!AC25,"&lt;&gt;")&lt;=5,32,IF(COUNTIF('Résultats des tournois'!$B25:'Résultats des tournois'!AC25,"&lt;&gt;")&lt;=15,24,16))</f>
        <v>32</v>
      </c>
      <c r="AD25" s="15">
        <f>IF(COUNTIF('Résultats des tournois'!$B25:'Résultats des tournois'!AD25,"&lt;&gt;")&lt;=5,32,IF(COUNTIF('Résultats des tournois'!$B25:'Résultats des tournois'!AD25,"&lt;&gt;")&lt;=15,24,16))</f>
        <v>32</v>
      </c>
      <c r="AE25" s="15">
        <f>IF(COUNTIF('Résultats des tournois'!$B25:'Résultats des tournois'!AE25,"&lt;&gt;")&lt;=5,32,IF(COUNTIF('Résultats des tournois'!$B25:'Résultats des tournois'!AE25,"&lt;&gt;")&lt;=15,24,16))</f>
        <v>32</v>
      </c>
      <c r="AF25" s="15">
        <f>IF(COUNTIF('Résultats des tournois'!$B25:'Résultats des tournois'!AF25,"&lt;&gt;")&lt;=5,32,IF(COUNTIF('Résultats des tournois'!$B25:'Résultats des tournois'!AF25,"&lt;&gt;")&lt;=15,24,16))</f>
        <v>32</v>
      </c>
      <c r="AG25" s="15">
        <f>IF(COUNTIF('Résultats des tournois'!$B25:'Résultats des tournois'!AG25,"&lt;&gt;")&lt;=5,32,IF(COUNTIF('Résultats des tournois'!$B25:'Résultats des tournois'!AG25,"&lt;&gt;")&lt;=15,24,16))</f>
        <v>32</v>
      </c>
      <c r="AH25" s="15">
        <f>IF(COUNTIF('Résultats des tournois'!$B25:'Résultats des tournois'!AH25,"&lt;&gt;")&lt;=5,32,IF(COUNTIF('Résultats des tournois'!$B25:'Résultats des tournois'!AH25,"&lt;&gt;")&lt;=15,24,16))</f>
        <v>32</v>
      </c>
      <c r="AI25" s="15">
        <f>IF(COUNTIF('Résultats des tournois'!$B25:'Résultats des tournois'!AI25,"&lt;&gt;")&lt;=5,32,IF(COUNTIF('Résultats des tournois'!$B25:'Résultats des tournois'!AI25,"&lt;&gt;")&lt;=15,24,16))</f>
        <v>32</v>
      </c>
      <c r="AJ25" s="15">
        <f>IF(COUNTIF('Résultats des tournois'!$B25:'Résultats des tournois'!AJ25,"&lt;&gt;")&lt;=5,32,IF(COUNTIF('Résultats des tournois'!$B25:'Résultats des tournois'!AJ25,"&lt;&gt;")&lt;=15,24,16))</f>
        <v>32</v>
      </c>
      <c r="AK25" s="15">
        <f>IF(COUNTIF('Résultats des tournois'!$B25:'Résultats des tournois'!AK25,"&lt;&gt;")&lt;=5,32,IF(COUNTIF('Résultats des tournois'!$B25:'Résultats des tournois'!AK25,"&lt;&gt;")&lt;=15,24,16))</f>
        <v>32</v>
      </c>
      <c r="AL25" s="15">
        <f>IF(COUNTIF('Résultats des tournois'!$B25:'Résultats des tournois'!AL25,"&lt;&gt;")&lt;=5,32,IF(COUNTIF('Résultats des tournois'!$B25:'Résultats des tournois'!AL25,"&lt;&gt;")&lt;=15,24,16))</f>
        <v>32</v>
      </c>
      <c r="AM25" s="15">
        <f>IF(COUNTIF('Résultats des tournois'!$B25:'Résultats des tournois'!AM25,"&lt;&gt;")&lt;=5,32,IF(COUNTIF('Résultats des tournois'!$B25:'Résultats des tournois'!AM25,"&lt;&gt;")&lt;=15,24,16))</f>
        <v>32</v>
      </c>
      <c r="AN25" s="15">
        <f>IF(COUNTIF('Résultats des tournois'!$B25:'Résultats des tournois'!AN25,"&lt;&gt;")&lt;=5,32,IF(COUNTIF('Résultats des tournois'!$B25:'Résultats des tournois'!AN25,"&lt;&gt;")&lt;=15,24,16))</f>
        <v>32</v>
      </c>
      <c r="AO25" s="15">
        <f>IF(COUNTIF('Résultats des tournois'!$B25:'Résultats des tournois'!AO25,"&lt;&gt;")&lt;=5,32,IF(COUNTIF('Résultats des tournois'!$B25:'Résultats des tournois'!AO25,"&lt;&gt;")&lt;=15,24,16))</f>
        <v>32</v>
      </c>
      <c r="AP25" s="15">
        <f>IF(COUNTIF('Résultats des tournois'!$B25:'Résultats des tournois'!AP25,"&lt;&gt;")&lt;=5,32,IF(COUNTIF('Résultats des tournois'!$B25:'Résultats des tournois'!AP25,"&lt;&gt;")&lt;=15,24,16))</f>
        <v>32</v>
      </c>
      <c r="AQ25" s="15">
        <f>IF(COUNTIF('Résultats des tournois'!$B25:'Résultats des tournois'!AQ25,"&lt;&gt;")&lt;=5,32,IF(COUNTIF('Résultats des tournois'!$B25:'Résultats des tournois'!AQ25,"&lt;&gt;")&lt;=15,24,16))</f>
        <v>32</v>
      </c>
      <c r="AR25" s="15">
        <f>IF(COUNTIF('Résultats des tournois'!$B25:'Résultats des tournois'!AR25,"&lt;&gt;")&lt;=5,32,IF(COUNTIF('Résultats des tournois'!$B25:'Résultats des tournois'!AR25,"&lt;&gt;")&lt;=15,24,16))</f>
        <v>32</v>
      </c>
      <c r="AS25" s="15">
        <f>IF(COUNTIF('Résultats des tournois'!$B25:'Résultats des tournois'!AS25,"&lt;&gt;")&lt;=5,32,IF(COUNTIF('Résultats des tournois'!$B25:'Résultats des tournois'!AS25,"&lt;&gt;")&lt;=15,24,16))</f>
        <v>32</v>
      </c>
      <c r="AT25" s="15">
        <f>IF(COUNTIF('Résultats des tournois'!$B25:'Résultats des tournois'!AT25,"&lt;&gt;")&lt;=5,32,IF(COUNTIF('Résultats des tournois'!$B25:'Résultats des tournois'!AT25,"&lt;&gt;")&lt;=15,24,16))</f>
        <v>32</v>
      </c>
      <c r="AU25" s="15">
        <f>IF(COUNTIF('Résultats des tournois'!$B25:'Résultats des tournois'!AU25,"&lt;&gt;")&lt;=5,32,IF(COUNTIF('Résultats des tournois'!$B25:'Résultats des tournois'!AU25,"&lt;&gt;")&lt;=15,24,16))</f>
        <v>32</v>
      </c>
      <c r="AV25" s="15">
        <f>IF(COUNTIF('Résultats des tournois'!$B25:'Résultats des tournois'!AV25,"&lt;&gt;")&lt;=5,32,IF(COUNTIF('Résultats des tournois'!$B25:'Résultats des tournois'!AV25,"&lt;&gt;")&lt;=15,24,16))</f>
        <v>32</v>
      </c>
      <c r="AW25" s="15">
        <f>IF(COUNTIF('Résultats des tournois'!$B25:'Résultats des tournois'!AW25,"&lt;&gt;")&lt;=5,32,IF(COUNTIF('Résultats des tournois'!$B25:'Résultats des tournois'!AW25,"&lt;&gt;")&lt;=15,24,16))</f>
        <v>32</v>
      </c>
      <c r="AX25" s="15">
        <f>IF(COUNTIF('Résultats des tournois'!$B25:'Résultats des tournois'!AX25,"&lt;&gt;")&lt;=5,32,IF(COUNTIF('Résultats des tournois'!$B25:'Résultats des tournois'!AX25,"&lt;&gt;")&lt;=15,24,16))</f>
        <v>32</v>
      </c>
    </row>
    <row r="26" ht="14.25" customHeight="1">
      <c r="A26" s="15" t="str">
        <f>IF('Résultats des tournois'!A26="","",'Résultats des tournois'!A26)</f>
        <v/>
      </c>
      <c r="B26" s="15">
        <f>IF(COUNTIF('Résultats des tournois'!B26,"&lt;&gt;")&lt;=5,32,IF(COUNTIF('Résultats des tournois'!B26,"&lt;&gt;")&lt;=15,24,16))</f>
        <v>32</v>
      </c>
      <c r="C26" s="15">
        <f>IF(COUNTIF('Résultats des tournois'!$B26:'Résultats des tournois'!C26,"&lt;&gt;")&lt;=5,32,IF(COUNTIF('Résultats des tournois'!$B26:'Résultats des tournois'!C26,"&lt;&gt;")&lt;=15,24,16))</f>
        <v>32</v>
      </c>
      <c r="D26" s="15">
        <f>IF(COUNTIF('Résultats des tournois'!$B26:'Résultats des tournois'!D26,"&lt;&gt;")&lt;=5,32,IF(COUNTIF('Résultats des tournois'!$B26:'Résultats des tournois'!D26,"&lt;&gt;")&lt;=15,24,16))</f>
        <v>32</v>
      </c>
      <c r="E26" s="15">
        <f>IF(COUNTIF('Résultats des tournois'!$B26:'Résultats des tournois'!E26,"&lt;&gt;")&lt;=5,32,IF(COUNTIF('Résultats des tournois'!$B26:'Résultats des tournois'!E26,"&lt;&gt;")&lt;=15,24,16))</f>
        <v>32</v>
      </c>
      <c r="F26" s="15">
        <f>IF(COUNTIF('Résultats des tournois'!$B26:'Résultats des tournois'!F26,"&lt;&gt;")&lt;=5,32,IF(COUNTIF('Résultats des tournois'!$B26:'Résultats des tournois'!F26,"&lt;&gt;")&lt;=15,24,16))</f>
        <v>32</v>
      </c>
      <c r="G26" s="15">
        <f>IF(COUNTIF('Résultats des tournois'!$B26:'Résultats des tournois'!G26,"&lt;&gt;")&lt;=5,32,IF(COUNTIF('Résultats des tournois'!$B26:'Résultats des tournois'!G26,"&lt;&gt;")&lt;=15,24,16))</f>
        <v>32</v>
      </c>
      <c r="H26" s="15">
        <f>IF(COUNTIF('Résultats des tournois'!$B26:'Résultats des tournois'!H26,"&lt;&gt;")&lt;=5,32,IF(COUNTIF('Résultats des tournois'!$B26:'Résultats des tournois'!H26,"&lt;&gt;")&lt;=15,24,16))</f>
        <v>32</v>
      </c>
      <c r="I26" s="15">
        <f>IF(COUNTIF('Résultats des tournois'!$B26:'Résultats des tournois'!I26,"&lt;&gt;")&lt;=5,32,IF(COUNTIF('Résultats des tournois'!$B26:'Résultats des tournois'!I26,"&lt;&gt;")&lt;=15,24,16))</f>
        <v>32</v>
      </c>
      <c r="J26" s="15">
        <f>IF(COUNTIF('Résultats des tournois'!$B26:'Résultats des tournois'!J26,"&lt;&gt;")&lt;=5,32,IF(COUNTIF('Résultats des tournois'!$B26:'Résultats des tournois'!J26,"&lt;&gt;")&lt;=15,24,16))</f>
        <v>32</v>
      </c>
      <c r="K26" s="15">
        <f>IF(COUNTIF('Résultats des tournois'!$B26:'Résultats des tournois'!K26,"&lt;&gt;")&lt;=5,32,IF(COUNTIF('Résultats des tournois'!$B26:'Résultats des tournois'!K26,"&lt;&gt;")&lt;=15,24,16))</f>
        <v>32</v>
      </c>
      <c r="L26" s="15">
        <f>IF(COUNTIF('Résultats des tournois'!$B26:'Résultats des tournois'!L26,"&lt;&gt;")&lt;=5,32,IF(COUNTIF('Résultats des tournois'!$B26:'Résultats des tournois'!L26,"&lt;&gt;")&lt;=15,24,16))</f>
        <v>32</v>
      </c>
      <c r="M26" s="15">
        <f>IF(COUNTIF('Résultats des tournois'!$B26:'Résultats des tournois'!M26,"&lt;&gt;")&lt;=5,32,IF(COUNTIF('Résultats des tournois'!$B26:'Résultats des tournois'!M26,"&lt;&gt;")&lt;=15,24,16))</f>
        <v>32</v>
      </c>
      <c r="N26" s="15">
        <f>IF(COUNTIF('Résultats des tournois'!$B26:'Résultats des tournois'!N26,"&lt;&gt;")&lt;=5,32,IF(COUNTIF('Résultats des tournois'!$B26:'Résultats des tournois'!N26,"&lt;&gt;")&lt;=15,24,16))</f>
        <v>32</v>
      </c>
      <c r="O26" s="15">
        <f>IF(COUNTIF('Résultats des tournois'!$B26:'Résultats des tournois'!O26,"&lt;&gt;")&lt;=5,32,IF(COUNTIF('Résultats des tournois'!$B26:'Résultats des tournois'!O26,"&lt;&gt;")&lt;=15,24,16))</f>
        <v>32</v>
      </c>
      <c r="P26" s="15">
        <f>IF(COUNTIF('Résultats des tournois'!$B26:'Résultats des tournois'!P26,"&lt;&gt;")&lt;=5,32,IF(COUNTIF('Résultats des tournois'!$B26:'Résultats des tournois'!P26,"&lt;&gt;")&lt;=15,24,16))</f>
        <v>32</v>
      </c>
      <c r="Q26" s="15">
        <f>IF(COUNTIF('Résultats des tournois'!$B26:'Résultats des tournois'!Q26,"&lt;&gt;")&lt;=5,32,IF(COUNTIF('Résultats des tournois'!$B26:'Résultats des tournois'!Q26,"&lt;&gt;")&lt;=15,24,16))</f>
        <v>32</v>
      </c>
      <c r="R26" s="15">
        <f>IF(COUNTIF('Résultats des tournois'!$B26:'Résultats des tournois'!R26,"&lt;&gt;")&lt;=5,32,IF(COUNTIF('Résultats des tournois'!$B26:'Résultats des tournois'!R26,"&lt;&gt;")&lt;=15,24,16))</f>
        <v>32</v>
      </c>
      <c r="S26" s="15">
        <f>IF(COUNTIF('Résultats des tournois'!$B26:'Résultats des tournois'!S26,"&lt;&gt;")&lt;=5,32,IF(COUNTIF('Résultats des tournois'!$B26:'Résultats des tournois'!S26,"&lt;&gt;")&lt;=15,24,16))</f>
        <v>32</v>
      </c>
      <c r="T26" s="15">
        <f>IF(COUNTIF('Résultats des tournois'!$B26:'Résultats des tournois'!T26,"&lt;&gt;")&lt;=5,32,IF(COUNTIF('Résultats des tournois'!$B26:'Résultats des tournois'!T26,"&lt;&gt;")&lt;=15,24,16))</f>
        <v>32</v>
      </c>
      <c r="U26" s="15">
        <f>IF(COUNTIF('Résultats des tournois'!$B26:'Résultats des tournois'!U26,"&lt;&gt;")&lt;=5,32,IF(COUNTIF('Résultats des tournois'!$B26:'Résultats des tournois'!U26,"&lt;&gt;")&lt;=15,24,16))</f>
        <v>32</v>
      </c>
      <c r="V26" s="15">
        <f>IF(COUNTIF('Résultats des tournois'!$B26:'Résultats des tournois'!V26,"&lt;&gt;")&lt;=5,32,IF(COUNTIF('Résultats des tournois'!$B26:'Résultats des tournois'!V26,"&lt;&gt;")&lt;=15,24,16))</f>
        <v>32</v>
      </c>
      <c r="W26" s="15">
        <f>IF(COUNTIF('Résultats des tournois'!$B26:'Résultats des tournois'!W26,"&lt;&gt;")&lt;=5,32,IF(COUNTIF('Résultats des tournois'!$B26:'Résultats des tournois'!W26,"&lt;&gt;")&lt;=15,24,16))</f>
        <v>32</v>
      </c>
      <c r="X26" s="15">
        <f>IF(COUNTIF('Résultats des tournois'!$B26:'Résultats des tournois'!X26,"&lt;&gt;")&lt;=5,32,IF(COUNTIF('Résultats des tournois'!$B26:'Résultats des tournois'!X26,"&lt;&gt;")&lt;=15,24,16))</f>
        <v>32</v>
      </c>
      <c r="Y26" s="15">
        <f>IF(COUNTIF('Résultats des tournois'!$B26:'Résultats des tournois'!Y26,"&lt;&gt;")&lt;=5,32,IF(COUNTIF('Résultats des tournois'!$B26:'Résultats des tournois'!Y26,"&lt;&gt;")&lt;=15,24,16))</f>
        <v>32</v>
      </c>
      <c r="Z26" s="15">
        <f>IF(COUNTIF('Résultats des tournois'!$B26:'Résultats des tournois'!Z26,"&lt;&gt;")&lt;=5,32,IF(COUNTIF('Résultats des tournois'!$B26:'Résultats des tournois'!Z26,"&lt;&gt;")&lt;=15,24,16))</f>
        <v>32</v>
      </c>
      <c r="AA26" s="15">
        <f>IF(COUNTIF('Résultats des tournois'!$B26:'Résultats des tournois'!AA26,"&lt;&gt;")&lt;=5,32,IF(COUNTIF('Résultats des tournois'!$B26:'Résultats des tournois'!AA26,"&lt;&gt;")&lt;=15,24,16))</f>
        <v>32</v>
      </c>
      <c r="AB26" s="15">
        <f>IF(COUNTIF('Résultats des tournois'!$B26:'Résultats des tournois'!AB26,"&lt;&gt;")&lt;=5,32,IF(COUNTIF('Résultats des tournois'!$B26:'Résultats des tournois'!AB26,"&lt;&gt;")&lt;=15,24,16))</f>
        <v>32</v>
      </c>
      <c r="AC26" s="15">
        <f>IF(COUNTIF('Résultats des tournois'!$B26:'Résultats des tournois'!AC26,"&lt;&gt;")&lt;=5,32,IF(COUNTIF('Résultats des tournois'!$B26:'Résultats des tournois'!AC26,"&lt;&gt;")&lt;=15,24,16))</f>
        <v>32</v>
      </c>
      <c r="AD26" s="15">
        <f>IF(COUNTIF('Résultats des tournois'!$B26:'Résultats des tournois'!AD26,"&lt;&gt;")&lt;=5,32,IF(COUNTIF('Résultats des tournois'!$B26:'Résultats des tournois'!AD26,"&lt;&gt;")&lt;=15,24,16))</f>
        <v>32</v>
      </c>
      <c r="AE26" s="15">
        <f>IF(COUNTIF('Résultats des tournois'!$B26:'Résultats des tournois'!AE26,"&lt;&gt;")&lt;=5,32,IF(COUNTIF('Résultats des tournois'!$B26:'Résultats des tournois'!AE26,"&lt;&gt;")&lt;=15,24,16))</f>
        <v>32</v>
      </c>
      <c r="AF26" s="15">
        <f>IF(COUNTIF('Résultats des tournois'!$B26:'Résultats des tournois'!AF26,"&lt;&gt;")&lt;=5,32,IF(COUNTIF('Résultats des tournois'!$B26:'Résultats des tournois'!AF26,"&lt;&gt;")&lt;=15,24,16))</f>
        <v>32</v>
      </c>
      <c r="AG26" s="15">
        <f>IF(COUNTIF('Résultats des tournois'!$B26:'Résultats des tournois'!AG26,"&lt;&gt;")&lt;=5,32,IF(COUNTIF('Résultats des tournois'!$B26:'Résultats des tournois'!AG26,"&lt;&gt;")&lt;=15,24,16))</f>
        <v>32</v>
      </c>
      <c r="AH26" s="15">
        <f>IF(COUNTIF('Résultats des tournois'!$B26:'Résultats des tournois'!AH26,"&lt;&gt;")&lt;=5,32,IF(COUNTIF('Résultats des tournois'!$B26:'Résultats des tournois'!AH26,"&lt;&gt;")&lt;=15,24,16))</f>
        <v>32</v>
      </c>
      <c r="AI26" s="15">
        <f>IF(COUNTIF('Résultats des tournois'!$B26:'Résultats des tournois'!AI26,"&lt;&gt;")&lt;=5,32,IF(COUNTIF('Résultats des tournois'!$B26:'Résultats des tournois'!AI26,"&lt;&gt;")&lt;=15,24,16))</f>
        <v>32</v>
      </c>
      <c r="AJ26" s="15">
        <f>IF(COUNTIF('Résultats des tournois'!$B26:'Résultats des tournois'!AJ26,"&lt;&gt;")&lt;=5,32,IF(COUNTIF('Résultats des tournois'!$B26:'Résultats des tournois'!AJ26,"&lt;&gt;")&lt;=15,24,16))</f>
        <v>32</v>
      </c>
      <c r="AK26" s="15">
        <f>IF(COUNTIF('Résultats des tournois'!$B26:'Résultats des tournois'!AK26,"&lt;&gt;")&lt;=5,32,IF(COUNTIF('Résultats des tournois'!$B26:'Résultats des tournois'!AK26,"&lt;&gt;")&lt;=15,24,16))</f>
        <v>32</v>
      </c>
      <c r="AL26" s="15">
        <f>IF(COUNTIF('Résultats des tournois'!$B26:'Résultats des tournois'!AL26,"&lt;&gt;")&lt;=5,32,IF(COUNTIF('Résultats des tournois'!$B26:'Résultats des tournois'!AL26,"&lt;&gt;")&lt;=15,24,16))</f>
        <v>32</v>
      </c>
      <c r="AM26" s="15">
        <f>IF(COUNTIF('Résultats des tournois'!$B26:'Résultats des tournois'!AM26,"&lt;&gt;")&lt;=5,32,IF(COUNTIF('Résultats des tournois'!$B26:'Résultats des tournois'!AM26,"&lt;&gt;")&lt;=15,24,16))</f>
        <v>32</v>
      </c>
      <c r="AN26" s="15">
        <f>IF(COUNTIF('Résultats des tournois'!$B26:'Résultats des tournois'!AN26,"&lt;&gt;")&lt;=5,32,IF(COUNTIF('Résultats des tournois'!$B26:'Résultats des tournois'!AN26,"&lt;&gt;")&lt;=15,24,16))</f>
        <v>32</v>
      </c>
      <c r="AO26" s="15">
        <f>IF(COUNTIF('Résultats des tournois'!$B26:'Résultats des tournois'!AO26,"&lt;&gt;")&lt;=5,32,IF(COUNTIF('Résultats des tournois'!$B26:'Résultats des tournois'!AO26,"&lt;&gt;")&lt;=15,24,16))</f>
        <v>32</v>
      </c>
      <c r="AP26" s="15">
        <f>IF(COUNTIF('Résultats des tournois'!$B26:'Résultats des tournois'!AP26,"&lt;&gt;")&lt;=5,32,IF(COUNTIF('Résultats des tournois'!$B26:'Résultats des tournois'!AP26,"&lt;&gt;")&lt;=15,24,16))</f>
        <v>32</v>
      </c>
      <c r="AQ26" s="15">
        <f>IF(COUNTIF('Résultats des tournois'!$B26:'Résultats des tournois'!AQ26,"&lt;&gt;")&lt;=5,32,IF(COUNTIF('Résultats des tournois'!$B26:'Résultats des tournois'!AQ26,"&lt;&gt;")&lt;=15,24,16))</f>
        <v>32</v>
      </c>
      <c r="AR26" s="15">
        <f>IF(COUNTIF('Résultats des tournois'!$B26:'Résultats des tournois'!AR26,"&lt;&gt;")&lt;=5,32,IF(COUNTIF('Résultats des tournois'!$B26:'Résultats des tournois'!AR26,"&lt;&gt;")&lt;=15,24,16))</f>
        <v>32</v>
      </c>
      <c r="AS26" s="15">
        <f>IF(COUNTIF('Résultats des tournois'!$B26:'Résultats des tournois'!AS26,"&lt;&gt;")&lt;=5,32,IF(COUNTIF('Résultats des tournois'!$B26:'Résultats des tournois'!AS26,"&lt;&gt;")&lt;=15,24,16))</f>
        <v>32</v>
      </c>
      <c r="AT26" s="15">
        <f>IF(COUNTIF('Résultats des tournois'!$B26:'Résultats des tournois'!AT26,"&lt;&gt;")&lt;=5,32,IF(COUNTIF('Résultats des tournois'!$B26:'Résultats des tournois'!AT26,"&lt;&gt;")&lt;=15,24,16))</f>
        <v>32</v>
      </c>
      <c r="AU26" s="15">
        <f>IF(COUNTIF('Résultats des tournois'!$B26:'Résultats des tournois'!AU26,"&lt;&gt;")&lt;=5,32,IF(COUNTIF('Résultats des tournois'!$B26:'Résultats des tournois'!AU26,"&lt;&gt;")&lt;=15,24,16))</f>
        <v>32</v>
      </c>
      <c r="AV26" s="15">
        <f>IF(COUNTIF('Résultats des tournois'!$B26:'Résultats des tournois'!AV26,"&lt;&gt;")&lt;=5,32,IF(COUNTIF('Résultats des tournois'!$B26:'Résultats des tournois'!AV26,"&lt;&gt;")&lt;=15,24,16))</f>
        <v>32</v>
      </c>
      <c r="AW26" s="15">
        <f>IF(COUNTIF('Résultats des tournois'!$B26:'Résultats des tournois'!AW26,"&lt;&gt;")&lt;=5,32,IF(COUNTIF('Résultats des tournois'!$B26:'Résultats des tournois'!AW26,"&lt;&gt;")&lt;=15,24,16))</f>
        <v>32</v>
      </c>
      <c r="AX26" s="15">
        <f>IF(COUNTIF('Résultats des tournois'!$B26:'Résultats des tournois'!AX26,"&lt;&gt;")&lt;=5,32,IF(COUNTIF('Résultats des tournois'!$B26:'Résultats des tournois'!AX26,"&lt;&gt;")&lt;=15,24,16))</f>
        <v>32</v>
      </c>
    </row>
    <row r="27" ht="14.25" customHeight="1">
      <c r="A27" s="15" t="str">
        <f>IF('Résultats des tournois'!A27="","",'Résultats des tournois'!A27)</f>
        <v/>
      </c>
      <c r="B27" s="15">
        <f>IF(COUNTIF('Résultats des tournois'!B27,"&lt;&gt;")&lt;=5,32,IF(COUNTIF('Résultats des tournois'!B27,"&lt;&gt;")&lt;=15,24,16))</f>
        <v>32</v>
      </c>
      <c r="C27" s="15">
        <f>IF(COUNTIF('Résultats des tournois'!$B27:'Résultats des tournois'!C27,"&lt;&gt;")&lt;=5,32,IF(COUNTIF('Résultats des tournois'!$B27:'Résultats des tournois'!C27,"&lt;&gt;")&lt;=15,24,16))</f>
        <v>32</v>
      </c>
      <c r="D27" s="15">
        <f>IF(COUNTIF('Résultats des tournois'!$B27:'Résultats des tournois'!D27,"&lt;&gt;")&lt;=5,32,IF(COUNTIF('Résultats des tournois'!$B27:'Résultats des tournois'!D27,"&lt;&gt;")&lt;=15,24,16))</f>
        <v>32</v>
      </c>
      <c r="E27" s="15">
        <f>IF(COUNTIF('Résultats des tournois'!$B27:'Résultats des tournois'!E27,"&lt;&gt;")&lt;=5,32,IF(COUNTIF('Résultats des tournois'!$B27:'Résultats des tournois'!E27,"&lt;&gt;")&lt;=15,24,16))</f>
        <v>32</v>
      </c>
      <c r="F27" s="15">
        <f>IF(COUNTIF('Résultats des tournois'!$B27:'Résultats des tournois'!F27,"&lt;&gt;")&lt;=5,32,IF(COUNTIF('Résultats des tournois'!$B27:'Résultats des tournois'!F27,"&lt;&gt;")&lt;=15,24,16))</f>
        <v>32</v>
      </c>
      <c r="G27" s="15">
        <f>IF(COUNTIF('Résultats des tournois'!$B27:'Résultats des tournois'!G27,"&lt;&gt;")&lt;=5,32,IF(COUNTIF('Résultats des tournois'!$B27:'Résultats des tournois'!G27,"&lt;&gt;")&lt;=15,24,16))</f>
        <v>32</v>
      </c>
      <c r="H27" s="15">
        <f>IF(COUNTIF('Résultats des tournois'!$B27:'Résultats des tournois'!H27,"&lt;&gt;")&lt;=5,32,IF(COUNTIF('Résultats des tournois'!$B27:'Résultats des tournois'!H27,"&lt;&gt;")&lt;=15,24,16))</f>
        <v>32</v>
      </c>
      <c r="I27" s="15">
        <f>IF(COUNTIF('Résultats des tournois'!$B27:'Résultats des tournois'!I27,"&lt;&gt;")&lt;=5,32,IF(COUNTIF('Résultats des tournois'!$B27:'Résultats des tournois'!I27,"&lt;&gt;")&lt;=15,24,16))</f>
        <v>32</v>
      </c>
      <c r="J27" s="15">
        <f>IF(COUNTIF('Résultats des tournois'!$B27:'Résultats des tournois'!J27,"&lt;&gt;")&lt;=5,32,IF(COUNTIF('Résultats des tournois'!$B27:'Résultats des tournois'!J27,"&lt;&gt;")&lt;=15,24,16))</f>
        <v>32</v>
      </c>
      <c r="K27" s="15">
        <f>IF(COUNTIF('Résultats des tournois'!$B27:'Résultats des tournois'!K27,"&lt;&gt;")&lt;=5,32,IF(COUNTIF('Résultats des tournois'!$B27:'Résultats des tournois'!K27,"&lt;&gt;")&lt;=15,24,16))</f>
        <v>32</v>
      </c>
      <c r="L27" s="15">
        <f>IF(COUNTIF('Résultats des tournois'!$B27:'Résultats des tournois'!L27,"&lt;&gt;")&lt;=5,32,IF(COUNTIF('Résultats des tournois'!$B27:'Résultats des tournois'!L27,"&lt;&gt;")&lt;=15,24,16))</f>
        <v>32</v>
      </c>
      <c r="M27" s="15">
        <f>IF(COUNTIF('Résultats des tournois'!$B27:'Résultats des tournois'!M27,"&lt;&gt;")&lt;=5,32,IF(COUNTIF('Résultats des tournois'!$B27:'Résultats des tournois'!M27,"&lt;&gt;")&lt;=15,24,16))</f>
        <v>32</v>
      </c>
      <c r="N27" s="15">
        <f>IF(COUNTIF('Résultats des tournois'!$B27:'Résultats des tournois'!N27,"&lt;&gt;")&lt;=5,32,IF(COUNTIF('Résultats des tournois'!$B27:'Résultats des tournois'!N27,"&lt;&gt;")&lt;=15,24,16))</f>
        <v>32</v>
      </c>
      <c r="O27" s="15">
        <f>IF(COUNTIF('Résultats des tournois'!$B27:'Résultats des tournois'!O27,"&lt;&gt;")&lt;=5,32,IF(COUNTIF('Résultats des tournois'!$B27:'Résultats des tournois'!O27,"&lt;&gt;")&lt;=15,24,16))</f>
        <v>32</v>
      </c>
      <c r="P27" s="15">
        <f>IF(COUNTIF('Résultats des tournois'!$B27:'Résultats des tournois'!P27,"&lt;&gt;")&lt;=5,32,IF(COUNTIF('Résultats des tournois'!$B27:'Résultats des tournois'!P27,"&lt;&gt;")&lt;=15,24,16))</f>
        <v>32</v>
      </c>
      <c r="Q27" s="15">
        <f>IF(COUNTIF('Résultats des tournois'!$B27:'Résultats des tournois'!Q27,"&lt;&gt;")&lt;=5,32,IF(COUNTIF('Résultats des tournois'!$B27:'Résultats des tournois'!Q27,"&lt;&gt;")&lt;=15,24,16))</f>
        <v>32</v>
      </c>
      <c r="R27" s="15">
        <f>IF(COUNTIF('Résultats des tournois'!$B27:'Résultats des tournois'!R27,"&lt;&gt;")&lt;=5,32,IF(COUNTIF('Résultats des tournois'!$B27:'Résultats des tournois'!R27,"&lt;&gt;")&lt;=15,24,16))</f>
        <v>32</v>
      </c>
      <c r="S27" s="15">
        <f>IF(COUNTIF('Résultats des tournois'!$B27:'Résultats des tournois'!S27,"&lt;&gt;")&lt;=5,32,IF(COUNTIF('Résultats des tournois'!$B27:'Résultats des tournois'!S27,"&lt;&gt;")&lt;=15,24,16))</f>
        <v>32</v>
      </c>
      <c r="T27" s="15">
        <f>IF(COUNTIF('Résultats des tournois'!$B27:'Résultats des tournois'!T27,"&lt;&gt;")&lt;=5,32,IF(COUNTIF('Résultats des tournois'!$B27:'Résultats des tournois'!T27,"&lt;&gt;")&lt;=15,24,16))</f>
        <v>32</v>
      </c>
      <c r="U27" s="15">
        <f>IF(COUNTIF('Résultats des tournois'!$B27:'Résultats des tournois'!U27,"&lt;&gt;")&lt;=5,32,IF(COUNTIF('Résultats des tournois'!$B27:'Résultats des tournois'!U27,"&lt;&gt;")&lt;=15,24,16))</f>
        <v>32</v>
      </c>
      <c r="V27" s="15">
        <f>IF(COUNTIF('Résultats des tournois'!$B27:'Résultats des tournois'!V27,"&lt;&gt;")&lt;=5,32,IF(COUNTIF('Résultats des tournois'!$B27:'Résultats des tournois'!V27,"&lt;&gt;")&lt;=15,24,16))</f>
        <v>32</v>
      </c>
      <c r="W27" s="15">
        <f>IF(COUNTIF('Résultats des tournois'!$B27:'Résultats des tournois'!W27,"&lt;&gt;")&lt;=5,32,IF(COUNTIF('Résultats des tournois'!$B27:'Résultats des tournois'!W27,"&lt;&gt;")&lt;=15,24,16))</f>
        <v>32</v>
      </c>
      <c r="X27" s="15">
        <f>IF(COUNTIF('Résultats des tournois'!$B27:'Résultats des tournois'!X27,"&lt;&gt;")&lt;=5,32,IF(COUNTIF('Résultats des tournois'!$B27:'Résultats des tournois'!X27,"&lt;&gt;")&lt;=15,24,16))</f>
        <v>32</v>
      </c>
      <c r="Y27" s="15">
        <f>IF(COUNTIF('Résultats des tournois'!$B27:'Résultats des tournois'!Y27,"&lt;&gt;")&lt;=5,32,IF(COUNTIF('Résultats des tournois'!$B27:'Résultats des tournois'!Y27,"&lt;&gt;")&lt;=15,24,16))</f>
        <v>32</v>
      </c>
      <c r="Z27" s="15">
        <f>IF(COUNTIF('Résultats des tournois'!$B27:'Résultats des tournois'!Z27,"&lt;&gt;")&lt;=5,32,IF(COUNTIF('Résultats des tournois'!$B27:'Résultats des tournois'!Z27,"&lt;&gt;")&lt;=15,24,16))</f>
        <v>32</v>
      </c>
      <c r="AA27" s="15">
        <f>IF(COUNTIF('Résultats des tournois'!$B27:'Résultats des tournois'!AA27,"&lt;&gt;")&lt;=5,32,IF(COUNTIF('Résultats des tournois'!$B27:'Résultats des tournois'!AA27,"&lt;&gt;")&lt;=15,24,16))</f>
        <v>32</v>
      </c>
      <c r="AB27" s="15">
        <f>IF(COUNTIF('Résultats des tournois'!$B27:'Résultats des tournois'!AB27,"&lt;&gt;")&lt;=5,32,IF(COUNTIF('Résultats des tournois'!$B27:'Résultats des tournois'!AB27,"&lt;&gt;")&lt;=15,24,16))</f>
        <v>32</v>
      </c>
      <c r="AC27" s="15">
        <f>IF(COUNTIF('Résultats des tournois'!$B27:'Résultats des tournois'!AC27,"&lt;&gt;")&lt;=5,32,IF(COUNTIF('Résultats des tournois'!$B27:'Résultats des tournois'!AC27,"&lt;&gt;")&lt;=15,24,16))</f>
        <v>32</v>
      </c>
      <c r="AD27" s="15">
        <f>IF(COUNTIF('Résultats des tournois'!$B27:'Résultats des tournois'!AD27,"&lt;&gt;")&lt;=5,32,IF(COUNTIF('Résultats des tournois'!$B27:'Résultats des tournois'!AD27,"&lt;&gt;")&lt;=15,24,16))</f>
        <v>32</v>
      </c>
      <c r="AE27" s="15">
        <f>IF(COUNTIF('Résultats des tournois'!$B27:'Résultats des tournois'!AE27,"&lt;&gt;")&lt;=5,32,IF(COUNTIF('Résultats des tournois'!$B27:'Résultats des tournois'!AE27,"&lt;&gt;")&lt;=15,24,16))</f>
        <v>32</v>
      </c>
      <c r="AF27" s="15">
        <f>IF(COUNTIF('Résultats des tournois'!$B27:'Résultats des tournois'!AF27,"&lt;&gt;")&lt;=5,32,IF(COUNTIF('Résultats des tournois'!$B27:'Résultats des tournois'!AF27,"&lt;&gt;")&lt;=15,24,16))</f>
        <v>32</v>
      </c>
      <c r="AG27" s="15">
        <f>IF(COUNTIF('Résultats des tournois'!$B27:'Résultats des tournois'!AG27,"&lt;&gt;")&lt;=5,32,IF(COUNTIF('Résultats des tournois'!$B27:'Résultats des tournois'!AG27,"&lt;&gt;")&lt;=15,24,16))</f>
        <v>32</v>
      </c>
      <c r="AH27" s="15">
        <f>IF(COUNTIF('Résultats des tournois'!$B27:'Résultats des tournois'!AH27,"&lt;&gt;")&lt;=5,32,IF(COUNTIF('Résultats des tournois'!$B27:'Résultats des tournois'!AH27,"&lt;&gt;")&lt;=15,24,16))</f>
        <v>32</v>
      </c>
      <c r="AI27" s="15">
        <f>IF(COUNTIF('Résultats des tournois'!$B27:'Résultats des tournois'!AI27,"&lt;&gt;")&lt;=5,32,IF(COUNTIF('Résultats des tournois'!$B27:'Résultats des tournois'!AI27,"&lt;&gt;")&lt;=15,24,16))</f>
        <v>32</v>
      </c>
      <c r="AJ27" s="15">
        <f>IF(COUNTIF('Résultats des tournois'!$B27:'Résultats des tournois'!AJ27,"&lt;&gt;")&lt;=5,32,IF(COUNTIF('Résultats des tournois'!$B27:'Résultats des tournois'!AJ27,"&lt;&gt;")&lt;=15,24,16))</f>
        <v>32</v>
      </c>
      <c r="AK27" s="15">
        <f>IF(COUNTIF('Résultats des tournois'!$B27:'Résultats des tournois'!AK27,"&lt;&gt;")&lt;=5,32,IF(COUNTIF('Résultats des tournois'!$B27:'Résultats des tournois'!AK27,"&lt;&gt;")&lt;=15,24,16))</f>
        <v>32</v>
      </c>
      <c r="AL27" s="15">
        <f>IF(COUNTIF('Résultats des tournois'!$B27:'Résultats des tournois'!AL27,"&lt;&gt;")&lt;=5,32,IF(COUNTIF('Résultats des tournois'!$B27:'Résultats des tournois'!AL27,"&lt;&gt;")&lt;=15,24,16))</f>
        <v>32</v>
      </c>
      <c r="AM27" s="15">
        <f>IF(COUNTIF('Résultats des tournois'!$B27:'Résultats des tournois'!AM27,"&lt;&gt;")&lt;=5,32,IF(COUNTIF('Résultats des tournois'!$B27:'Résultats des tournois'!AM27,"&lt;&gt;")&lt;=15,24,16))</f>
        <v>32</v>
      </c>
      <c r="AN27" s="15">
        <f>IF(COUNTIF('Résultats des tournois'!$B27:'Résultats des tournois'!AN27,"&lt;&gt;")&lt;=5,32,IF(COUNTIF('Résultats des tournois'!$B27:'Résultats des tournois'!AN27,"&lt;&gt;")&lt;=15,24,16))</f>
        <v>32</v>
      </c>
      <c r="AO27" s="15">
        <f>IF(COUNTIF('Résultats des tournois'!$B27:'Résultats des tournois'!AO27,"&lt;&gt;")&lt;=5,32,IF(COUNTIF('Résultats des tournois'!$B27:'Résultats des tournois'!AO27,"&lt;&gt;")&lt;=15,24,16))</f>
        <v>32</v>
      </c>
      <c r="AP27" s="15">
        <f>IF(COUNTIF('Résultats des tournois'!$B27:'Résultats des tournois'!AP27,"&lt;&gt;")&lt;=5,32,IF(COUNTIF('Résultats des tournois'!$B27:'Résultats des tournois'!AP27,"&lt;&gt;")&lt;=15,24,16))</f>
        <v>32</v>
      </c>
      <c r="AQ27" s="15">
        <f>IF(COUNTIF('Résultats des tournois'!$B27:'Résultats des tournois'!AQ27,"&lt;&gt;")&lt;=5,32,IF(COUNTIF('Résultats des tournois'!$B27:'Résultats des tournois'!AQ27,"&lt;&gt;")&lt;=15,24,16))</f>
        <v>32</v>
      </c>
      <c r="AR27" s="15">
        <f>IF(COUNTIF('Résultats des tournois'!$B27:'Résultats des tournois'!AR27,"&lt;&gt;")&lt;=5,32,IF(COUNTIF('Résultats des tournois'!$B27:'Résultats des tournois'!AR27,"&lt;&gt;")&lt;=15,24,16))</f>
        <v>32</v>
      </c>
      <c r="AS27" s="15">
        <f>IF(COUNTIF('Résultats des tournois'!$B27:'Résultats des tournois'!AS27,"&lt;&gt;")&lt;=5,32,IF(COUNTIF('Résultats des tournois'!$B27:'Résultats des tournois'!AS27,"&lt;&gt;")&lt;=15,24,16))</f>
        <v>32</v>
      </c>
      <c r="AT27" s="15">
        <f>IF(COUNTIF('Résultats des tournois'!$B27:'Résultats des tournois'!AT27,"&lt;&gt;")&lt;=5,32,IF(COUNTIF('Résultats des tournois'!$B27:'Résultats des tournois'!AT27,"&lt;&gt;")&lt;=15,24,16))</f>
        <v>32</v>
      </c>
      <c r="AU27" s="15">
        <f>IF(COUNTIF('Résultats des tournois'!$B27:'Résultats des tournois'!AU27,"&lt;&gt;")&lt;=5,32,IF(COUNTIF('Résultats des tournois'!$B27:'Résultats des tournois'!AU27,"&lt;&gt;")&lt;=15,24,16))</f>
        <v>32</v>
      </c>
      <c r="AV27" s="15">
        <f>IF(COUNTIF('Résultats des tournois'!$B27:'Résultats des tournois'!AV27,"&lt;&gt;")&lt;=5,32,IF(COUNTIF('Résultats des tournois'!$B27:'Résultats des tournois'!AV27,"&lt;&gt;")&lt;=15,24,16))</f>
        <v>32</v>
      </c>
      <c r="AW27" s="15">
        <f>IF(COUNTIF('Résultats des tournois'!$B27:'Résultats des tournois'!AW27,"&lt;&gt;")&lt;=5,32,IF(COUNTIF('Résultats des tournois'!$B27:'Résultats des tournois'!AW27,"&lt;&gt;")&lt;=15,24,16))</f>
        <v>32</v>
      </c>
      <c r="AX27" s="15">
        <f>IF(COUNTIF('Résultats des tournois'!$B27:'Résultats des tournois'!AX27,"&lt;&gt;")&lt;=5,32,IF(COUNTIF('Résultats des tournois'!$B27:'Résultats des tournois'!AX27,"&lt;&gt;")&lt;=15,24,16))</f>
        <v>32</v>
      </c>
    </row>
    <row r="28" ht="14.25" customHeight="1">
      <c r="A28" s="15" t="str">
        <f>IF('Résultats des tournois'!A28="","",'Résultats des tournois'!A28)</f>
        <v/>
      </c>
      <c r="B28" s="15">
        <f>IF(COUNTIF('Résultats des tournois'!B28,"&lt;&gt;")&lt;=5,32,IF(COUNTIF('Résultats des tournois'!B28,"&lt;&gt;")&lt;=15,24,16))</f>
        <v>32</v>
      </c>
      <c r="C28" s="15">
        <f>IF(COUNTIF('Résultats des tournois'!$B28:'Résultats des tournois'!C28,"&lt;&gt;")&lt;=5,32,IF(COUNTIF('Résultats des tournois'!$B28:'Résultats des tournois'!C28,"&lt;&gt;")&lt;=15,24,16))</f>
        <v>32</v>
      </c>
      <c r="D28" s="15">
        <f>IF(COUNTIF('Résultats des tournois'!$B28:'Résultats des tournois'!D28,"&lt;&gt;")&lt;=5,32,IF(COUNTIF('Résultats des tournois'!$B28:'Résultats des tournois'!D28,"&lt;&gt;")&lt;=15,24,16))</f>
        <v>32</v>
      </c>
      <c r="E28" s="15">
        <f>IF(COUNTIF('Résultats des tournois'!$B28:'Résultats des tournois'!E28,"&lt;&gt;")&lt;=5,32,IF(COUNTIF('Résultats des tournois'!$B28:'Résultats des tournois'!E28,"&lt;&gt;")&lt;=15,24,16))</f>
        <v>32</v>
      </c>
      <c r="F28" s="15">
        <f>IF(COUNTIF('Résultats des tournois'!$B28:'Résultats des tournois'!F28,"&lt;&gt;")&lt;=5,32,IF(COUNTIF('Résultats des tournois'!$B28:'Résultats des tournois'!F28,"&lt;&gt;")&lt;=15,24,16))</f>
        <v>32</v>
      </c>
      <c r="G28" s="15">
        <f>IF(COUNTIF('Résultats des tournois'!$B28:'Résultats des tournois'!G28,"&lt;&gt;")&lt;=5,32,IF(COUNTIF('Résultats des tournois'!$B28:'Résultats des tournois'!G28,"&lt;&gt;")&lt;=15,24,16))</f>
        <v>32</v>
      </c>
      <c r="H28" s="15">
        <f>IF(COUNTIF('Résultats des tournois'!$B28:'Résultats des tournois'!H28,"&lt;&gt;")&lt;=5,32,IF(COUNTIF('Résultats des tournois'!$B28:'Résultats des tournois'!H28,"&lt;&gt;")&lt;=15,24,16))</f>
        <v>32</v>
      </c>
      <c r="I28" s="15">
        <f>IF(COUNTIF('Résultats des tournois'!$B28:'Résultats des tournois'!I28,"&lt;&gt;")&lt;=5,32,IF(COUNTIF('Résultats des tournois'!$B28:'Résultats des tournois'!I28,"&lt;&gt;")&lt;=15,24,16))</f>
        <v>32</v>
      </c>
      <c r="J28" s="15">
        <f>IF(COUNTIF('Résultats des tournois'!$B28:'Résultats des tournois'!J28,"&lt;&gt;")&lt;=5,32,IF(COUNTIF('Résultats des tournois'!$B28:'Résultats des tournois'!J28,"&lt;&gt;")&lt;=15,24,16))</f>
        <v>32</v>
      </c>
      <c r="K28" s="15">
        <f>IF(COUNTIF('Résultats des tournois'!$B28:'Résultats des tournois'!K28,"&lt;&gt;")&lt;=5,32,IF(COUNTIF('Résultats des tournois'!$B28:'Résultats des tournois'!K28,"&lt;&gt;")&lt;=15,24,16))</f>
        <v>32</v>
      </c>
      <c r="L28" s="15">
        <f>IF(COUNTIF('Résultats des tournois'!$B28:'Résultats des tournois'!L28,"&lt;&gt;")&lt;=5,32,IF(COUNTIF('Résultats des tournois'!$B28:'Résultats des tournois'!L28,"&lt;&gt;")&lt;=15,24,16))</f>
        <v>32</v>
      </c>
      <c r="M28" s="15">
        <f>IF(COUNTIF('Résultats des tournois'!$B28:'Résultats des tournois'!M28,"&lt;&gt;")&lt;=5,32,IF(COUNTIF('Résultats des tournois'!$B28:'Résultats des tournois'!M28,"&lt;&gt;")&lt;=15,24,16))</f>
        <v>32</v>
      </c>
      <c r="N28" s="15">
        <f>IF(COUNTIF('Résultats des tournois'!$B28:'Résultats des tournois'!N28,"&lt;&gt;")&lt;=5,32,IF(COUNTIF('Résultats des tournois'!$B28:'Résultats des tournois'!N28,"&lt;&gt;")&lt;=15,24,16))</f>
        <v>32</v>
      </c>
      <c r="O28" s="15">
        <f>IF(COUNTIF('Résultats des tournois'!$B28:'Résultats des tournois'!O28,"&lt;&gt;")&lt;=5,32,IF(COUNTIF('Résultats des tournois'!$B28:'Résultats des tournois'!O28,"&lt;&gt;")&lt;=15,24,16))</f>
        <v>32</v>
      </c>
      <c r="P28" s="15">
        <f>IF(COUNTIF('Résultats des tournois'!$B28:'Résultats des tournois'!P28,"&lt;&gt;")&lt;=5,32,IF(COUNTIF('Résultats des tournois'!$B28:'Résultats des tournois'!P28,"&lt;&gt;")&lt;=15,24,16))</f>
        <v>32</v>
      </c>
      <c r="Q28" s="15">
        <f>IF(COUNTIF('Résultats des tournois'!$B28:'Résultats des tournois'!Q28,"&lt;&gt;")&lt;=5,32,IF(COUNTIF('Résultats des tournois'!$B28:'Résultats des tournois'!Q28,"&lt;&gt;")&lt;=15,24,16))</f>
        <v>32</v>
      </c>
      <c r="R28" s="15">
        <f>IF(COUNTIF('Résultats des tournois'!$B28:'Résultats des tournois'!R28,"&lt;&gt;")&lt;=5,32,IF(COUNTIF('Résultats des tournois'!$B28:'Résultats des tournois'!R28,"&lt;&gt;")&lt;=15,24,16))</f>
        <v>32</v>
      </c>
      <c r="S28" s="15">
        <f>IF(COUNTIF('Résultats des tournois'!$B28:'Résultats des tournois'!S28,"&lt;&gt;")&lt;=5,32,IF(COUNTIF('Résultats des tournois'!$B28:'Résultats des tournois'!S28,"&lt;&gt;")&lt;=15,24,16))</f>
        <v>32</v>
      </c>
      <c r="T28" s="15">
        <f>IF(COUNTIF('Résultats des tournois'!$B28:'Résultats des tournois'!T28,"&lt;&gt;")&lt;=5,32,IF(COUNTIF('Résultats des tournois'!$B28:'Résultats des tournois'!T28,"&lt;&gt;")&lt;=15,24,16))</f>
        <v>32</v>
      </c>
      <c r="U28" s="15">
        <f>IF(COUNTIF('Résultats des tournois'!$B28:'Résultats des tournois'!U28,"&lt;&gt;")&lt;=5,32,IF(COUNTIF('Résultats des tournois'!$B28:'Résultats des tournois'!U28,"&lt;&gt;")&lt;=15,24,16))</f>
        <v>32</v>
      </c>
      <c r="V28" s="15">
        <f>IF(COUNTIF('Résultats des tournois'!$B28:'Résultats des tournois'!V28,"&lt;&gt;")&lt;=5,32,IF(COUNTIF('Résultats des tournois'!$B28:'Résultats des tournois'!V28,"&lt;&gt;")&lt;=15,24,16))</f>
        <v>32</v>
      </c>
      <c r="W28" s="15">
        <f>IF(COUNTIF('Résultats des tournois'!$B28:'Résultats des tournois'!W28,"&lt;&gt;")&lt;=5,32,IF(COUNTIF('Résultats des tournois'!$B28:'Résultats des tournois'!W28,"&lt;&gt;")&lt;=15,24,16))</f>
        <v>32</v>
      </c>
      <c r="X28" s="15">
        <f>IF(COUNTIF('Résultats des tournois'!$B28:'Résultats des tournois'!X28,"&lt;&gt;")&lt;=5,32,IF(COUNTIF('Résultats des tournois'!$B28:'Résultats des tournois'!X28,"&lt;&gt;")&lt;=15,24,16))</f>
        <v>32</v>
      </c>
      <c r="Y28" s="15">
        <f>IF(COUNTIF('Résultats des tournois'!$B28:'Résultats des tournois'!Y28,"&lt;&gt;")&lt;=5,32,IF(COUNTIF('Résultats des tournois'!$B28:'Résultats des tournois'!Y28,"&lt;&gt;")&lt;=15,24,16))</f>
        <v>32</v>
      </c>
      <c r="Z28" s="15">
        <f>IF(COUNTIF('Résultats des tournois'!$B28:'Résultats des tournois'!Z28,"&lt;&gt;")&lt;=5,32,IF(COUNTIF('Résultats des tournois'!$B28:'Résultats des tournois'!Z28,"&lt;&gt;")&lt;=15,24,16))</f>
        <v>32</v>
      </c>
      <c r="AA28" s="15">
        <f>IF(COUNTIF('Résultats des tournois'!$B28:'Résultats des tournois'!AA28,"&lt;&gt;")&lt;=5,32,IF(COUNTIF('Résultats des tournois'!$B28:'Résultats des tournois'!AA28,"&lt;&gt;")&lt;=15,24,16))</f>
        <v>32</v>
      </c>
      <c r="AB28" s="15">
        <f>IF(COUNTIF('Résultats des tournois'!$B28:'Résultats des tournois'!AB28,"&lt;&gt;")&lt;=5,32,IF(COUNTIF('Résultats des tournois'!$B28:'Résultats des tournois'!AB28,"&lt;&gt;")&lt;=15,24,16))</f>
        <v>32</v>
      </c>
      <c r="AC28" s="15">
        <f>IF(COUNTIF('Résultats des tournois'!$B28:'Résultats des tournois'!AC28,"&lt;&gt;")&lt;=5,32,IF(COUNTIF('Résultats des tournois'!$B28:'Résultats des tournois'!AC28,"&lt;&gt;")&lt;=15,24,16))</f>
        <v>32</v>
      </c>
      <c r="AD28" s="15">
        <f>IF(COUNTIF('Résultats des tournois'!$B28:'Résultats des tournois'!AD28,"&lt;&gt;")&lt;=5,32,IF(COUNTIF('Résultats des tournois'!$B28:'Résultats des tournois'!AD28,"&lt;&gt;")&lt;=15,24,16))</f>
        <v>32</v>
      </c>
      <c r="AE28" s="15">
        <f>IF(COUNTIF('Résultats des tournois'!$B28:'Résultats des tournois'!AE28,"&lt;&gt;")&lt;=5,32,IF(COUNTIF('Résultats des tournois'!$B28:'Résultats des tournois'!AE28,"&lt;&gt;")&lt;=15,24,16))</f>
        <v>32</v>
      </c>
      <c r="AF28" s="15">
        <f>IF(COUNTIF('Résultats des tournois'!$B28:'Résultats des tournois'!AF28,"&lt;&gt;")&lt;=5,32,IF(COUNTIF('Résultats des tournois'!$B28:'Résultats des tournois'!AF28,"&lt;&gt;")&lt;=15,24,16))</f>
        <v>32</v>
      </c>
      <c r="AG28" s="15">
        <f>IF(COUNTIF('Résultats des tournois'!$B28:'Résultats des tournois'!AG28,"&lt;&gt;")&lt;=5,32,IF(COUNTIF('Résultats des tournois'!$B28:'Résultats des tournois'!AG28,"&lt;&gt;")&lt;=15,24,16))</f>
        <v>32</v>
      </c>
      <c r="AH28" s="15">
        <f>IF(COUNTIF('Résultats des tournois'!$B28:'Résultats des tournois'!AH28,"&lt;&gt;")&lt;=5,32,IF(COUNTIF('Résultats des tournois'!$B28:'Résultats des tournois'!AH28,"&lt;&gt;")&lt;=15,24,16))</f>
        <v>32</v>
      </c>
      <c r="AI28" s="15">
        <f>IF(COUNTIF('Résultats des tournois'!$B28:'Résultats des tournois'!AI28,"&lt;&gt;")&lt;=5,32,IF(COUNTIF('Résultats des tournois'!$B28:'Résultats des tournois'!AI28,"&lt;&gt;")&lt;=15,24,16))</f>
        <v>32</v>
      </c>
      <c r="AJ28" s="15">
        <f>IF(COUNTIF('Résultats des tournois'!$B28:'Résultats des tournois'!AJ28,"&lt;&gt;")&lt;=5,32,IF(COUNTIF('Résultats des tournois'!$B28:'Résultats des tournois'!AJ28,"&lt;&gt;")&lt;=15,24,16))</f>
        <v>32</v>
      </c>
      <c r="AK28" s="15">
        <f>IF(COUNTIF('Résultats des tournois'!$B28:'Résultats des tournois'!AK28,"&lt;&gt;")&lt;=5,32,IF(COUNTIF('Résultats des tournois'!$B28:'Résultats des tournois'!AK28,"&lt;&gt;")&lt;=15,24,16))</f>
        <v>32</v>
      </c>
      <c r="AL28" s="15">
        <f>IF(COUNTIF('Résultats des tournois'!$B28:'Résultats des tournois'!AL28,"&lt;&gt;")&lt;=5,32,IF(COUNTIF('Résultats des tournois'!$B28:'Résultats des tournois'!AL28,"&lt;&gt;")&lt;=15,24,16))</f>
        <v>32</v>
      </c>
      <c r="AM28" s="15">
        <f>IF(COUNTIF('Résultats des tournois'!$B28:'Résultats des tournois'!AM28,"&lt;&gt;")&lt;=5,32,IF(COUNTIF('Résultats des tournois'!$B28:'Résultats des tournois'!AM28,"&lt;&gt;")&lt;=15,24,16))</f>
        <v>32</v>
      </c>
      <c r="AN28" s="15">
        <f>IF(COUNTIF('Résultats des tournois'!$B28:'Résultats des tournois'!AN28,"&lt;&gt;")&lt;=5,32,IF(COUNTIF('Résultats des tournois'!$B28:'Résultats des tournois'!AN28,"&lt;&gt;")&lt;=15,24,16))</f>
        <v>32</v>
      </c>
      <c r="AO28" s="15">
        <f>IF(COUNTIF('Résultats des tournois'!$B28:'Résultats des tournois'!AO28,"&lt;&gt;")&lt;=5,32,IF(COUNTIF('Résultats des tournois'!$B28:'Résultats des tournois'!AO28,"&lt;&gt;")&lt;=15,24,16))</f>
        <v>32</v>
      </c>
      <c r="AP28" s="15">
        <f>IF(COUNTIF('Résultats des tournois'!$B28:'Résultats des tournois'!AP28,"&lt;&gt;")&lt;=5,32,IF(COUNTIF('Résultats des tournois'!$B28:'Résultats des tournois'!AP28,"&lt;&gt;")&lt;=15,24,16))</f>
        <v>32</v>
      </c>
      <c r="AQ28" s="15">
        <f>IF(COUNTIF('Résultats des tournois'!$B28:'Résultats des tournois'!AQ28,"&lt;&gt;")&lt;=5,32,IF(COUNTIF('Résultats des tournois'!$B28:'Résultats des tournois'!AQ28,"&lt;&gt;")&lt;=15,24,16))</f>
        <v>32</v>
      </c>
      <c r="AR28" s="15">
        <f>IF(COUNTIF('Résultats des tournois'!$B28:'Résultats des tournois'!AR28,"&lt;&gt;")&lt;=5,32,IF(COUNTIF('Résultats des tournois'!$B28:'Résultats des tournois'!AR28,"&lt;&gt;")&lt;=15,24,16))</f>
        <v>32</v>
      </c>
      <c r="AS28" s="15">
        <f>IF(COUNTIF('Résultats des tournois'!$B28:'Résultats des tournois'!AS28,"&lt;&gt;")&lt;=5,32,IF(COUNTIF('Résultats des tournois'!$B28:'Résultats des tournois'!AS28,"&lt;&gt;")&lt;=15,24,16))</f>
        <v>32</v>
      </c>
      <c r="AT28" s="15">
        <f>IF(COUNTIF('Résultats des tournois'!$B28:'Résultats des tournois'!AT28,"&lt;&gt;")&lt;=5,32,IF(COUNTIF('Résultats des tournois'!$B28:'Résultats des tournois'!AT28,"&lt;&gt;")&lt;=15,24,16))</f>
        <v>32</v>
      </c>
      <c r="AU28" s="15">
        <f>IF(COUNTIF('Résultats des tournois'!$B28:'Résultats des tournois'!AU28,"&lt;&gt;")&lt;=5,32,IF(COUNTIF('Résultats des tournois'!$B28:'Résultats des tournois'!AU28,"&lt;&gt;")&lt;=15,24,16))</f>
        <v>32</v>
      </c>
      <c r="AV28" s="15">
        <f>IF(COUNTIF('Résultats des tournois'!$B28:'Résultats des tournois'!AV28,"&lt;&gt;")&lt;=5,32,IF(COUNTIF('Résultats des tournois'!$B28:'Résultats des tournois'!AV28,"&lt;&gt;")&lt;=15,24,16))</f>
        <v>32</v>
      </c>
      <c r="AW28" s="15">
        <f>IF(COUNTIF('Résultats des tournois'!$B28:'Résultats des tournois'!AW28,"&lt;&gt;")&lt;=5,32,IF(COUNTIF('Résultats des tournois'!$B28:'Résultats des tournois'!AW28,"&lt;&gt;")&lt;=15,24,16))</f>
        <v>32</v>
      </c>
      <c r="AX28" s="15">
        <f>IF(COUNTIF('Résultats des tournois'!$B28:'Résultats des tournois'!AX28,"&lt;&gt;")&lt;=5,32,IF(COUNTIF('Résultats des tournois'!$B28:'Résultats des tournois'!AX28,"&lt;&gt;")&lt;=15,24,16))</f>
        <v>32</v>
      </c>
    </row>
    <row r="29" ht="14.25" customHeight="1">
      <c r="A29" s="15" t="str">
        <f>IF('Résultats des tournois'!A29="","",'Résultats des tournois'!A29)</f>
        <v/>
      </c>
      <c r="B29" s="15">
        <f>IF(COUNTIF('Résultats des tournois'!B29,"&lt;&gt;")&lt;=5,32,IF(COUNTIF('Résultats des tournois'!B29,"&lt;&gt;")&lt;=15,24,16))</f>
        <v>32</v>
      </c>
      <c r="C29" s="15">
        <f>IF(COUNTIF('Résultats des tournois'!$B29:'Résultats des tournois'!C29,"&lt;&gt;")&lt;=5,32,IF(COUNTIF('Résultats des tournois'!$B29:'Résultats des tournois'!C29,"&lt;&gt;")&lt;=15,24,16))</f>
        <v>32</v>
      </c>
      <c r="D29" s="15">
        <f>IF(COUNTIF('Résultats des tournois'!$B29:'Résultats des tournois'!D29,"&lt;&gt;")&lt;=5,32,IF(COUNTIF('Résultats des tournois'!$B29:'Résultats des tournois'!D29,"&lt;&gt;")&lt;=15,24,16))</f>
        <v>32</v>
      </c>
      <c r="E29" s="15">
        <f>IF(COUNTIF('Résultats des tournois'!$B29:'Résultats des tournois'!E29,"&lt;&gt;")&lt;=5,32,IF(COUNTIF('Résultats des tournois'!$B29:'Résultats des tournois'!E29,"&lt;&gt;")&lt;=15,24,16))</f>
        <v>32</v>
      </c>
      <c r="F29" s="15">
        <f>IF(COUNTIF('Résultats des tournois'!$B29:'Résultats des tournois'!F29,"&lt;&gt;")&lt;=5,32,IF(COUNTIF('Résultats des tournois'!$B29:'Résultats des tournois'!F29,"&lt;&gt;")&lt;=15,24,16))</f>
        <v>32</v>
      </c>
      <c r="G29" s="15">
        <f>IF(COUNTIF('Résultats des tournois'!$B29:'Résultats des tournois'!G29,"&lt;&gt;")&lt;=5,32,IF(COUNTIF('Résultats des tournois'!$B29:'Résultats des tournois'!G29,"&lt;&gt;")&lt;=15,24,16))</f>
        <v>32</v>
      </c>
      <c r="H29" s="15">
        <f>IF(COUNTIF('Résultats des tournois'!$B29:'Résultats des tournois'!H29,"&lt;&gt;")&lt;=5,32,IF(COUNTIF('Résultats des tournois'!$B29:'Résultats des tournois'!H29,"&lt;&gt;")&lt;=15,24,16))</f>
        <v>32</v>
      </c>
      <c r="I29" s="15">
        <f>IF(COUNTIF('Résultats des tournois'!$B29:'Résultats des tournois'!I29,"&lt;&gt;")&lt;=5,32,IF(COUNTIF('Résultats des tournois'!$B29:'Résultats des tournois'!I29,"&lt;&gt;")&lt;=15,24,16))</f>
        <v>32</v>
      </c>
      <c r="J29" s="15">
        <f>IF(COUNTIF('Résultats des tournois'!$B29:'Résultats des tournois'!J29,"&lt;&gt;")&lt;=5,32,IF(COUNTIF('Résultats des tournois'!$B29:'Résultats des tournois'!J29,"&lt;&gt;")&lt;=15,24,16))</f>
        <v>32</v>
      </c>
      <c r="K29" s="15">
        <f>IF(COUNTIF('Résultats des tournois'!$B29:'Résultats des tournois'!K29,"&lt;&gt;")&lt;=5,32,IF(COUNTIF('Résultats des tournois'!$B29:'Résultats des tournois'!K29,"&lt;&gt;")&lt;=15,24,16))</f>
        <v>32</v>
      </c>
      <c r="L29" s="15">
        <f>IF(COUNTIF('Résultats des tournois'!$B29:'Résultats des tournois'!L29,"&lt;&gt;")&lt;=5,32,IF(COUNTIF('Résultats des tournois'!$B29:'Résultats des tournois'!L29,"&lt;&gt;")&lt;=15,24,16))</f>
        <v>32</v>
      </c>
      <c r="M29" s="15">
        <f>IF(COUNTIF('Résultats des tournois'!$B29:'Résultats des tournois'!M29,"&lt;&gt;")&lt;=5,32,IF(COUNTIF('Résultats des tournois'!$B29:'Résultats des tournois'!M29,"&lt;&gt;")&lt;=15,24,16))</f>
        <v>32</v>
      </c>
      <c r="N29" s="15">
        <f>IF(COUNTIF('Résultats des tournois'!$B29:'Résultats des tournois'!N29,"&lt;&gt;")&lt;=5,32,IF(COUNTIF('Résultats des tournois'!$B29:'Résultats des tournois'!N29,"&lt;&gt;")&lt;=15,24,16))</f>
        <v>32</v>
      </c>
      <c r="O29" s="15">
        <f>IF(COUNTIF('Résultats des tournois'!$B29:'Résultats des tournois'!O29,"&lt;&gt;")&lt;=5,32,IF(COUNTIF('Résultats des tournois'!$B29:'Résultats des tournois'!O29,"&lt;&gt;")&lt;=15,24,16))</f>
        <v>32</v>
      </c>
      <c r="P29" s="15">
        <f>IF(COUNTIF('Résultats des tournois'!$B29:'Résultats des tournois'!P29,"&lt;&gt;")&lt;=5,32,IF(COUNTIF('Résultats des tournois'!$B29:'Résultats des tournois'!P29,"&lt;&gt;")&lt;=15,24,16))</f>
        <v>32</v>
      </c>
      <c r="Q29" s="15">
        <f>IF(COUNTIF('Résultats des tournois'!$B29:'Résultats des tournois'!Q29,"&lt;&gt;")&lt;=5,32,IF(COUNTIF('Résultats des tournois'!$B29:'Résultats des tournois'!Q29,"&lt;&gt;")&lt;=15,24,16))</f>
        <v>32</v>
      </c>
      <c r="R29" s="15">
        <f>IF(COUNTIF('Résultats des tournois'!$B29:'Résultats des tournois'!R29,"&lt;&gt;")&lt;=5,32,IF(COUNTIF('Résultats des tournois'!$B29:'Résultats des tournois'!R29,"&lt;&gt;")&lt;=15,24,16))</f>
        <v>32</v>
      </c>
      <c r="S29" s="15">
        <f>IF(COUNTIF('Résultats des tournois'!$B29:'Résultats des tournois'!S29,"&lt;&gt;")&lt;=5,32,IF(COUNTIF('Résultats des tournois'!$B29:'Résultats des tournois'!S29,"&lt;&gt;")&lt;=15,24,16))</f>
        <v>32</v>
      </c>
      <c r="T29" s="15">
        <f>IF(COUNTIF('Résultats des tournois'!$B29:'Résultats des tournois'!T29,"&lt;&gt;")&lt;=5,32,IF(COUNTIF('Résultats des tournois'!$B29:'Résultats des tournois'!T29,"&lt;&gt;")&lt;=15,24,16))</f>
        <v>32</v>
      </c>
      <c r="U29" s="15">
        <f>IF(COUNTIF('Résultats des tournois'!$B29:'Résultats des tournois'!U29,"&lt;&gt;")&lt;=5,32,IF(COUNTIF('Résultats des tournois'!$B29:'Résultats des tournois'!U29,"&lt;&gt;")&lt;=15,24,16))</f>
        <v>32</v>
      </c>
      <c r="V29" s="15">
        <f>IF(COUNTIF('Résultats des tournois'!$B29:'Résultats des tournois'!V29,"&lt;&gt;")&lt;=5,32,IF(COUNTIF('Résultats des tournois'!$B29:'Résultats des tournois'!V29,"&lt;&gt;")&lt;=15,24,16))</f>
        <v>32</v>
      </c>
      <c r="W29" s="15">
        <f>IF(COUNTIF('Résultats des tournois'!$B29:'Résultats des tournois'!W29,"&lt;&gt;")&lt;=5,32,IF(COUNTIF('Résultats des tournois'!$B29:'Résultats des tournois'!W29,"&lt;&gt;")&lt;=15,24,16))</f>
        <v>32</v>
      </c>
      <c r="X29" s="15">
        <f>IF(COUNTIF('Résultats des tournois'!$B29:'Résultats des tournois'!X29,"&lt;&gt;")&lt;=5,32,IF(COUNTIF('Résultats des tournois'!$B29:'Résultats des tournois'!X29,"&lt;&gt;")&lt;=15,24,16))</f>
        <v>32</v>
      </c>
      <c r="Y29" s="15">
        <f>IF(COUNTIF('Résultats des tournois'!$B29:'Résultats des tournois'!Y29,"&lt;&gt;")&lt;=5,32,IF(COUNTIF('Résultats des tournois'!$B29:'Résultats des tournois'!Y29,"&lt;&gt;")&lt;=15,24,16))</f>
        <v>32</v>
      </c>
      <c r="Z29" s="15">
        <f>IF(COUNTIF('Résultats des tournois'!$B29:'Résultats des tournois'!Z29,"&lt;&gt;")&lt;=5,32,IF(COUNTIF('Résultats des tournois'!$B29:'Résultats des tournois'!Z29,"&lt;&gt;")&lt;=15,24,16))</f>
        <v>32</v>
      </c>
      <c r="AA29" s="15">
        <f>IF(COUNTIF('Résultats des tournois'!$B29:'Résultats des tournois'!AA29,"&lt;&gt;")&lt;=5,32,IF(COUNTIF('Résultats des tournois'!$B29:'Résultats des tournois'!AA29,"&lt;&gt;")&lt;=15,24,16))</f>
        <v>32</v>
      </c>
      <c r="AB29" s="15">
        <f>IF(COUNTIF('Résultats des tournois'!$B29:'Résultats des tournois'!AB29,"&lt;&gt;")&lt;=5,32,IF(COUNTIF('Résultats des tournois'!$B29:'Résultats des tournois'!AB29,"&lt;&gt;")&lt;=15,24,16))</f>
        <v>32</v>
      </c>
      <c r="AC29" s="15">
        <f>IF(COUNTIF('Résultats des tournois'!$B29:'Résultats des tournois'!AC29,"&lt;&gt;")&lt;=5,32,IF(COUNTIF('Résultats des tournois'!$B29:'Résultats des tournois'!AC29,"&lt;&gt;")&lt;=15,24,16))</f>
        <v>32</v>
      </c>
      <c r="AD29" s="15">
        <f>IF(COUNTIF('Résultats des tournois'!$B29:'Résultats des tournois'!AD29,"&lt;&gt;")&lt;=5,32,IF(COUNTIF('Résultats des tournois'!$B29:'Résultats des tournois'!AD29,"&lt;&gt;")&lt;=15,24,16))</f>
        <v>32</v>
      </c>
      <c r="AE29" s="15">
        <f>IF(COUNTIF('Résultats des tournois'!$B29:'Résultats des tournois'!AE29,"&lt;&gt;")&lt;=5,32,IF(COUNTIF('Résultats des tournois'!$B29:'Résultats des tournois'!AE29,"&lt;&gt;")&lt;=15,24,16))</f>
        <v>32</v>
      </c>
      <c r="AF29" s="15">
        <f>IF(COUNTIF('Résultats des tournois'!$B29:'Résultats des tournois'!AF29,"&lt;&gt;")&lt;=5,32,IF(COUNTIF('Résultats des tournois'!$B29:'Résultats des tournois'!AF29,"&lt;&gt;")&lt;=15,24,16))</f>
        <v>32</v>
      </c>
      <c r="AG29" s="15">
        <f>IF(COUNTIF('Résultats des tournois'!$B29:'Résultats des tournois'!AG29,"&lt;&gt;")&lt;=5,32,IF(COUNTIF('Résultats des tournois'!$B29:'Résultats des tournois'!AG29,"&lt;&gt;")&lt;=15,24,16))</f>
        <v>32</v>
      </c>
      <c r="AH29" s="15">
        <f>IF(COUNTIF('Résultats des tournois'!$B29:'Résultats des tournois'!AH29,"&lt;&gt;")&lt;=5,32,IF(COUNTIF('Résultats des tournois'!$B29:'Résultats des tournois'!AH29,"&lt;&gt;")&lt;=15,24,16))</f>
        <v>32</v>
      </c>
      <c r="AI29" s="15">
        <f>IF(COUNTIF('Résultats des tournois'!$B29:'Résultats des tournois'!AI29,"&lt;&gt;")&lt;=5,32,IF(COUNTIF('Résultats des tournois'!$B29:'Résultats des tournois'!AI29,"&lt;&gt;")&lt;=15,24,16))</f>
        <v>32</v>
      </c>
      <c r="AJ29" s="15">
        <f>IF(COUNTIF('Résultats des tournois'!$B29:'Résultats des tournois'!AJ29,"&lt;&gt;")&lt;=5,32,IF(COUNTIF('Résultats des tournois'!$B29:'Résultats des tournois'!AJ29,"&lt;&gt;")&lt;=15,24,16))</f>
        <v>32</v>
      </c>
      <c r="AK29" s="15">
        <f>IF(COUNTIF('Résultats des tournois'!$B29:'Résultats des tournois'!AK29,"&lt;&gt;")&lt;=5,32,IF(COUNTIF('Résultats des tournois'!$B29:'Résultats des tournois'!AK29,"&lt;&gt;")&lt;=15,24,16))</f>
        <v>32</v>
      </c>
      <c r="AL29" s="15">
        <f>IF(COUNTIF('Résultats des tournois'!$B29:'Résultats des tournois'!AL29,"&lt;&gt;")&lt;=5,32,IF(COUNTIF('Résultats des tournois'!$B29:'Résultats des tournois'!AL29,"&lt;&gt;")&lt;=15,24,16))</f>
        <v>32</v>
      </c>
      <c r="AM29" s="15">
        <f>IF(COUNTIF('Résultats des tournois'!$B29:'Résultats des tournois'!AM29,"&lt;&gt;")&lt;=5,32,IF(COUNTIF('Résultats des tournois'!$B29:'Résultats des tournois'!AM29,"&lt;&gt;")&lt;=15,24,16))</f>
        <v>32</v>
      </c>
      <c r="AN29" s="15">
        <f>IF(COUNTIF('Résultats des tournois'!$B29:'Résultats des tournois'!AN29,"&lt;&gt;")&lt;=5,32,IF(COUNTIF('Résultats des tournois'!$B29:'Résultats des tournois'!AN29,"&lt;&gt;")&lt;=15,24,16))</f>
        <v>32</v>
      </c>
      <c r="AO29" s="15">
        <f>IF(COUNTIF('Résultats des tournois'!$B29:'Résultats des tournois'!AO29,"&lt;&gt;")&lt;=5,32,IF(COUNTIF('Résultats des tournois'!$B29:'Résultats des tournois'!AO29,"&lt;&gt;")&lt;=15,24,16))</f>
        <v>32</v>
      </c>
      <c r="AP29" s="15">
        <f>IF(COUNTIF('Résultats des tournois'!$B29:'Résultats des tournois'!AP29,"&lt;&gt;")&lt;=5,32,IF(COUNTIF('Résultats des tournois'!$B29:'Résultats des tournois'!AP29,"&lt;&gt;")&lt;=15,24,16))</f>
        <v>32</v>
      </c>
      <c r="AQ29" s="15">
        <f>IF(COUNTIF('Résultats des tournois'!$B29:'Résultats des tournois'!AQ29,"&lt;&gt;")&lt;=5,32,IF(COUNTIF('Résultats des tournois'!$B29:'Résultats des tournois'!AQ29,"&lt;&gt;")&lt;=15,24,16))</f>
        <v>32</v>
      </c>
      <c r="AR29" s="15">
        <f>IF(COUNTIF('Résultats des tournois'!$B29:'Résultats des tournois'!AR29,"&lt;&gt;")&lt;=5,32,IF(COUNTIF('Résultats des tournois'!$B29:'Résultats des tournois'!AR29,"&lt;&gt;")&lt;=15,24,16))</f>
        <v>32</v>
      </c>
      <c r="AS29" s="15">
        <f>IF(COUNTIF('Résultats des tournois'!$B29:'Résultats des tournois'!AS29,"&lt;&gt;")&lt;=5,32,IF(COUNTIF('Résultats des tournois'!$B29:'Résultats des tournois'!AS29,"&lt;&gt;")&lt;=15,24,16))</f>
        <v>32</v>
      </c>
      <c r="AT29" s="15">
        <f>IF(COUNTIF('Résultats des tournois'!$B29:'Résultats des tournois'!AT29,"&lt;&gt;")&lt;=5,32,IF(COUNTIF('Résultats des tournois'!$B29:'Résultats des tournois'!AT29,"&lt;&gt;")&lt;=15,24,16))</f>
        <v>32</v>
      </c>
      <c r="AU29" s="15">
        <f>IF(COUNTIF('Résultats des tournois'!$B29:'Résultats des tournois'!AU29,"&lt;&gt;")&lt;=5,32,IF(COUNTIF('Résultats des tournois'!$B29:'Résultats des tournois'!AU29,"&lt;&gt;")&lt;=15,24,16))</f>
        <v>32</v>
      </c>
      <c r="AV29" s="15">
        <f>IF(COUNTIF('Résultats des tournois'!$B29:'Résultats des tournois'!AV29,"&lt;&gt;")&lt;=5,32,IF(COUNTIF('Résultats des tournois'!$B29:'Résultats des tournois'!AV29,"&lt;&gt;")&lt;=15,24,16))</f>
        <v>32</v>
      </c>
      <c r="AW29" s="15">
        <f>IF(COUNTIF('Résultats des tournois'!$B29:'Résultats des tournois'!AW29,"&lt;&gt;")&lt;=5,32,IF(COUNTIF('Résultats des tournois'!$B29:'Résultats des tournois'!AW29,"&lt;&gt;")&lt;=15,24,16))</f>
        <v>32</v>
      </c>
      <c r="AX29" s="15">
        <f>IF(COUNTIF('Résultats des tournois'!$B29:'Résultats des tournois'!AX29,"&lt;&gt;")&lt;=5,32,IF(COUNTIF('Résultats des tournois'!$B29:'Résultats des tournois'!AX29,"&lt;&gt;")&lt;=15,24,16))</f>
        <v>32</v>
      </c>
    </row>
    <row r="30" ht="14.25" customHeight="1">
      <c r="A30" s="15" t="str">
        <f>IF('Résultats des tournois'!A30="","",'Résultats des tournois'!A30)</f>
        <v/>
      </c>
      <c r="B30" s="15">
        <f>IF(COUNTIF('Résultats des tournois'!B30,"&lt;&gt;")&lt;=5,32,IF(COUNTIF('Résultats des tournois'!B30,"&lt;&gt;")&lt;=15,24,16))</f>
        <v>32</v>
      </c>
      <c r="C30" s="15">
        <f>IF(COUNTIF('Résultats des tournois'!$B30:'Résultats des tournois'!C30,"&lt;&gt;")&lt;=5,32,IF(COUNTIF('Résultats des tournois'!$B30:'Résultats des tournois'!C30,"&lt;&gt;")&lt;=15,24,16))</f>
        <v>32</v>
      </c>
      <c r="D30" s="15">
        <f>IF(COUNTIF('Résultats des tournois'!$B30:'Résultats des tournois'!D30,"&lt;&gt;")&lt;=5,32,IF(COUNTIF('Résultats des tournois'!$B30:'Résultats des tournois'!D30,"&lt;&gt;")&lt;=15,24,16))</f>
        <v>32</v>
      </c>
      <c r="E30" s="15">
        <f>IF(COUNTIF('Résultats des tournois'!$B30:'Résultats des tournois'!E30,"&lt;&gt;")&lt;=5,32,IF(COUNTIF('Résultats des tournois'!$B30:'Résultats des tournois'!E30,"&lt;&gt;")&lt;=15,24,16))</f>
        <v>32</v>
      </c>
      <c r="F30" s="15">
        <f>IF(COUNTIF('Résultats des tournois'!$B30:'Résultats des tournois'!F30,"&lt;&gt;")&lt;=5,32,IF(COUNTIF('Résultats des tournois'!$B30:'Résultats des tournois'!F30,"&lt;&gt;")&lt;=15,24,16))</f>
        <v>32</v>
      </c>
      <c r="G30" s="15">
        <f>IF(COUNTIF('Résultats des tournois'!$B30:'Résultats des tournois'!G30,"&lt;&gt;")&lt;=5,32,IF(COUNTIF('Résultats des tournois'!$B30:'Résultats des tournois'!G30,"&lt;&gt;")&lt;=15,24,16))</f>
        <v>32</v>
      </c>
      <c r="H30" s="15">
        <f>IF(COUNTIF('Résultats des tournois'!$B30:'Résultats des tournois'!H30,"&lt;&gt;")&lt;=5,32,IF(COUNTIF('Résultats des tournois'!$B30:'Résultats des tournois'!H30,"&lt;&gt;")&lt;=15,24,16))</f>
        <v>32</v>
      </c>
      <c r="I30" s="15">
        <f>IF(COUNTIF('Résultats des tournois'!$B30:'Résultats des tournois'!I30,"&lt;&gt;")&lt;=5,32,IF(COUNTIF('Résultats des tournois'!$B30:'Résultats des tournois'!I30,"&lt;&gt;")&lt;=15,24,16))</f>
        <v>32</v>
      </c>
      <c r="J30" s="15">
        <f>IF(COUNTIF('Résultats des tournois'!$B30:'Résultats des tournois'!J30,"&lt;&gt;")&lt;=5,32,IF(COUNTIF('Résultats des tournois'!$B30:'Résultats des tournois'!J30,"&lt;&gt;")&lt;=15,24,16))</f>
        <v>32</v>
      </c>
      <c r="K30" s="15">
        <f>IF(COUNTIF('Résultats des tournois'!$B30:'Résultats des tournois'!K30,"&lt;&gt;")&lt;=5,32,IF(COUNTIF('Résultats des tournois'!$B30:'Résultats des tournois'!K30,"&lt;&gt;")&lt;=15,24,16))</f>
        <v>32</v>
      </c>
      <c r="L30" s="15">
        <f>IF(COUNTIF('Résultats des tournois'!$B30:'Résultats des tournois'!L30,"&lt;&gt;")&lt;=5,32,IF(COUNTIF('Résultats des tournois'!$B30:'Résultats des tournois'!L30,"&lt;&gt;")&lt;=15,24,16))</f>
        <v>32</v>
      </c>
      <c r="M30" s="15">
        <f>IF(COUNTIF('Résultats des tournois'!$B30:'Résultats des tournois'!M30,"&lt;&gt;")&lt;=5,32,IF(COUNTIF('Résultats des tournois'!$B30:'Résultats des tournois'!M30,"&lt;&gt;")&lt;=15,24,16))</f>
        <v>32</v>
      </c>
      <c r="N30" s="15">
        <f>IF(COUNTIF('Résultats des tournois'!$B30:'Résultats des tournois'!N30,"&lt;&gt;")&lt;=5,32,IF(COUNTIF('Résultats des tournois'!$B30:'Résultats des tournois'!N30,"&lt;&gt;")&lt;=15,24,16))</f>
        <v>32</v>
      </c>
      <c r="O30" s="15">
        <f>IF(COUNTIF('Résultats des tournois'!$B30:'Résultats des tournois'!O30,"&lt;&gt;")&lt;=5,32,IF(COUNTIF('Résultats des tournois'!$B30:'Résultats des tournois'!O30,"&lt;&gt;")&lt;=15,24,16))</f>
        <v>32</v>
      </c>
      <c r="P30" s="15">
        <f>IF(COUNTIF('Résultats des tournois'!$B30:'Résultats des tournois'!P30,"&lt;&gt;")&lt;=5,32,IF(COUNTIF('Résultats des tournois'!$B30:'Résultats des tournois'!P30,"&lt;&gt;")&lt;=15,24,16))</f>
        <v>32</v>
      </c>
      <c r="Q30" s="15">
        <f>IF(COUNTIF('Résultats des tournois'!$B30:'Résultats des tournois'!Q30,"&lt;&gt;")&lt;=5,32,IF(COUNTIF('Résultats des tournois'!$B30:'Résultats des tournois'!Q30,"&lt;&gt;")&lt;=15,24,16))</f>
        <v>32</v>
      </c>
      <c r="R30" s="15">
        <f>IF(COUNTIF('Résultats des tournois'!$B30:'Résultats des tournois'!R30,"&lt;&gt;")&lt;=5,32,IF(COUNTIF('Résultats des tournois'!$B30:'Résultats des tournois'!R30,"&lt;&gt;")&lt;=15,24,16))</f>
        <v>32</v>
      </c>
      <c r="S30" s="15">
        <f>IF(COUNTIF('Résultats des tournois'!$B30:'Résultats des tournois'!S30,"&lt;&gt;")&lt;=5,32,IF(COUNTIF('Résultats des tournois'!$B30:'Résultats des tournois'!S30,"&lt;&gt;")&lt;=15,24,16))</f>
        <v>32</v>
      </c>
      <c r="T30" s="15">
        <f>IF(COUNTIF('Résultats des tournois'!$B30:'Résultats des tournois'!T30,"&lt;&gt;")&lt;=5,32,IF(COUNTIF('Résultats des tournois'!$B30:'Résultats des tournois'!T30,"&lt;&gt;")&lt;=15,24,16))</f>
        <v>32</v>
      </c>
      <c r="U30" s="15">
        <f>IF(COUNTIF('Résultats des tournois'!$B30:'Résultats des tournois'!U30,"&lt;&gt;")&lt;=5,32,IF(COUNTIF('Résultats des tournois'!$B30:'Résultats des tournois'!U30,"&lt;&gt;")&lt;=15,24,16))</f>
        <v>32</v>
      </c>
      <c r="V30" s="15">
        <f>IF(COUNTIF('Résultats des tournois'!$B30:'Résultats des tournois'!V30,"&lt;&gt;")&lt;=5,32,IF(COUNTIF('Résultats des tournois'!$B30:'Résultats des tournois'!V30,"&lt;&gt;")&lt;=15,24,16))</f>
        <v>32</v>
      </c>
      <c r="W30" s="15">
        <f>IF(COUNTIF('Résultats des tournois'!$B30:'Résultats des tournois'!W30,"&lt;&gt;")&lt;=5,32,IF(COUNTIF('Résultats des tournois'!$B30:'Résultats des tournois'!W30,"&lt;&gt;")&lt;=15,24,16))</f>
        <v>32</v>
      </c>
      <c r="X30" s="15">
        <f>IF(COUNTIF('Résultats des tournois'!$B30:'Résultats des tournois'!X30,"&lt;&gt;")&lt;=5,32,IF(COUNTIF('Résultats des tournois'!$B30:'Résultats des tournois'!X30,"&lt;&gt;")&lt;=15,24,16))</f>
        <v>32</v>
      </c>
      <c r="Y30" s="15">
        <f>IF(COUNTIF('Résultats des tournois'!$B30:'Résultats des tournois'!Y30,"&lt;&gt;")&lt;=5,32,IF(COUNTIF('Résultats des tournois'!$B30:'Résultats des tournois'!Y30,"&lt;&gt;")&lt;=15,24,16))</f>
        <v>32</v>
      </c>
      <c r="Z30" s="15">
        <f>IF(COUNTIF('Résultats des tournois'!$B30:'Résultats des tournois'!Z30,"&lt;&gt;")&lt;=5,32,IF(COUNTIF('Résultats des tournois'!$B30:'Résultats des tournois'!Z30,"&lt;&gt;")&lt;=15,24,16))</f>
        <v>32</v>
      </c>
      <c r="AA30" s="15">
        <f>IF(COUNTIF('Résultats des tournois'!$B30:'Résultats des tournois'!AA30,"&lt;&gt;")&lt;=5,32,IF(COUNTIF('Résultats des tournois'!$B30:'Résultats des tournois'!AA30,"&lt;&gt;")&lt;=15,24,16))</f>
        <v>32</v>
      </c>
      <c r="AB30" s="15">
        <f>IF(COUNTIF('Résultats des tournois'!$B30:'Résultats des tournois'!AB30,"&lt;&gt;")&lt;=5,32,IF(COUNTIF('Résultats des tournois'!$B30:'Résultats des tournois'!AB30,"&lt;&gt;")&lt;=15,24,16))</f>
        <v>32</v>
      </c>
      <c r="AC30" s="15">
        <f>IF(COUNTIF('Résultats des tournois'!$B30:'Résultats des tournois'!AC30,"&lt;&gt;")&lt;=5,32,IF(COUNTIF('Résultats des tournois'!$B30:'Résultats des tournois'!AC30,"&lt;&gt;")&lt;=15,24,16))</f>
        <v>32</v>
      </c>
      <c r="AD30" s="15">
        <f>IF(COUNTIF('Résultats des tournois'!$B30:'Résultats des tournois'!AD30,"&lt;&gt;")&lt;=5,32,IF(COUNTIF('Résultats des tournois'!$B30:'Résultats des tournois'!AD30,"&lt;&gt;")&lt;=15,24,16))</f>
        <v>32</v>
      </c>
      <c r="AE30" s="15">
        <f>IF(COUNTIF('Résultats des tournois'!$B30:'Résultats des tournois'!AE30,"&lt;&gt;")&lt;=5,32,IF(COUNTIF('Résultats des tournois'!$B30:'Résultats des tournois'!AE30,"&lt;&gt;")&lt;=15,24,16))</f>
        <v>32</v>
      </c>
      <c r="AF30" s="15">
        <f>IF(COUNTIF('Résultats des tournois'!$B30:'Résultats des tournois'!AF30,"&lt;&gt;")&lt;=5,32,IF(COUNTIF('Résultats des tournois'!$B30:'Résultats des tournois'!AF30,"&lt;&gt;")&lt;=15,24,16))</f>
        <v>32</v>
      </c>
      <c r="AG30" s="15">
        <f>IF(COUNTIF('Résultats des tournois'!$B30:'Résultats des tournois'!AG30,"&lt;&gt;")&lt;=5,32,IF(COUNTIF('Résultats des tournois'!$B30:'Résultats des tournois'!AG30,"&lt;&gt;")&lt;=15,24,16))</f>
        <v>32</v>
      </c>
      <c r="AH30" s="15">
        <f>IF(COUNTIF('Résultats des tournois'!$B30:'Résultats des tournois'!AH30,"&lt;&gt;")&lt;=5,32,IF(COUNTIF('Résultats des tournois'!$B30:'Résultats des tournois'!AH30,"&lt;&gt;")&lt;=15,24,16))</f>
        <v>32</v>
      </c>
      <c r="AI30" s="15">
        <f>IF(COUNTIF('Résultats des tournois'!$B30:'Résultats des tournois'!AI30,"&lt;&gt;")&lt;=5,32,IF(COUNTIF('Résultats des tournois'!$B30:'Résultats des tournois'!AI30,"&lt;&gt;")&lt;=15,24,16))</f>
        <v>32</v>
      </c>
      <c r="AJ30" s="15">
        <f>IF(COUNTIF('Résultats des tournois'!$B30:'Résultats des tournois'!AJ30,"&lt;&gt;")&lt;=5,32,IF(COUNTIF('Résultats des tournois'!$B30:'Résultats des tournois'!AJ30,"&lt;&gt;")&lt;=15,24,16))</f>
        <v>32</v>
      </c>
      <c r="AK30" s="15">
        <f>IF(COUNTIF('Résultats des tournois'!$B30:'Résultats des tournois'!AK30,"&lt;&gt;")&lt;=5,32,IF(COUNTIF('Résultats des tournois'!$B30:'Résultats des tournois'!AK30,"&lt;&gt;")&lt;=15,24,16))</f>
        <v>32</v>
      </c>
      <c r="AL30" s="15">
        <f>IF(COUNTIF('Résultats des tournois'!$B30:'Résultats des tournois'!AL30,"&lt;&gt;")&lt;=5,32,IF(COUNTIF('Résultats des tournois'!$B30:'Résultats des tournois'!AL30,"&lt;&gt;")&lt;=15,24,16))</f>
        <v>32</v>
      </c>
      <c r="AM30" s="15">
        <f>IF(COUNTIF('Résultats des tournois'!$B30:'Résultats des tournois'!AM30,"&lt;&gt;")&lt;=5,32,IF(COUNTIF('Résultats des tournois'!$B30:'Résultats des tournois'!AM30,"&lt;&gt;")&lt;=15,24,16))</f>
        <v>32</v>
      </c>
      <c r="AN30" s="15">
        <f>IF(COUNTIF('Résultats des tournois'!$B30:'Résultats des tournois'!AN30,"&lt;&gt;")&lt;=5,32,IF(COUNTIF('Résultats des tournois'!$B30:'Résultats des tournois'!AN30,"&lt;&gt;")&lt;=15,24,16))</f>
        <v>32</v>
      </c>
      <c r="AO30" s="15">
        <f>IF(COUNTIF('Résultats des tournois'!$B30:'Résultats des tournois'!AO30,"&lt;&gt;")&lt;=5,32,IF(COUNTIF('Résultats des tournois'!$B30:'Résultats des tournois'!AO30,"&lt;&gt;")&lt;=15,24,16))</f>
        <v>32</v>
      </c>
      <c r="AP30" s="15">
        <f>IF(COUNTIF('Résultats des tournois'!$B30:'Résultats des tournois'!AP30,"&lt;&gt;")&lt;=5,32,IF(COUNTIF('Résultats des tournois'!$B30:'Résultats des tournois'!AP30,"&lt;&gt;")&lt;=15,24,16))</f>
        <v>32</v>
      </c>
      <c r="AQ30" s="15">
        <f>IF(COUNTIF('Résultats des tournois'!$B30:'Résultats des tournois'!AQ30,"&lt;&gt;")&lt;=5,32,IF(COUNTIF('Résultats des tournois'!$B30:'Résultats des tournois'!AQ30,"&lt;&gt;")&lt;=15,24,16))</f>
        <v>32</v>
      </c>
      <c r="AR30" s="15">
        <f>IF(COUNTIF('Résultats des tournois'!$B30:'Résultats des tournois'!AR30,"&lt;&gt;")&lt;=5,32,IF(COUNTIF('Résultats des tournois'!$B30:'Résultats des tournois'!AR30,"&lt;&gt;")&lt;=15,24,16))</f>
        <v>32</v>
      </c>
      <c r="AS30" s="15">
        <f>IF(COUNTIF('Résultats des tournois'!$B30:'Résultats des tournois'!AS30,"&lt;&gt;")&lt;=5,32,IF(COUNTIF('Résultats des tournois'!$B30:'Résultats des tournois'!AS30,"&lt;&gt;")&lt;=15,24,16))</f>
        <v>32</v>
      </c>
      <c r="AT30" s="15">
        <f>IF(COUNTIF('Résultats des tournois'!$B30:'Résultats des tournois'!AT30,"&lt;&gt;")&lt;=5,32,IF(COUNTIF('Résultats des tournois'!$B30:'Résultats des tournois'!AT30,"&lt;&gt;")&lt;=15,24,16))</f>
        <v>32</v>
      </c>
      <c r="AU30" s="15">
        <f>IF(COUNTIF('Résultats des tournois'!$B30:'Résultats des tournois'!AU30,"&lt;&gt;")&lt;=5,32,IF(COUNTIF('Résultats des tournois'!$B30:'Résultats des tournois'!AU30,"&lt;&gt;")&lt;=15,24,16))</f>
        <v>32</v>
      </c>
      <c r="AV30" s="15">
        <f>IF(COUNTIF('Résultats des tournois'!$B30:'Résultats des tournois'!AV30,"&lt;&gt;")&lt;=5,32,IF(COUNTIF('Résultats des tournois'!$B30:'Résultats des tournois'!AV30,"&lt;&gt;")&lt;=15,24,16))</f>
        <v>32</v>
      </c>
      <c r="AW30" s="15">
        <f>IF(COUNTIF('Résultats des tournois'!$B30:'Résultats des tournois'!AW30,"&lt;&gt;")&lt;=5,32,IF(COUNTIF('Résultats des tournois'!$B30:'Résultats des tournois'!AW30,"&lt;&gt;")&lt;=15,24,16))</f>
        <v>32</v>
      </c>
      <c r="AX30" s="15">
        <f>IF(COUNTIF('Résultats des tournois'!$B30:'Résultats des tournois'!AX30,"&lt;&gt;")&lt;=5,32,IF(COUNTIF('Résultats des tournois'!$B30:'Résultats des tournois'!AX30,"&lt;&gt;")&lt;=15,24,16))</f>
        <v>32</v>
      </c>
    </row>
    <row r="31" ht="14.25" customHeight="1">
      <c r="A31" s="15" t="str">
        <f>IF('Résultats des tournois'!A31="","",'Résultats des tournois'!A31)</f>
        <v/>
      </c>
      <c r="B31" s="15">
        <f>IF(COUNTIF('Résultats des tournois'!B31,"&lt;&gt;")&lt;=5,32,IF(COUNTIF('Résultats des tournois'!B31,"&lt;&gt;")&lt;=15,24,16))</f>
        <v>32</v>
      </c>
      <c r="C31" s="15">
        <f>IF(COUNTIF('Résultats des tournois'!$B31:'Résultats des tournois'!C31,"&lt;&gt;")&lt;=5,32,IF(COUNTIF('Résultats des tournois'!$B31:'Résultats des tournois'!C31,"&lt;&gt;")&lt;=15,24,16))</f>
        <v>32</v>
      </c>
      <c r="D31" s="15">
        <f>IF(COUNTIF('Résultats des tournois'!$B31:'Résultats des tournois'!D31,"&lt;&gt;")&lt;=5,32,IF(COUNTIF('Résultats des tournois'!$B31:'Résultats des tournois'!D31,"&lt;&gt;")&lt;=15,24,16))</f>
        <v>32</v>
      </c>
      <c r="E31" s="15">
        <f>IF(COUNTIF('Résultats des tournois'!$B31:'Résultats des tournois'!E31,"&lt;&gt;")&lt;=5,32,IF(COUNTIF('Résultats des tournois'!$B31:'Résultats des tournois'!E31,"&lt;&gt;")&lt;=15,24,16))</f>
        <v>32</v>
      </c>
      <c r="F31" s="15">
        <f>IF(COUNTIF('Résultats des tournois'!$B31:'Résultats des tournois'!F31,"&lt;&gt;")&lt;=5,32,IF(COUNTIF('Résultats des tournois'!$B31:'Résultats des tournois'!F31,"&lt;&gt;")&lt;=15,24,16))</f>
        <v>32</v>
      </c>
      <c r="G31" s="15">
        <f>IF(COUNTIF('Résultats des tournois'!$B31:'Résultats des tournois'!G31,"&lt;&gt;")&lt;=5,32,IF(COUNTIF('Résultats des tournois'!$B31:'Résultats des tournois'!G31,"&lt;&gt;")&lt;=15,24,16))</f>
        <v>32</v>
      </c>
      <c r="H31" s="15">
        <f>IF(COUNTIF('Résultats des tournois'!$B31:'Résultats des tournois'!H31,"&lt;&gt;")&lt;=5,32,IF(COUNTIF('Résultats des tournois'!$B31:'Résultats des tournois'!H31,"&lt;&gt;")&lt;=15,24,16))</f>
        <v>32</v>
      </c>
      <c r="I31" s="15">
        <f>IF(COUNTIF('Résultats des tournois'!$B31:'Résultats des tournois'!I31,"&lt;&gt;")&lt;=5,32,IF(COUNTIF('Résultats des tournois'!$B31:'Résultats des tournois'!I31,"&lt;&gt;")&lt;=15,24,16))</f>
        <v>32</v>
      </c>
      <c r="J31" s="15">
        <f>IF(COUNTIF('Résultats des tournois'!$B31:'Résultats des tournois'!J31,"&lt;&gt;")&lt;=5,32,IF(COUNTIF('Résultats des tournois'!$B31:'Résultats des tournois'!J31,"&lt;&gt;")&lt;=15,24,16))</f>
        <v>32</v>
      </c>
      <c r="K31" s="15">
        <f>IF(COUNTIF('Résultats des tournois'!$B31:'Résultats des tournois'!K31,"&lt;&gt;")&lt;=5,32,IF(COUNTIF('Résultats des tournois'!$B31:'Résultats des tournois'!K31,"&lt;&gt;")&lt;=15,24,16))</f>
        <v>32</v>
      </c>
      <c r="L31" s="15">
        <f>IF(COUNTIF('Résultats des tournois'!$B31:'Résultats des tournois'!L31,"&lt;&gt;")&lt;=5,32,IF(COUNTIF('Résultats des tournois'!$B31:'Résultats des tournois'!L31,"&lt;&gt;")&lt;=15,24,16))</f>
        <v>32</v>
      </c>
      <c r="M31" s="15">
        <f>IF(COUNTIF('Résultats des tournois'!$B31:'Résultats des tournois'!M31,"&lt;&gt;")&lt;=5,32,IF(COUNTIF('Résultats des tournois'!$B31:'Résultats des tournois'!M31,"&lt;&gt;")&lt;=15,24,16))</f>
        <v>32</v>
      </c>
      <c r="N31" s="15">
        <f>IF(COUNTIF('Résultats des tournois'!$B31:'Résultats des tournois'!N31,"&lt;&gt;")&lt;=5,32,IF(COUNTIF('Résultats des tournois'!$B31:'Résultats des tournois'!N31,"&lt;&gt;")&lt;=15,24,16))</f>
        <v>32</v>
      </c>
      <c r="O31" s="15">
        <f>IF(COUNTIF('Résultats des tournois'!$B31:'Résultats des tournois'!O31,"&lt;&gt;")&lt;=5,32,IF(COUNTIF('Résultats des tournois'!$B31:'Résultats des tournois'!O31,"&lt;&gt;")&lt;=15,24,16))</f>
        <v>32</v>
      </c>
      <c r="P31" s="15">
        <f>IF(COUNTIF('Résultats des tournois'!$B31:'Résultats des tournois'!P31,"&lt;&gt;")&lt;=5,32,IF(COUNTIF('Résultats des tournois'!$B31:'Résultats des tournois'!P31,"&lt;&gt;")&lt;=15,24,16))</f>
        <v>32</v>
      </c>
      <c r="Q31" s="15">
        <f>IF(COUNTIF('Résultats des tournois'!$B31:'Résultats des tournois'!Q31,"&lt;&gt;")&lt;=5,32,IF(COUNTIF('Résultats des tournois'!$B31:'Résultats des tournois'!Q31,"&lt;&gt;")&lt;=15,24,16))</f>
        <v>32</v>
      </c>
      <c r="R31" s="15">
        <f>IF(COUNTIF('Résultats des tournois'!$B31:'Résultats des tournois'!R31,"&lt;&gt;")&lt;=5,32,IF(COUNTIF('Résultats des tournois'!$B31:'Résultats des tournois'!R31,"&lt;&gt;")&lt;=15,24,16))</f>
        <v>32</v>
      </c>
      <c r="S31" s="15">
        <f>IF(COUNTIF('Résultats des tournois'!$B31:'Résultats des tournois'!S31,"&lt;&gt;")&lt;=5,32,IF(COUNTIF('Résultats des tournois'!$B31:'Résultats des tournois'!S31,"&lt;&gt;")&lt;=15,24,16))</f>
        <v>32</v>
      </c>
      <c r="T31" s="15">
        <f>IF(COUNTIF('Résultats des tournois'!$B31:'Résultats des tournois'!T31,"&lt;&gt;")&lt;=5,32,IF(COUNTIF('Résultats des tournois'!$B31:'Résultats des tournois'!T31,"&lt;&gt;")&lt;=15,24,16))</f>
        <v>32</v>
      </c>
      <c r="U31" s="15">
        <f>IF(COUNTIF('Résultats des tournois'!$B31:'Résultats des tournois'!U31,"&lt;&gt;")&lt;=5,32,IF(COUNTIF('Résultats des tournois'!$B31:'Résultats des tournois'!U31,"&lt;&gt;")&lt;=15,24,16))</f>
        <v>32</v>
      </c>
      <c r="V31" s="15">
        <f>IF(COUNTIF('Résultats des tournois'!$B31:'Résultats des tournois'!V31,"&lt;&gt;")&lt;=5,32,IF(COUNTIF('Résultats des tournois'!$B31:'Résultats des tournois'!V31,"&lt;&gt;")&lt;=15,24,16))</f>
        <v>32</v>
      </c>
      <c r="W31" s="15">
        <f>IF(COUNTIF('Résultats des tournois'!$B31:'Résultats des tournois'!W31,"&lt;&gt;")&lt;=5,32,IF(COUNTIF('Résultats des tournois'!$B31:'Résultats des tournois'!W31,"&lt;&gt;")&lt;=15,24,16))</f>
        <v>32</v>
      </c>
      <c r="X31" s="15">
        <f>IF(COUNTIF('Résultats des tournois'!$B31:'Résultats des tournois'!X31,"&lt;&gt;")&lt;=5,32,IF(COUNTIF('Résultats des tournois'!$B31:'Résultats des tournois'!X31,"&lt;&gt;")&lt;=15,24,16))</f>
        <v>32</v>
      </c>
      <c r="Y31" s="15">
        <f>IF(COUNTIF('Résultats des tournois'!$B31:'Résultats des tournois'!Y31,"&lt;&gt;")&lt;=5,32,IF(COUNTIF('Résultats des tournois'!$B31:'Résultats des tournois'!Y31,"&lt;&gt;")&lt;=15,24,16))</f>
        <v>32</v>
      </c>
      <c r="Z31" s="15">
        <f>IF(COUNTIF('Résultats des tournois'!$B31:'Résultats des tournois'!Z31,"&lt;&gt;")&lt;=5,32,IF(COUNTIF('Résultats des tournois'!$B31:'Résultats des tournois'!Z31,"&lt;&gt;")&lt;=15,24,16))</f>
        <v>32</v>
      </c>
      <c r="AA31" s="15">
        <f>IF(COUNTIF('Résultats des tournois'!$B31:'Résultats des tournois'!AA31,"&lt;&gt;")&lt;=5,32,IF(COUNTIF('Résultats des tournois'!$B31:'Résultats des tournois'!AA31,"&lt;&gt;")&lt;=15,24,16))</f>
        <v>32</v>
      </c>
      <c r="AB31" s="15">
        <f>IF(COUNTIF('Résultats des tournois'!$B31:'Résultats des tournois'!AB31,"&lt;&gt;")&lt;=5,32,IF(COUNTIF('Résultats des tournois'!$B31:'Résultats des tournois'!AB31,"&lt;&gt;")&lt;=15,24,16))</f>
        <v>32</v>
      </c>
      <c r="AC31" s="15">
        <f>IF(COUNTIF('Résultats des tournois'!$B31:'Résultats des tournois'!AC31,"&lt;&gt;")&lt;=5,32,IF(COUNTIF('Résultats des tournois'!$B31:'Résultats des tournois'!AC31,"&lt;&gt;")&lt;=15,24,16))</f>
        <v>32</v>
      </c>
      <c r="AD31" s="15">
        <f>IF(COUNTIF('Résultats des tournois'!$B31:'Résultats des tournois'!AD31,"&lt;&gt;")&lt;=5,32,IF(COUNTIF('Résultats des tournois'!$B31:'Résultats des tournois'!AD31,"&lt;&gt;")&lt;=15,24,16))</f>
        <v>32</v>
      </c>
      <c r="AE31" s="15">
        <f>IF(COUNTIF('Résultats des tournois'!$B31:'Résultats des tournois'!AE31,"&lt;&gt;")&lt;=5,32,IF(COUNTIF('Résultats des tournois'!$B31:'Résultats des tournois'!AE31,"&lt;&gt;")&lt;=15,24,16))</f>
        <v>32</v>
      </c>
      <c r="AF31" s="15">
        <f>IF(COUNTIF('Résultats des tournois'!$B31:'Résultats des tournois'!AF31,"&lt;&gt;")&lt;=5,32,IF(COUNTIF('Résultats des tournois'!$B31:'Résultats des tournois'!AF31,"&lt;&gt;")&lt;=15,24,16))</f>
        <v>32</v>
      </c>
      <c r="AG31" s="15">
        <f>IF(COUNTIF('Résultats des tournois'!$B31:'Résultats des tournois'!AG31,"&lt;&gt;")&lt;=5,32,IF(COUNTIF('Résultats des tournois'!$B31:'Résultats des tournois'!AG31,"&lt;&gt;")&lt;=15,24,16))</f>
        <v>32</v>
      </c>
      <c r="AH31" s="15">
        <f>IF(COUNTIF('Résultats des tournois'!$B31:'Résultats des tournois'!AH31,"&lt;&gt;")&lt;=5,32,IF(COUNTIF('Résultats des tournois'!$B31:'Résultats des tournois'!AH31,"&lt;&gt;")&lt;=15,24,16))</f>
        <v>32</v>
      </c>
      <c r="AI31" s="15">
        <f>IF(COUNTIF('Résultats des tournois'!$B31:'Résultats des tournois'!AI31,"&lt;&gt;")&lt;=5,32,IF(COUNTIF('Résultats des tournois'!$B31:'Résultats des tournois'!AI31,"&lt;&gt;")&lt;=15,24,16))</f>
        <v>32</v>
      </c>
      <c r="AJ31" s="15">
        <f>IF(COUNTIF('Résultats des tournois'!$B31:'Résultats des tournois'!AJ31,"&lt;&gt;")&lt;=5,32,IF(COUNTIF('Résultats des tournois'!$B31:'Résultats des tournois'!AJ31,"&lt;&gt;")&lt;=15,24,16))</f>
        <v>32</v>
      </c>
      <c r="AK31" s="15">
        <f>IF(COUNTIF('Résultats des tournois'!$B31:'Résultats des tournois'!AK31,"&lt;&gt;")&lt;=5,32,IF(COUNTIF('Résultats des tournois'!$B31:'Résultats des tournois'!AK31,"&lt;&gt;")&lt;=15,24,16))</f>
        <v>32</v>
      </c>
      <c r="AL31" s="15">
        <f>IF(COUNTIF('Résultats des tournois'!$B31:'Résultats des tournois'!AL31,"&lt;&gt;")&lt;=5,32,IF(COUNTIF('Résultats des tournois'!$B31:'Résultats des tournois'!AL31,"&lt;&gt;")&lt;=15,24,16))</f>
        <v>32</v>
      </c>
      <c r="AM31" s="15">
        <f>IF(COUNTIF('Résultats des tournois'!$B31:'Résultats des tournois'!AM31,"&lt;&gt;")&lt;=5,32,IF(COUNTIF('Résultats des tournois'!$B31:'Résultats des tournois'!AM31,"&lt;&gt;")&lt;=15,24,16))</f>
        <v>32</v>
      </c>
      <c r="AN31" s="15">
        <f>IF(COUNTIF('Résultats des tournois'!$B31:'Résultats des tournois'!AN31,"&lt;&gt;")&lt;=5,32,IF(COUNTIF('Résultats des tournois'!$B31:'Résultats des tournois'!AN31,"&lt;&gt;")&lt;=15,24,16))</f>
        <v>32</v>
      </c>
      <c r="AO31" s="15">
        <f>IF(COUNTIF('Résultats des tournois'!$B31:'Résultats des tournois'!AO31,"&lt;&gt;")&lt;=5,32,IF(COUNTIF('Résultats des tournois'!$B31:'Résultats des tournois'!AO31,"&lt;&gt;")&lt;=15,24,16))</f>
        <v>32</v>
      </c>
      <c r="AP31" s="15">
        <f>IF(COUNTIF('Résultats des tournois'!$B31:'Résultats des tournois'!AP31,"&lt;&gt;")&lt;=5,32,IF(COUNTIF('Résultats des tournois'!$B31:'Résultats des tournois'!AP31,"&lt;&gt;")&lt;=15,24,16))</f>
        <v>32</v>
      </c>
      <c r="AQ31" s="15">
        <f>IF(COUNTIF('Résultats des tournois'!$B31:'Résultats des tournois'!AQ31,"&lt;&gt;")&lt;=5,32,IF(COUNTIF('Résultats des tournois'!$B31:'Résultats des tournois'!AQ31,"&lt;&gt;")&lt;=15,24,16))</f>
        <v>32</v>
      </c>
      <c r="AR31" s="15">
        <f>IF(COUNTIF('Résultats des tournois'!$B31:'Résultats des tournois'!AR31,"&lt;&gt;")&lt;=5,32,IF(COUNTIF('Résultats des tournois'!$B31:'Résultats des tournois'!AR31,"&lt;&gt;")&lt;=15,24,16))</f>
        <v>32</v>
      </c>
      <c r="AS31" s="15">
        <f>IF(COUNTIF('Résultats des tournois'!$B31:'Résultats des tournois'!AS31,"&lt;&gt;")&lt;=5,32,IF(COUNTIF('Résultats des tournois'!$B31:'Résultats des tournois'!AS31,"&lt;&gt;")&lt;=15,24,16))</f>
        <v>32</v>
      </c>
      <c r="AT31" s="15">
        <f>IF(COUNTIF('Résultats des tournois'!$B31:'Résultats des tournois'!AT31,"&lt;&gt;")&lt;=5,32,IF(COUNTIF('Résultats des tournois'!$B31:'Résultats des tournois'!AT31,"&lt;&gt;")&lt;=15,24,16))</f>
        <v>32</v>
      </c>
      <c r="AU31" s="15">
        <f>IF(COUNTIF('Résultats des tournois'!$B31:'Résultats des tournois'!AU31,"&lt;&gt;")&lt;=5,32,IF(COUNTIF('Résultats des tournois'!$B31:'Résultats des tournois'!AU31,"&lt;&gt;")&lt;=15,24,16))</f>
        <v>32</v>
      </c>
      <c r="AV31" s="15">
        <f>IF(COUNTIF('Résultats des tournois'!$B31:'Résultats des tournois'!AV31,"&lt;&gt;")&lt;=5,32,IF(COUNTIF('Résultats des tournois'!$B31:'Résultats des tournois'!AV31,"&lt;&gt;")&lt;=15,24,16))</f>
        <v>32</v>
      </c>
      <c r="AW31" s="15">
        <f>IF(COUNTIF('Résultats des tournois'!$B31:'Résultats des tournois'!AW31,"&lt;&gt;")&lt;=5,32,IF(COUNTIF('Résultats des tournois'!$B31:'Résultats des tournois'!AW31,"&lt;&gt;")&lt;=15,24,16))</f>
        <v>32</v>
      </c>
      <c r="AX31" s="15">
        <f>IF(COUNTIF('Résultats des tournois'!$B31:'Résultats des tournois'!AX31,"&lt;&gt;")&lt;=5,32,IF(COUNTIF('Résultats des tournois'!$B31:'Résultats des tournois'!AX31,"&lt;&gt;")&lt;=15,24,16))</f>
        <v>32</v>
      </c>
    </row>
    <row r="32" ht="14.25" customHeight="1">
      <c r="A32" s="15" t="str">
        <f>IF('Résultats des tournois'!A32="","",'Résultats des tournois'!A32)</f>
        <v/>
      </c>
      <c r="B32" s="15">
        <f>IF(COUNTIF('Résultats des tournois'!B32,"&lt;&gt;")&lt;=5,32,IF(COUNTIF('Résultats des tournois'!B32,"&lt;&gt;")&lt;=15,24,16))</f>
        <v>32</v>
      </c>
      <c r="C32" s="15">
        <f>IF(COUNTIF('Résultats des tournois'!$B32:'Résultats des tournois'!C32,"&lt;&gt;")&lt;=5,32,IF(COUNTIF('Résultats des tournois'!$B32:'Résultats des tournois'!C32,"&lt;&gt;")&lt;=15,24,16))</f>
        <v>32</v>
      </c>
      <c r="D32" s="15">
        <f>IF(COUNTIF('Résultats des tournois'!$B32:'Résultats des tournois'!D32,"&lt;&gt;")&lt;=5,32,IF(COUNTIF('Résultats des tournois'!$B32:'Résultats des tournois'!D32,"&lt;&gt;")&lt;=15,24,16))</f>
        <v>32</v>
      </c>
      <c r="E32" s="15">
        <f>IF(COUNTIF('Résultats des tournois'!$B32:'Résultats des tournois'!E32,"&lt;&gt;")&lt;=5,32,IF(COUNTIF('Résultats des tournois'!$B32:'Résultats des tournois'!E32,"&lt;&gt;")&lt;=15,24,16))</f>
        <v>32</v>
      </c>
      <c r="F32" s="15">
        <f>IF(COUNTIF('Résultats des tournois'!$B32:'Résultats des tournois'!F32,"&lt;&gt;")&lt;=5,32,IF(COUNTIF('Résultats des tournois'!$B32:'Résultats des tournois'!F32,"&lt;&gt;")&lt;=15,24,16))</f>
        <v>32</v>
      </c>
      <c r="G32" s="15">
        <f>IF(COUNTIF('Résultats des tournois'!$B32:'Résultats des tournois'!G32,"&lt;&gt;")&lt;=5,32,IF(COUNTIF('Résultats des tournois'!$B32:'Résultats des tournois'!G32,"&lt;&gt;")&lt;=15,24,16))</f>
        <v>32</v>
      </c>
      <c r="H32" s="15">
        <f>IF(COUNTIF('Résultats des tournois'!$B32:'Résultats des tournois'!H32,"&lt;&gt;")&lt;=5,32,IF(COUNTIF('Résultats des tournois'!$B32:'Résultats des tournois'!H32,"&lt;&gt;")&lt;=15,24,16))</f>
        <v>32</v>
      </c>
      <c r="I32" s="15">
        <f>IF(COUNTIF('Résultats des tournois'!$B32:'Résultats des tournois'!I32,"&lt;&gt;")&lt;=5,32,IF(COUNTIF('Résultats des tournois'!$B32:'Résultats des tournois'!I32,"&lt;&gt;")&lt;=15,24,16))</f>
        <v>32</v>
      </c>
      <c r="J32" s="15">
        <f>IF(COUNTIF('Résultats des tournois'!$B32:'Résultats des tournois'!J32,"&lt;&gt;")&lt;=5,32,IF(COUNTIF('Résultats des tournois'!$B32:'Résultats des tournois'!J32,"&lt;&gt;")&lt;=15,24,16))</f>
        <v>32</v>
      </c>
      <c r="K32" s="15">
        <f>IF(COUNTIF('Résultats des tournois'!$B32:'Résultats des tournois'!K32,"&lt;&gt;")&lt;=5,32,IF(COUNTIF('Résultats des tournois'!$B32:'Résultats des tournois'!K32,"&lt;&gt;")&lt;=15,24,16))</f>
        <v>32</v>
      </c>
      <c r="L32" s="15">
        <f>IF(COUNTIF('Résultats des tournois'!$B32:'Résultats des tournois'!L32,"&lt;&gt;")&lt;=5,32,IF(COUNTIF('Résultats des tournois'!$B32:'Résultats des tournois'!L32,"&lt;&gt;")&lt;=15,24,16))</f>
        <v>32</v>
      </c>
      <c r="M32" s="15">
        <f>IF(COUNTIF('Résultats des tournois'!$B32:'Résultats des tournois'!M32,"&lt;&gt;")&lt;=5,32,IF(COUNTIF('Résultats des tournois'!$B32:'Résultats des tournois'!M32,"&lt;&gt;")&lt;=15,24,16))</f>
        <v>32</v>
      </c>
      <c r="N32" s="15">
        <f>IF(COUNTIF('Résultats des tournois'!$B32:'Résultats des tournois'!N32,"&lt;&gt;")&lt;=5,32,IF(COUNTIF('Résultats des tournois'!$B32:'Résultats des tournois'!N32,"&lt;&gt;")&lt;=15,24,16))</f>
        <v>32</v>
      </c>
      <c r="O32" s="15">
        <f>IF(COUNTIF('Résultats des tournois'!$B32:'Résultats des tournois'!O32,"&lt;&gt;")&lt;=5,32,IF(COUNTIF('Résultats des tournois'!$B32:'Résultats des tournois'!O32,"&lt;&gt;")&lt;=15,24,16))</f>
        <v>32</v>
      </c>
      <c r="P32" s="15">
        <f>IF(COUNTIF('Résultats des tournois'!$B32:'Résultats des tournois'!P32,"&lt;&gt;")&lt;=5,32,IF(COUNTIF('Résultats des tournois'!$B32:'Résultats des tournois'!P32,"&lt;&gt;")&lt;=15,24,16))</f>
        <v>32</v>
      </c>
      <c r="Q32" s="15">
        <f>IF(COUNTIF('Résultats des tournois'!$B32:'Résultats des tournois'!Q32,"&lt;&gt;")&lt;=5,32,IF(COUNTIF('Résultats des tournois'!$B32:'Résultats des tournois'!Q32,"&lt;&gt;")&lt;=15,24,16))</f>
        <v>32</v>
      </c>
      <c r="R32" s="15">
        <f>IF(COUNTIF('Résultats des tournois'!$B32:'Résultats des tournois'!R32,"&lt;&gt;")&lt;=5,32,IF(COUNTIF('Résultats des tournois'!$B32:'Résultats des tournois'!R32,"&lt;&gt;")&lt;=15,24,16))</f>
        <v>32</v>
      </c>
      <c r="S32" s="15">
        <f>IF(COUNTIF('Résultats des tournois'!$B32:'Résultats des tournois'!S32,"&lt;&gt;")&lt;=5,32,IF(COUNTIF('Résultats des tournois'!$B32:'Résultats des tournois'!S32,"&lt;&gt;")&lt;=15,24,16))</f>
        <v>32</v>
      </c>
      <c r="T32" s="15">
        <f>IF(COUNTIF('Résultats des tournois'!$B32:'Résultats des tournois'!T32,"&lt;&gt;")&lt;=5,32,IF(COUNTIF('Résultats des tournois'!$B32:'Résultats des tournois'!T32,"&lt;&gt;")&lt;=15,24,16))</f>
        <v>32</v>
      </c>
      <c r="U32" s="15">
        <f>IF(COUNTIF('Résultats des tournois'!$B32:'Résultats des tournois'!U32,"&lt;&gt;")&lt;=5,32,IF(COUNTIF('Résultats des tournois'!$B32:'Résultats des tournois'!U32,"&lt;&gt;")&lt;=15,24,16))</f>
        <v>32</v>
      </c>
      <c r="V32" s="15">
        <f>IF(COUNTIF('Résultats des tournois'!$B32:'Résultats des tournois'!V32,"&lt;&gt;")&lt;=5,32,IF(COUNTIF('Résultats des tournois'!$B32:'Résultats des tournois'!V32,"&lt;&gt;")&lt;=15,24,16))</f>
        <v>32</v>
      </c>
      <c r="W32" s="15">
        <f>IF(COUNTIF('Résultats des tournois'!$B32:'Résultats des tournois'!W32,"&lt;&gt;")&lt;=5,32,IF(COUNTIF('Résultats des tournois'!$B32:'Résultats des tournois'!W32,"&lt;&gt;")&lt;=15,24,16))</f>
        <v>32</v>
      </c>
      <c r="X32" s="15">
        <f>IF(COUNTIF('Résultats des tournois'!$B32:'Résultats des tournois'!X32,"&lt;&gt;")&lt;=5,32,IF(COUNTIF('Résultats des tournois'!$B32:'Résultats des tournois'!X32,"&lt;&gt;")&lt;=15,24,16))</f>
        <v>32</v>
      </c>
      <c r="Y32" s="15">
        <f>IF(COUNTIF('Résultats des tournois'!$B32:'Résultats des tournois'!Y32,"&lt;&gt;")&lt;=5,32,IF(COUNTIF('Résultats des tournois'!$B32:'Résultats des tournois'!Y32,"&lt;&gt;")&lt;=15,24,16))</f>
        <v>32</v>
      </c>
      <c r="Z32" s="15">
        <f>IF(COUNTIF('Résultats des tournois'!$B32:'Résultats des tournois'!Z32,"&lt;&gt;")&lt;=5,32,IF(COUNTIF('Résultats des tournois'!$B32:'Résultats des tournois'!Z32,"&lt;&gt;")&lt;=15,24,16))</f>
        <v>32</v>
      </c>
      <c r="AA32" s="15">
        <f>IF(COUNTIF('Résultats des tournois'!$B32:'Résultats des tournois'!AA32,"&lt;&gt;")&lt;=5,32,IF(COUNTIF('Résultats des tournois'!$B32:'Résultats des tournois'!AA32,"&lt;&gt;")&lt;=15,24,16))</f>
        <v>32</v>
      </c>
      <c r="AB32" s="15">
        <f>IF(COUNTIF('Résultats des tournois'!$B32:'Résultats des tournois'!AB32,"&lt;&gt;")&lt;=5,32,IF(COUNTIF('Résultats des tournois'!$B32:'Résultats des tournois'!AB32,"&lt;&gt;")&lt;=15,24,16))</f>
        <v>32</v>
      </c>
      <c r="AC32" s="15">
        <f>IF(COUNTIF('Résultats des tournois'!$B32:'Résultats des tournois'!AC32,"&lt;&gt;")&lt;=5,32,IF(COUNTIF('Résultats des tournois'!$B32:'Résultats des tournois'!AC32,"&lt;&gt;")&lt;=15,24,16))</f>
        <v>32</v>
      </c>
      <c r="AD32" s="15">
        <f>IF(COUNTIF('Résultats des tournois'!$B32:'Résultats des tournois'!AD32,"&lt;&gt;")&lt;=5,32,IF(COUNTIF('Résultats des tournois'!$B32:'Résultats des tournois'!AD32,"&lt;&gt;")&lt;=15,24,16))</f>
        <v>32</v>
      </c>
      <c r="AE32" s="15">
        <f>IF(COUNTIF('Résultats des tournois'!$B32:'Résultats des tournois'!AE32,"&lt;&gt;")&lt;=5,32,IF(COUNTIF('Résultats des tournois'!$B32:'Résultats des tournois'!AE32,"&lt;&gt;")&lt;=15,24,16))</f>
        <v>32</v>
      </c>
      <c r="AF32" s="15">
        <f>IF(COUNTIF('Résultats des tournois'!$B32:'Résultats des tournois'!AF32,"&lt;&gt;")&lt;=5,32,IF(COUNTIF('Résultats des tournois'!$B32:'Résultats des tournois'!AF32,"&lt;&gt;")&lt;=15,24,16))</f>
        <v>32</v>
      </c>
      <c r="AG32" s="15">
        <f>IF(COUNTIF('Résultats des tournois'!$B32:'Résultats des tournois'!AG32,"&lt;&gt;")&lt;=5,32,IF(COUNTIF('Résultats des tournois'!$B32:'Résultats des tournois'!AG32,"&lt;&gt;")&lt;=15,24,16))</f>
        <v>32</v>
      </c>
      <c r="AH32" s="15">
        <f>IF(COUNTIF('Résultats des tournois'!$B32:'Résultats des tournois'!AH32,"&lt;&gt;")&lt;=5,32,IF(COUNTIF('Résultats des tournois'!$B32:'Résultats des tournois'!AH32,"&lt;&gt;")&lt;=15,24,16))</f>
        <v>32</v>
      </c>
      <c r="AI32" s="15">
        <f>IF(COUNTIF('Résultats des tournois'!$B32:'Résultats des tournois'!AI32,"&lt;&gt;")&lt;=5,32,IF(COUNTIF('Résultats des tournois'!$B32:'Résultats des tournois'!AI32,"&lt;&gt;")&lt;=15,24,16))</f>
        <v>32</v>
      </c>
      <c r="AJ32" s="15">
        <f>IF(COUNTIF('Résultats des tournois'!$B32:'Résultats des tournois'!AJ32,"&lt;&gt;")&lt;=5,32,IF(COUNTIF('Résultats des tournois'!$B32:'Résultats des tournois'!AJ32,"&lt;&gt;")&lt;=15,24,16))</f>
        <v>32</v>
      </c>
      <c r="AK32" s="15">
        <f>IF(COUNTIF('Résultats des tournois'!$B32:'Résultats des tournois'!AK32,"&lt;&gt;")&lt;=5,32,IF(COUNTIF('Résultats des tournois'!$B32:'Résultats des tournois'!AK32,"&lt;&gt;")&lt;=15,24,16))</f>
        <v>32</v>
      </c>
      <c r="AL32" s="15">
        <f>IF(COUNTIF('Résultats des tournois'!$B32:'Résultats des tournois'!AL32,"&lt;&gt;")&lt;=5,32,IF(COUNTIF('Résultats des tournois'!$B32:'Résultats des tournois'!AL32,"&lt;&gt;")&lt;=15,24,16))</f>
        <v>32</v>
      </c>
      <c r="AM32" s="15">
        <f>IF(COUNTIF('Résultats des tournois'!$B32:'Résultats des tournois'!AM32,"&lt;&gt;")&lt;=5,32,IF(COUNTIF('Résultats des tournois'!$B32:'Résultats des tournois'!AM32,"&lt;&gt;")&lt;=15,24,16))</f>
        <v>32</v>
      </c>
      <c r="AN32" s="15">
        <f>IF(COUNTIF('Résultats des tournois'!$B32:'Résultats des tournois'!AN32,"&lt;&gt;")&lt;=5,32,IF(COUNTIF('Résultats des tournois'!$B32:'Résultats des tournois'!AN32,"&lt;&gt;")&lt;=15,24,16))</f>
        <v>32</v>
      </c>
      <c r="AO32" s="15">
        <f>IF(COUNTIF('Résultats des tournois'!$B32:'Résultats des tournois'!AO32,"&lt;&gt;")&lt;=5,32,IF(COUNTIF('Résultats des tournois'!$B32:'Résultats des tournois'!AO32,"&lt;&gt;")&lt;=15,24,16))</f>
        <v>32</v>
      </c>
      <c r="AP32" s="15">
        <f>IF(COUNTIF('Résultats des tournois'!$B32:'Résultats des tournois'!AP32,"&lt;&gt;")&lt;=5,32,IF(COUNTIF('Résultats des tournois'!$B32:'Résultats des tournois'!AP32,"&lt;&gt;")&lt;=15,24,16))</f>
        <v>32</v>
      </c>
      <c r="AQ32" s="15">
        <f>IF(COUNTIF('Résultats des tournois'!$B32:'Résultats des tournois'!AQ32,"&lt;&gt;")&lt;=5,32,IF(COUNTIF('Résultats des tournois'!$B32:'Résultats des tournois'!AQ32,"&lt;&gt;")&lt;=15,24,16))</f>
        <v>32</v>
      </c>
      <c r="AR32" s="15">
        <f>IF(COUNTIF('Résultats des tournois'!$B32:'Résultats des tournois'!AR32,"&lt;&gt;")&lt;=5,32,IF(COUNTIF('Résultats des tournois'!$B32:'Résultats des tournois'!AR32,"&lt;&gt;")&lt;=15,24,16))</f>
        <v>32</v>
      </c>
      <c r="AS32" s="15">
        <f>IF(COUNTIF('Résultats des tournois'!$B32:'Résultats des tournois'!AS32,"&lt;&gt;")&lt;=5,32,IF(COUNTIF('Résultats des tournois'!$B32:'Résultats des tournois'!AS32,"&lt;&gt;")&lt;=15,24,16))</f>
        <v>32</v>
      </c>
      <c r="AT32" s="15">
        <f>IF(COUNTIF('Résultats des tournois'!$B32:'Résultats des tournois'!AT32,"&lt;&gt;")&lt;=5,32,IF(COUNTIF('Résultats des tournois'!$B32:'Résultats des tournois'!AT32,"&lt;&gt;")&lt;=15,24,16))</f>
        <v>32</v>
      </c>
      <c r="AU32" s="15">
        <f>IF(COUNTIF('Résultats des tournois'!$B32:'Résultats des tournois'!AU32,"&lt;&gt;")&lt;=5,32,IF(COUNTIF('Résultats des tournois'!$B32:'Résultats des tournois'!AU32,"&lt;&gt;")&lt;=15,24,16))</f>
        <v>32</v>
      </c>
      <c r="AV32" s="15">
        <f>IF(COUNTIF('Résultats des tournois'!$B32:'Résultats des tournois'!AV32,"&lt;&gt;")&lt;=5,32,IF(COUNTIF('Résultats des tournois'!$B32:'Résultats des tournois'!AV32,"&lt;&gt;")&lt;=15,24,16))</f>
        <v>32</v>
      </c>
      <c r="AW32" s="15">
        <f>IF(COUNTIF('Résultats des tournois'!$B32:'Résultats des tournois'!AW32,"&lt;&gt;")&lt;=5,32,IF(COUNTIF('Résultats des tournois'!$B32:'Résultats des tournois'!AW32,"&lt;&gt;")&lt;=15,24,16))</f>
        <v>32</v>
      </c>
      <c r="AX32" s="15">
        <f>IF(COUNTIF('Résultats des tournois'!$B32:'Résultats des tournois'!AX32,"&lt;&gt;")&lt;=5,32,IF(COUNTIF('Résultats des tournois'!$B32:'Résultats des tournois'!AX32,"&lt;&gt;")&lt;=15,24,16))</f>
        <v>32</v>
      </c>
    </row>
    <row r="33" ht="14.25" customHeight="1">
      <c r="A33" s="15" t="str">
        <f>IF('Résultats des tournois'!A33="","",'Résultats des tournois'!A33)</f>
        <v/>
      </c>
      <c r="B33" s="15">
        <f>IF(COUNTIF('Résultats des tournois'!B33,"&lt;&gt;")&lt;=5,32,IF(COUNTIF('Résultats des tournois'!B33,"&lt;&gt;")&lt;=15,24,16))</f>
        <v>32</v>
      </c>
      <c r="C33" s="15">
        <f>IF(COUNTIF('Résultats des tournois'!$B33:'Résultats des tournois'!C33,"&lt;&gt;")&lt;=5,32,IF(COUNTIF('Résultats des tournois'!$B33:'Résultats des tournois'!C33,"&lt;&gt;")&lt;=15,24,16))</f>
        <v>32</v>
      </c>
      <c r="D33" s="15">
        <f>IF(COUNTIF('Résultats des tournois'!$B33:'Résultats des tournois'!D33,"&lt;&gt;")&lt;=5,32,IF(COUNTIF('Résultats des tournois'!$B33:'Résultats des tournois'!D33,"&lt;&gt;")&lt;=15,24,16))</f>
        <v>32</v>
      </c>
      <c r="E33" s="15">
        <f>IF(COUNTIF('Résultats des tournois'!$B33:'Résultats des tournois'!E33,"&lt;&gt;")&lt;=5,32,IF(COUNTIF('Résultats des tournois'!$B33:'Résultats des tournois'!E33,"&lt;&gt;")&lt;=15,24,16))</f>
        <v>32</v>
      </c>
      <c r="F33" s="15">
        <f>IF(COUNTIF('Résultats des tournois'!$B33:'Résultats des tournois'!F33,"&lt;&gt;")&lt;=5,32,IF(COUNTIF('Résultats des tournois'!$B33:'Résultats des tournois'!F33,"&lt;&gt;")&lt;=15,24,16))</f>
        <v>32</v>
      </c>
      <c r="G33" s="15">
        <f>IF(COUNTIF('Résultats des tournois'!$B33:'Résultats des tournois'!G33,"&lt;&gt;")&lt;=5,32,IF(COUNTIF('Résultats des tournois'!$B33:'Résultats des tournois'!G33,"&lt;&gt;")&lt;=15,24,16))</f>
        <v>32</v>
      </c>
      <c r="H33" s="15">
        <f>IF(COUNTIF('Résultats des tournois'!$B33:'Résultats des tournois'!H33,"&lt;&gt;")&lt;=5,32,IF(COUNTIF('Résultats des tournois'!$B33:'Résultats des tournois'!H33,"&lt;&gt;")&lt;=15,24,16))</f>
        <v>32</v>
      </c>
      <c r="I33" s="15">
        <f>IF(COUNTIF('Résultats des tournois'!$B33:'Résultats des tournois'!I33,"&lt;&gt;")&lt;=5,32,IF(COUNTIF('Résultats des tournois'!$B33:'Résultats des tournois'!I33,"&lt;&gt;")&lt;=15,24,16))</f>
        <v>32</v>
      </c>
      <c r="J33" s="15">
        <f>IF(COUNTIF('Résultats des tournois'!$B33:'Résultats des tournois'!J33,"&lt;&gt;")&lt;=5,32,IF(COUNTIF('Résultats des tournois'!$B33:'Résultats des tournois'!J33,"&lt;&gt;")&lt;=15,24,16))</f>
        <v>32</v>
      </c>
      <c r="K33" s="15">
        <f>IF(COUNTIF('Résultats des tournois'!$B33:'Résultats des tournois'!K33,"&lt;&gt;")&lt;=5,32,IF(COUNTIF('Résultats des tournois'!$B33:'Résultats des tournois'!K33,"&lt;&gt;")&lt;=15,24,16))</f>
        <v>32</v>
      </c>
      <c r="L33" s="15">
        <f>IF(COUNTIF('Résultats des tournois'!$B33:'Résultats des tournois'!L33,"&lt;&gt;")&lt;=5,32,IF(COUNTIF('Résultats des tournois'!$B33:'Résultats des tournois'!L33,"&lt;&gt;")&lt;=15,24,16))</f>
        <v>32</v>
      </c>
      <c r="M33" s="15">
        <f>IF(COUNTIF('Résultats des tournois'!$B33:'Résultats des tournois'!M33,"&lt;&gt;")&lt;=5,32,IF(COUNTIF('Résultats des tournois'!$B33:'Résultats des tournois'!M33,"&lt;&gt;")&lt;=15,24,16))</f>
        <v>32</v>
      </c>
      <c r="N33" s="15">
        <f>IF(COUNTIF('Résultats des tournois'!$B33:'Résultats des tournois'!N33,"&lt;&gt;")&lt;=5,32,IF(COUNTIF('Résultats des tournois'!$B33:'Résultats des tournois'!N33,"&lt;&gt;")&lt;=15,24,16))</f>
        <v>32</v>
      </c>
      <c r="O33" s="15">
        <f>IF(COUNTIF('Résultats des tournois'!$B33:'Résultats des tournois'!O33,"&lt;&gt;")&lt;=5,32,IF(COUNTIF('Résultats des tournois'!$B33:'Résultats des tournois'!O33,"&lt;&gt;")&lt;=15,24,16))</f>
        <v>32</v>
      </c>
      <c r="P33" s="15">
        <f>IF(COUNTIF('Résultats des tournois'!$B33:'Résultats des tournois'!P33,"&lt;&gt;")&lt;=5,32,IF(COUNTIF('Résultats des tournois'!$B33:'Résultats des tournois'!P33,"&lt;&gt;")&lt;=15,24,16))</f>
        <v>32</v>
      </c>
      <c r="Q33" s="15">
        <f>IF(COUNTIF('Résultats des tournois'!$B33:'Résultats des tournois'!Q33,"&lt;&gt;")&lt;=5,32,IF(COUNTIF('Résultats des tournois'!$B33:'Résultats des tournois'!Q33,"&lt;&gt;")&lt;=15,24,16))</f>
        <v>32</v>
      </c>
      <c r="R33" s="15">
        <f>IF(COUNTIF('Résultats des tournois'!$B33:'Résultats des tournois'!R33,"&lt;&gt;")&lt;=5,32,IF(COUNTIF('Résultats des tournois'!$B33:'Résultats des tournois'!R33,"&lt;&gt;")&lt;=15,24,16))</f>
        <v>32</v>
      </c>
      <c r="S33" s="15">
        <f>IF(COUNTIF('Résultats des tournois'!$B33:'Résultats des tournois'!S33,"&lt;&gt;")&lt;=5,32,IF(COUNTIF('Résultats des tournois'!$B33:'Résultats des tournois'!S33,"&lt;&gt;")&lt;=15,24,16))</f>
        <v>32</v>
      </c>
      <c r="T33" s="15">
        <f>IF(COUNTIF('Résultats des tournois'!$B33:'Résultats des tournois'!T33,"&lt;&gt;")&lt;=5,32,IF(COUNTIF('Résultats des tournois'!$B33:'Résultats des tournois'!T33,"&lt;&gt;")&lt;=15,24,16))</f>
        <v>32</v>
      </c>
      <c r="U33" s="15">
        <f>IF(COUNTIF('Résultats des tournois'!$B33:'Résultats des tournois'!U33,"&lt;&gt;")&lt;=5,32,IF(COUNTIF('Résultats des tournois'!$B33:'Résultats des tournois'!U33,"&lt;&gt;")&lt;=15,24,16))</f>
        <v>32</v>
      </c>
      <c r="V33" s="15">
        <f>IF(COUNTIF('Résultats des tournois'!$B33:'Résultats des tournois'!V33,"&lt;&gt;")&lt;=5,32,IF(COUNTIF('Résultats des tournois'!$B33:'Résultats des tournois'!V33,"&lt;&gt;")&lt;=15,24,16))</f>
        <v>32</v>
      </c>
      <c r="W33" s="15">
        <f>IF(COUNTIF('Résultats des tournois'!$B33:'Résultats des tournois'!W33,"&lt;&gt;")&lt;=5,32,IF(COUNTIF('Résultats des tournois'!$B33:'Résultats des tournois'!W33,"&lt;&gt;")&lt;=15,24,16))</f>
        <v>32</v>
      </c>
      <c r="X33" s="15">
        <f>IF(COUNTIF('Résultats des tournois'!$B33:'Résultats des tournois'!X33,"&lt;&gt;")&lt;=5,32,IF(COUNTIF('Résultats des tournois'!$B33:'Résultats des tournois'!X33,"&lt;&gt;")&lt;=15,24,16))</f>
        <v>32</v>
      </c>
      <c r="Y33" s="15">
        <f>IF(COUNTIF('Résultats des tournois'!$B33:'Résultats des tournois'!Y33,"&lt;&gt;")&lt;=5,32,IF(COUNTIF('Résultats des tournois'!$B33:'Résultats des tournois'!Y33,"&lt;&gt;")&lt;=15,24,16))</f>
        <v>32</v>
      </c>
      <c r="Z33" s="15">
        <f>IF(COUNTIF('Résultats des tournois'!$B33:'Résultats des tournois'!Z33,"&lt;&gt;")&lt;=5,32,IF(COUNTIF('Résultats des tournois'!$B33:'Résultats des tournois'!Z33,"&lt;&gt;")&lt;=15,24,16))</f>
        <v>32</v>
      </c>
      <c r="AA33" s="15">
        <f>IF(COUNTIF('Résultats des tournois'!$B33:'Résultats des tournois'!AA33,"&lt;&gt;")&lt;=5,32,IF(COUNTIF('Résultats des tournois'!$B33:'Résultats des tournois'!AA33,"&lt;&gt;")&lt;=15,24,16))</f>
        <v>32</v>
      </c>
      <c r="AB33" s="15">
        <f>IF(COUNTIF('Résultats des tournois'!$B33:'Résultats des tournois'!AB33,"&lt;&gt;")&lt;=5,32,IF(COUNTIF('Résultats des tournois'!$B33:'Résultats des tournois'!AB33,"&lt;&gt;")&lt;=15,24,16))</f>
        <v>32</v>
      </c>
      <c r="AC33" s="15">
        <f>IF(COUNTIF('Résultats des tournois'!$B33:'Résultats des tournois'!AC33,"&lt;&gt;")&lt;=5,32,IF(COUNTIF('Résultats des tournois'!$B33:'Résultats des tournois'!AC33,"&lt;&gt;")&lt;=15,24,16))</f>
        <v>32</v>
      </c>
      <c r="AD33" s="15">
        <f>IF(COUNTIF('Résultats des tournois'!$B33:'Résultats des tournois'!AD33,"&lt;&gt;")&lt;=5,32,IF(COUNTIF('Résultats des tournois'!$B33:'Résultats des tournois'!AD33,"&lt;&gt;")&lt;=15,24,16))</f>
        <v>32</v>
      </c>
      <c r="AE33" s="15">
        <f>IF(COUNTIF('Résultats des tournois'!$B33:'Résultats des tournois'!AE33,"&lt;&gt;")&lt;=5,32,IF(COUNTIF('Résultats des tournois'!$B33:'Résultats des tournois'!AE33,"&lt;&gt;")&lt;=15,24,16))</f>
        <v>32</v>
      </c>
      <c r="AF33" s="15">
        <f>IF(COUNTIF('Résultats des tournois'!$B33:'Résultats des tournois'!AF33,"&lt;&gt;")&lt;=5,32,IF(COUNTIF('Résultats des tournois'!$B33:'Résultats des tournois'!AF33,"&lt;&gt;")&lt;=15,24,16))</f>
        <v>32</v>
      </c>
      <c r="AG33" s="15">
        <f>IF(COUNTIF('Résultats des tournois'!$B33:'Résultats des tournois'!AG33,"&lt;&gt;")&lt;=5,32,IF(COUNTIF('Résultats des tournois'!$B33:'Résultats des tournois'!AG33,"&lt;&gt;")&lt;=15,24,16))</f>
        <v>32</v>
      </c>
      <c r="AH33" s="15">
        <f>IF(COUNTIF('Résultats des tournois'!$B33:'Résultats des tournois'!AH33,"&lt;&gt;")&lt;=5,32,IF(COUNTIF('Résultats des tournois'!$B33:'Résultats des tournois'!AH33,"&lt;&gt;")&lt;=15,24,16))</f>
        <v>32</v>
      </c>
      <c r="AI33" s="15">
        <f>IF(COUNTIF('Résultats des tournois'!$B33:'Résultats des tournois'!AI33,"&lt;&gt;")&lt;=5,32,IF(COUNTIF('Résultats des tournois'!$B33:'Résultats des tournois'!AI33,"&lt;&gt;")&lt;=15,24,16))</f>
        <v>32</v>
      </c>
      <c r="AJ33" s="15">
        <f>IF(COUNTIF('Résultats des tournois'!$B33:'Résultats des tournois'!AJ33,"&lt;&gt;")&lt;=5,32,IF(COUNTIF('Résultats des tournois'!$B33:'Résultats des tournois'!AJ33,"&lt;&gt;")&lt;=15,24,16))</f>
        <v>32</v>
      </c>
      <c r="AK33" s="15">
        <f>IF(COUNTIF('Résultats des tournois'!$B33:'Résultats des tournois'!AK33,"&lt;&gt;")&lt;=5,32,IF(COUNTIF('Résultats des tournois'!$B33:'Résultats des tournois'!AK33,"&lt;&gt;")&lt;=15,24,16))</f>
        <v>32</v>
      </c>
      <c r="AL33" s="15">
        <f>IF(COUNTIF('Résultats des tournois'!$B33:'Résultats des tournois'!AL33,"&lt;&gt;")&lt;=5,32,IF(COUNTIF('Résultats des tournois'!$B33:'Résultats des tournois'!AL33,"&lt;&gt;")&lt;=15,24,16))</f>
        <v>32</v>
      </c>
      <c r="AM33" s="15">
        <f>IF(COUNTIF('Résultats des tournois'!$B33:'Résultats des tournois'!AM33,"&lt;&gt;")&lt;=5,32,IF(COUNTIF('Résultats des tournois'!$B33:'Résultats des tournois'!AM33,"&lt;&gt;")&lt;=15,24,16))</f>
        <v>32</v>
      </c>
      <c r="AN33" s="15">
        <f>IF(COUNTIF('Résultats des tournois'!$B33:'Résultats des tournois'!AN33,"&lt;&gt;")&lt;=5,32,IF(COUNTIF('Résultats des tournois'!$B33:'Résultats des tournois'!AN33,"&lt;&gt;")&lt;=15,24,16))</f>
        <v>32</v>
      </c>
      <c r="AO33" s="15">
        <f>IF(COUNTIF('Résultats des tournois'!$B33:'Résultats des tournois'!AO33,"&lt;&gt;")&lt;=5,32,IF(COUNTIF('Résultats des tournois'!$B33:'Résultats des tournois'!AO33,"&lt;&gt;")&lt;=15,24,16))</f>
        <v>32</v>
      </c>
      <c r="AP33" s="15">
        <f>IF(COUNTIF('Résultats des tournois'!$B33:'Résultats des tournois'!AP33,"&lt;&gt;")&lt;=5,32,IF(COUNTIF('Résultats des tournois'!$B33:'Résultats des tournois'!AP33,"&lt;&gt;")&lt;=15,24,16))</f>
        <v>32</v>
      </c>
      <c r="AQ33" s="15">
        <f>IF(COUNTIF('Résultats des tournois'!$B33:'Résultats des tournois'!AQ33,"&lt;&gt;")&lt;=5,32,IF(COUNTIF('Résultats des tournois'!$B33:'Résultats des tournois'!AQ33,"&lt;&gt;")&lt;=15,24,16))</f>
        <v>32</v>
      </c>
      <c r="AR33" s="15">
        <f>IF(COUNTIF('Résultats des tournois'!$B33:'Résultats des tournois'!AR33,"&lt;&gt;")&lt;=5,32,IF(COUNTIF('Résultats des tournois'!$B33:'Résultats des tournois'!AR33,"&lt;&gt;")&lt;=15,24,16))</f>
        <v>32</v>
      </c>
      <c r="AS33" s="15">
        <f>IF(COUNTIF('Résultats des tournois'!$B33:'Résultats des tournois'!AS33,"&lt;&gt;")&lt;=5,32,IF(COUNTIF('Résultats des tournois'!$B33:'Résultats des tournois'!AS33,"&lt;&gt;")&lt;=15,24,16))</f>
        <v>32</v>
      </c>
      <c r="AT33" s="15">
        <f>IF(COUNTIF('Résultats des tournois'!$B33:'Résultats des tournois'!AT33,"&lt;&gt;")&lt;=5,32,IF(COUNTIF('Résultats des tournois'!$B33:'Résultats des tournois'!AT33,"&lt;&gt;")&lt;=15,24,16))</f>
        <v>32</v>
      </c>
      <c r="AU33" s="15">
        <f>IF(COUNTIF('Résultats des tournois'!$B33:'Résultats des tournois'!AU33,"&lt;&gt;")&lt;=5,32,IF(COUNTIF('Résultats des tournois'!$B33:'Résultats des tournois'!AU33,"&lt;&gt;")&lt;=15,24,16))</f>
        <v>32</v>
      </c>
      <c r="AV33" s="15">
        <f>IF(COUNTIF('Résultats des tournois'!$B33:'Résultats des tournois'!AV33,"&lt;&gt;")&lt;=5,32,IF(COUNTIF('Résultats des tournois'!$B33:'Résultats des tournois'!AV33,"&lt;&gt;")&lt;=15,24,16))</f>
        <v>32</v>
      </c>
      <c r="AW33" s="15">
        <f>IF(COUNTIF('Résultats des tournois'!$B33:'Résultats des tournois'!AW33,"&lt;&gt;")&lt;=5,32,IF(COUNTIF('Résultats des tournois'!$B33:'Résultats des tournois'!AW33,"&lt;&gt;")&lt;=15,24,16))</f>
        <v>32</v>
      </c>
      <c r="AX33" s="15">
        <f>IF(COUNTIF('Résultats des tournois'!$B33:'Résultats des tournois'!AX33,"&lt;&gt;")&lt;=5,32,IF(COUNTIF('Résultats des tournois'!$B33:'Résultats des tournois'!AX33,"&lt;&gt;")&lt;=15,24,16))</f>
        <v>32</v>
      </c>
    </row>
    <row r="34" ht="14.25" customHeight="1">
      <c r="A34" s="15" t="str">
        <f>IF('Résultats des tournois'!A34="","",'Résultats des tournois'!A34)</f>
        <v/>
      </c>
      <c r="B34" s="15">
        <f>IF(COUNTIF('Résultats des tournois'!B34,"&lt;&gt;")&lt;=5,32,IF(COUNTIF('Résultats des tournois'!B34,"&lt;&gt;")&lt;=15,24,16))</f>
        <v>32</v>
      </c>
      <c r="C34" s="15">
        <f>IF(COUNTIF('Résultats des tournois'!$B34:'Résultats des tournois'!C34,"&lt;&gt;")&lt;=5,32,IF(COUNTIF('Résultats des tournois'!$B34:'Résultats des tournois'!C34,"&lt;&gt;")&lt;=15,24,16))</f>
        <v>32</v>
      </c>
      <c r="D34" s="15">
        <f>IF(COUNTIF('Résultats des tournois'!$B34:'Résultats des tournois'!D34,"&lt;&gt;")&lt;=5,32,IF(COUNTIF('Résultats des tournois'!$B34:'Résultats des tournois'!D34,"&lt;&gt;")&lt;=15,24,16))</f>
        <v>32</v>
      </c>
      <c r="E34" s="15">
        <f>IF(COUNTIF('Résultats des tournois'!$B34:'Résultats des tournois'!E34,"&lt;&gt;")&lt;=5,32,IF(COUNTIF('Résultats des tournois'!$B34:'Résultats des tournois'!E34,"&lt;&gt;")&lt;=15,24,16))</f>
        <v>32</v>
      </c>
      <c r="F34" s="15">
        <f>IF(COUNTIF('Résultats des tournois'!$B34:'Résultats des tournois'!F34,"&lt;&gt;")&lt;=5,32,IF(COUNTIF('Résultats des tournois'!$B34:'Résultats des tournois'!F34,"&lt;&gt;")&lt;=15,24,16))</f>
        <v>32</v>
      </c>
      <c r="G34" s="15">
        <f>IF(COUNTIF('Résultats des tournois'!$B34:'Résultats des tournois'!G34,"&lt;&gt;")&lt;=5,32,IF(COUNTIF('Résultats des tournois'!$B34:'Résultats des tournois'!G34,"&lt;&gt;")&lt;=15,24,16))</f>
        <v>32</v>
      </c>
      <c r="H34" s="15">
        <f>IF(COUNTIF('Résultats des tournois'!$B34:'Résultats des tournois'!H34,"&lt;&gt;")&lt;=5,32,IF(COUNTIF('Résultats des tournois'!$B34:'Résultats des tournois'!H34,"&lt;&gt;")&lt;=15,24,16))</f>
        <v>32</v>
      </c>
      <c r="I34" s="15">
        <f>IF(COUNTIF('Résultats des tournois'!$B34:'Résultats des tournois'!I34,"&lt;&gt;")&lt;=5,32,IF(COUNTIF('Résultats des tournois'!$B34:'Résultats des tournois'!I34,"&lt;&gt;")&lt;=15,24,16))</f>
        <v>32</v>
      </c>
      <c r="J34" s="15">
        <f>IF(COUNTIF('Résultats des tournois'!$B34:'Résultats des tournois'!J34,"&lt;&gt;")&lt;=5,32,IF(COUNTIF('Résultats des tournois'!$B34:'Résultats des tournois'!J34,"&lt;&gt;")&lt;=15,24,16))</f>
        <v>32</v>
      </c>
      <c r="K34" s="15">
        <f>IF(COUNTIF('Résultats des tournois'!$B34:'Résultats des tournois'!K34,"&lt;&gt;")&lt;=5,32,IF(COUNTIF('Résultats des tournois'!$B34:'Résultats des tournois'!K34,"&lt;&gt;")&lt;=15,24,16))</f>
        <v>32</v>
      </c>
      <c r="L34" s="15">
        <f>IF(COUNTIF('Résultats des tournois'!$B34:'Résultats des tournois'!L34,"&lt;&gt;")&lt;=5,32,IF(COUNTIF('Résultats des tournois'!$B34:'Résultats des tournois'!L34,"&lt;&gt;")&lt;=15,24,16))</f>
        <v>32</v>
      </c>
      <c r="M34" s="15">
        <f>IF(COUNTIF('Résultats des tournois'!$B34:'Résultats des tournois'!M34,"&lt;&gt;")&lt;=5,32,IF(COUNTIF('Résultats des tournois'!$B34:'Résultats des tournois'!M34,"&lt;&gt;")&lt;=15,24,16))</f>
        <v>32</v>
      </c>
      <c r="N34" s="15">
        <f>IF(COUNTIF('Résultats des tournois'!$B34:'Résultats des tournois'!N34,"&lt;&gt;")&lt;=5,32,IF(COUNTIF('Résultats des tournois'!$B34:'Résultats des tournois'!N34,"&lt;&gt;")&lt;=15,24,16))</f>
        <v>32</v>
      </c>
      <c r="O34" s="15">
        <f>IF(COUNTIF('Résultats des tournois'!$B34:'Résultats des tournois'!O34,"&lt;&gt;")&lt;=5,32,IF(COUNTIF('Résultats des tournois'!$B34:'Résultats des tournois'!O34,"&lt;&gt;")&lt;=15,24,16))</f>
        <v>32</v>
      </c>
      <c r="P34" s="15">
        <f>IF(COUNTIF('Résultats des tournois'!$B34:'Résultats des tournois'!P34,"&lt;&gt;")&lt;=5,32,IF(COUNTIF('Résultats des tournois'!$B34:'Résultats des tournois'!P34,"&lt;&gt;")&lt;=15,24,16))</f>
        <v>32</v>
      </c>
      <c r="Q34" s="15">
        <f>IF(COUNTIF('Résultats des tournois'!$B34:'Résultats des tournois'!Q34,"&lt;&gt;")&lt;=5,32,IF(COUNTIF('Résultats des tournois'!$B34:'Résultats des tournois'!Q34,"&lt;&gt;")&lt;=15,24,16))</f>
        <v>32</v>
      </c>
      <c r="R34" s="15">
        <f>IF(COUNTIF('Résultats des tournois'!$B34:'Résultats des tournois'!R34,"&lt;&gt;")&lt;=5,32,IF(COUNTIF('Résultats des tournois'!$B34:'Résultats des tournois'!R34,"&lt;&gt;")&lt;=15,24,16))</f>
        <v>32</v>
      </c>
      <c r="S34" s="15">
        <f>IF(COUNTIF('Résultats des tournois'!$B34:'Résultats des tournois'!S34,"&lt;&gt;")&lt;=5,32,IF(COUNTIF('Résultats des tournois'!$B34:'Résultats des tournois'!S34,"&lt;&gt;")&lt;=15,24,16))</f>
        <v>32</v>
      </c>
      <c r="T34" s="15">
        <f>IF(COUNTIF('Résultats des tournois'!$B34:'Résultats des tournois'!T34,"&lt;&gt;")&lt;=5,32,IF(COUNTIF('Résultats des tournois'!$B34:'Résultats des tournois'!T34,"&lt;&gt;")&lt;=15,24,16))</f>
        <v>32</v>
      </c>
      <c r="U34" s="15">
        <f>IF(COUNTIF('Résultats des tournois'!$B34:'Résultats des tournois'!U34,"&lt;&gt;")&lt;=5,32,IF(COUNTIF('Résultats des tournois'!$B34:'Résultats des tournois'!U34,"&lt;&gt;")&lt;=15,24,16))</f>
        <v>32</v>
      </c>
      <c r="V34" s="15">
        <f>IF(COUNTIF('Résultats des tournois'!$B34:'Résultats des tournois'!V34,"&lt;&gt;")&lt;=5,32,IF(COUNTIF('Résultats des tournois'!$B34:'Résultats des tournois'!V34,"&lt;&gt;")&lt;=15,24,16))</f>
        <v>32</v>
      </c>
      <c r="W34" s="15">
        <f>IF(COUNTIF('Résultats des tournois'!$B34:'Résultats des tournois'!W34,"&lt;&gt;")&lt;=5,32,IF(COUNTIF('Résultats des tournois'!$B34:'Résultats des tournois'!W34,"&lt;&gt;")&lt;=15,24,16))</f>
        <v>32</v>
      </c>
      <c r="X34" s="15">
        <f>IF(COUNTIF('Résultats des tournois'!$B34:'Résultats des tournois'!X34,"&lt;&gt;")&lt;=5,32,IF(COUNTIF('Résultats des tournois'!$B34:'Résultats des tournois'!X34,"&lt;&gt;")&lt;=15,24,16))</f>
        <v>32</v>
      </c>
      <c r="Y34" s="15">
        <f>IF(COUNTIF('Résultats des tournois'!$B34:'Résultats des tournois'!Y34,"&lt;&gt;")&lt;=5,32,IF(COUNTIF('Résultats des tournois'!$B34:'Résultats des tournois'!Y34,"&lt;&gt;")&lt;=15,24,16))</f>
        <v>32</v>
      </c>
      <c r="Z34" s="15">
        <f>IF(COUNTIF('Résultats des tournois'!$B34:'Résultats des tournois'!Z34,"&lt;&gt;")&lt;=5,32,IF(COUNTIF('Résultats des tournois'!$B34:'Résultats des tournois'!Z34,"&lt;&gt;")&lt;=15,24,16))</f>
        <v>32</v>
      </c>
      <c r="AA34" s="15">
        <f>IF(COUNTIF('Résultats des tournois'!$B34:'Résultats des tournois'!AA34,"&lt;&gt;")&lt;=5,32,IF(COUNTIF('Résultats des tournois'!$B34:'Résultats des tournois'!AA34,"&lt;&gt;")&lt;=15,24,16))</f>
        <v>32</v>
      </c>
      <c r="AB34" s="15">
        <f>IF(COUNTIF('Résultats des tournois'!$B34:'Résultats des tournois'!AB34,"&lt;&gt;")&lt;=5,32,IF(COUNTIF('Résultats des tournois'!$B34:'Résultats des tournois'!AB34,"&lt;&gt;")&lt;=15,24,16))</f>
        <v>32</v>
      </c>
      <c r="AC34" s="15">
        <f>IF(COUNTIF('Résultats des tournois'!$B34:'Résultats des tournois'!AC34,"&lt;&gt;")&lt;=5,32,IF(COUNTIF('Résultats des tournois'!$B34:'Résultats des tournois'!AC34,"&lt;&gt;")&lt;=15,24,16))</f>
        <v>32</v>
      </c>
      <c r="AD34" s="15">
        <f>IF(COUNTIF('Résultats des tournois'!$B34:'Résultats des tournois'!AD34,"&lt;&gt;")&lt;=5,32,IF(COUNTIF('Résultats des tournois'!$B34:'Résultats des tournois'!AD34,"&lt;&gt;")&lt;=15,24,16))</f>
        <v>32</v>
      </c>
      <c r="AE34" s="15">
        <f>IF(COUNTIF('Résultats des tournois'!$B34:'Résultats des tournois'!AE34,"&lt;&gt;")&lt;=5,32,IF(COUNTIF('Résultats des tournois'!$B34:'Résultats des tournois'!AE34,"&lt;&gt;")&lt;=15,24,16))</f>
        <v>32</v>
      </c>
      <c r="AF34" s="15">
        <f>IF(COUNTIF('Résultats des tournois'!$B34:'Résultats des tournois'!AF34,"&lt;&gt;")&lt;=5,32,IF(COUNTIF('Résultats des tournois'!$B34:'Résultats des tournois'!AF34,"&lt;&gt;")&lt;=15,24,16))</f>
        <v>32</v>
      </c>
      <c r="AG34" s="15">
        <f>IF(COUNTIF('Résultats des tournois'!$B34:'Résultats des tournois'!AG34,"&lt;&gt;")&lt;=5,32,IF(COUNTIF('Résultats des tournois'!$B34:'Résultats des tournois'!AG34,"&lt;&gt;")&lt;=15,24,16))</f>
        <v>32</v>
      </c>
      <c r="AH34" s="15">
        <f>IF(COUNTIF('Résultats des tournois'!$B34:'Résultats des tournois'!AH34,"&lt;&gt;")&lt;=5,32,IF(COUNTIF('Résultats des tournois'!$B34:'Résultats des tournois'!AH34,"&lt;&gt;")&lt;=15,24,16))</f>
        <v>32</v>
      </c>
      <c r="AI34" s="15">
        <f>IF(COUNTIF('Résultats des tournois'!$B34:'Résultats des tournois'!AI34,"&lt;&gt;")&lt;=5,32,IF(COUNTIF('Résultats des tournois'!$B34:'Résultats des tournois'!AI34,"&lt;&gt;")&lt;=15,24,16))</f>
        <v>32</v>
      </c>
      <c r="AJ34" s="15">
        <f>IF(COUNTIF('Résultats des tournois'!$B34:'Résultats des tournois'!AJ34,"&lt;&gt;")&lt;=5,32,IF(COUNTIF('Résultats des tournois'!$B34:'Résultats des tournois'!AJ34,"&lt;&gt;")&lt;=15,24,16))</f>
        <v>32</v>
      </c>
      <c r="AK34" s="15">
        <f>IF(COUNTIF('Résultats des tournois'!$B34:'Résultats des tournois'!AK34,"&lt;&gt;")&lt;=5,32,IF(COUNTIF('Résultats des tournois'!$B34:'Résultats des tournois'!AK34,"&lt;&gt;")&lt;=15,24,16))</f>
        <v>32</v>
      </c>
      <c r="AL34" s="15">
        <f>IF(COUNTIF('Résultats des tournois'!$B34:'Résultats des tournois'!AL34,"&lt;&gt;")&lt;=5,32,IF(COUNTIF('Résultats des tournois'!$B34:'Résultats des tournois'!AL34,"&lt;&gt;")&lt;=15,24,16))</f>
        <v>32</v>
      </c>
      <c r="AM34" s="15">
        <f>IF(COUNTIF('Résultats des tournois'!$B34:'Résultats des tournois'!AM34,"&lt;&gt;")&lt;=5,32,IF(COUNTIF('Résultats des tournois'!$B34:'Résultats des tournois'!AM34,"&lt;&gt;")&lt;=15,24,16))</f>
        <v>32</v>
      </c>
      <c r="AN34" s="15">
        <f>IF(COUNTIF('Résultats des tournois'!$B34:'Résultats des tournois'!AN34,"&lt;&gt;")&lt;=5,32,IF(COUNTIF('Résultats des tournois'!$B34:'Résultats des tournois'!AN34,"&lt;&gt;")&lt;=15,24,16))</f>
        <v>32</v>
      </c>
      <c r="AO34" s="15">
        <f>IF(COUNTIF('Résultats des tournois'!$B34:'Résultats des tournois'!AO34,"&lt;&gt;")&lt;=5,32,IF(COUNTIF('Résultats des tournois'!$B34:'Résultats des tournois'!AO34,"&lt;&gt;")&lt;=15,24,16))</f>
        <v>32</v>
      </c>
      <c r="AP34" s="15">
        <f>IF(COUNTIF('Résultats des tournois'!$B34:'Résultats des tournois'!AP34,"&lt;&gt;")&lt;=5,32,IF(COUNTIF('Résultats des tournois'!$B34:'Résultats des tournois'!AP34,"&lt;&gt;")&lt;=15,24,16))</f>
        <v>32</v>
      </c>
      <c r="AQ34" s="15">
        <f>IF(COUNTIF('Résultats des tournois'!$B34:'Résultats des tournois'!AQ34,"&lt;&gt;")&lt;=5,32,IF(COUNTIF('Résultats des tournois'!$B34:'Résultats des tournois'!AQ34,"&lt;&gt;")&lt;=15,24,16))</f>
        <v>32</v>
      </c>
      <c r="AR34" s="15">
        <f>IF(COUNTIF('Résultats des tournois'!$B34:'Résultats des tournois'!AR34,"&lt;&gt;")&lt;=5,32,IF(COUNTIF('Résultats des tournois'!$B34:'Résultats des tournois'!AR34,"&lt;&gt;")&lt;=15,24,16))</f>
        <v>32</v>
      </c>
      <c r="AS34" s="15">
        <f>IF(COUNTIF('Résultats des tournois'!$B34:'Résultats des tournois'!AS34,"&lt;&gt;")&lt;=5,32,IF(COUNTIF('Résultats des tournois'!$B34:'Résultats des tournois'!AS34,"&lt;&gt;")&lt;=15,24,16))</f>
        <v>32</v>
      </c>
      <c r="AT34" s="15">
        <f>IF(COUNTIF('Résultats des tournois'!$B34:'Résultats des tournois'!AT34,"&lt;&gt;")&lt;=5,32,IF(COUNTIF('Résultats des tournois'!$B34:'Résultats des tournois'!AT34,"&lt;&gt;")&lt;=15,24,16))</f>
        <v>32</v>
      </c>
      <c r="AU34" s="15">
        <f>IF(COUNTIF('Résultats des tournois'!$B34:'Résultats des tournois'!AU34,"&lt;&gt;")&lt;=5,32,IF(COUNTIF('Résultats des tournois'!$B34:'Résultats des tournois'!AU34,"&lt;&gt;")&lt;=15,24,16))</f>
        <v>32</v>
      </c>
      <c r="AV34" s="15">
        <f>IF(COUNTIF('Résultats des tournois'!$B34:'Résultats des tournois'!AV34,"&lt;&gt;")&lt;=5,32,IF(COUNTIF('Résultats des tournois'!$B34:'Résultats des tournois'!AV34,"&lt;&gt;")&lt;=15,24,16))</f>
        <v>32</v>
      </c>
      <c r="AW34" s="15">
        <f>IF(COUNTIF('Résultats des tournois'!$B34:'Résultats des tournois'!AW34,"&lt;&gt;")&lt;=5,32,IF(COUNTIF('Résultats des tournois'!$B34:'Résultats des tournois'!AW34,"&lt;&gt;")&lt;=15,24,16))</f>
        <v>32</v>
      </c>
      <c r="AX34" s="15">
        <f>IF(COUNTIF('Résultats des tournois'!$B34:'Résultats des tournois'!AX34,"&lt;&gt;")&lt;=5,32,IF(COUNTIF('Résultats des tournois'!$B34:'Résultats des tournois'!AX34,"&lt;&gt;")&lt;=15,24,16))</f>
        <v>32</v>
      </c>
    </row>
    <row r="35" ht="14.25" customHeight="1">
      <c r="A35" s="15" t="str">
        <f>IF('Résultats des tournois'!A35="","",'Résultats des tournois'!A35)</f>
        <v/>
      </c>
      <c r="B35" s="15">
        <f>IF(COUNTIF('Résultats des tournois'!B35,"&lt;&gt;")&lt;=5,32,IF(COUNTIF('Résultats des tournois'!B35,"&lt;&gt;")&lt;=15,24,16))</f>
        <v>32</v>
      </c>
      <c r="C35" s="15">
        <f>IF(COUNTIF('Résultats des tournois'!$B35:'Résultats des tournois'!C35,"&lt;&gt;")&lt;=5,32,IF(COUNTIF('Résultats des tournois'!$B35:'Résultats des tournois'!C35,"&lt;&gt;")&lt;=15,24,16))</f>
        <v>32</v>
      </c>
      <c r="D35" s="15">
        <f>IF(COUNTIF('Résultats des tournois'!$B35:'Résultats des tournois'!D35,"&lt;&gt;")&lt;=5,32,IF(COUNTIF('Résultats des tournois'!$B35:'Résultats des tournois'!D35,"&lt;&gt;")&lt;=15,24,16))</f>
        <v>32</v>
      </c>
      <c r="E35" s="15">
        <f>IF(COUNTIF('Résultats des tournois'!$B35:'Résultats des tournois'!E35,"&lt;&gt;")&lt;=5,32,IF(COUNTIF('Résultats des tournois'!$B35:'Résultats des tournois'!E35,"&lt;&gt;")&lt;=15,24,16))</f>
        <v>32</v>
      </c>
      <c r="F35" s="15">
        <f>IF(COUNTIF('Résultats des tournois'!$B35:'Résultats des tournois'!F35,"&lt;&gt;")&lt;=5,32,IF(COUNTIF('Résultats des tournois'!$B35:'Résultats des tournois'!F35,"&lt;&gt;")&lt;=15,24,16))</f>
        <v>32</v>
      </c>
      <c r="G35" s="15">
        <f>IF(COUNTIF('Résultats des tournois'!$B35:'Résultats des tournois'!G35,"&lt;&gt;")&lt;=5,32,IF(COUNTIF('Résultats des tournois'!$B35:'Résultats des tournois'!G35,"&lt;&gt;")&lt;=15,24,16))</f>
        <v>32</v>
      </c>
      <c r="H35" s="15">
        <f>IF(COUNTIF('Résultats des tournois'!$B35:'Résultats des tournois'!H35,"&lt;&gt;")&lt;=5,32,IF(COUNTIF('Résultats des tournois'!$B35:'Résultats des tournois'!H35,"&lt;&gt;")&lt;=15,24,16))</f>
        <v>32</v>
      </c>
      <c r="I35" s="15">
        <f>IF(COUNTIF('Résultats des tournois'!$B35:'Résultats des tournois'!I35,"&lt;&gt;")&lt;=5,32,IF(COUNTIF('Résultats des tournois'!$B35:'Résultats des tournois'!I35,"&lt;&gt;")&lt;=15,24,16))</f>
        <v>32</v>
      </c>
      <c r="J35" s="15">
        <f>IF(COUNTIF('Résultats des tournois'!$B35:'Résultats des tournois'!J35,"&lt;&gt;")&lt;=5,32,IF(COUNTIF('Résultats des tournois'!$B35:'Résultats des tournois'!J35,"&lt;&gt;")&lt;=15,24,16))</f>
        <v>32</v>
      </c>
      <c r="K35" s="15">
        <f>IF(COUNTIF('Résultats des tournois'!$B35:'Résultats des tournois'!K35,"&lt;&gt;")&lt;=5,32,IF(COUNTIF('Résultats des tournois'!$B35:'Résultats des tournois'!K35,"&lt;&gt;")&lt;=15,24,16))</f>
        <v>32</v>
      </c>
      <c r="L35" s="15">
        <f>IF(COUNTIF('Résultats des tournois'!$B35:'Résultats des tournois'!L35,"&lt;&gt;")&lt;=5,32,IF(COUNTIF('Résultats des tournois'!$B35:'Résultats des tournois'!L35,"&lt;&gt;")&lt;=15,24,16))</f>
        <v>32</v>
      </c>
      <c r="M35" s="15">
        <f>IF(COUNTIF('Résultats des tournois'!$B35:'Résultats des tournois'!M35,"&lt;&gt;")&lt;=5,32,IF(COUNTIF('Résultats des tournois'!$B35:'Résultats des tournois'!M35,"&lt;&gt;")&lt;=15,24,16))</f>
        <v>32</v>
      </c>
      <c r="N35" s="15">
        <f>IF(COUNTIF('Résultats des tournois'!$B35:'Résultats des tournois'!N35,"&lt;&gt;")&lt;=5,32,IF(COUNTIF('Résultats des tournois'!$B35:'Résultats des tournois'!N35,"&lt;&gt;")&lt;=15,24,16))</f>
        <v>32</v>
      </c>
      <c r="O35" s="15">
        <f>IF(COUNTIF('Résultats des tournois'!$B35:'Résultats des tournois'!O35,"&lt;&gt;")&lt;=5,32,IF(COUNTIF('Résultats des tournois'!$B35:'Résultats des tournois'!O35,"&lt;&gt;")&lt;=15,24,16))</f>
        <v>32</v>
      </c>
      <c r="P35" s="15">
        <f>IF(COUNTIF('Résultats des tournois'!$B35:'Résultats des tournois'!P35,"&lt;&gt;")&lt;=5,32,IF(COUNTIF('Résultats des tournois'!$B35:'Résultats des tournois'!P35,"&lt;&gt;")&lt;=15,24,16))</f>
        <v>32</v>
      </c>
      <c r="Q35" s="15">
        <f>IF(COUNTIF('Résultats des tournois'!$B35:'Résultats des tournois'!Q35,"&lt;&gt;")&lt;=5,32,IF(COUNTIF('Résultats des tournois'!$B35:'Résultats des tournois'!Q35,"&lt;&gt;")&lt;=15,24,16))</f>
        <v>32</v>
      </c>
      <c r="R35" s="15">
        <f>IF(COUNTIF('Résultats des tournois'!$B35:'Résultats des tournois'!R35,"&lt;&gt;")&lt;=5,32,IF(COUNTIF('Résultats des tournois'!$B35:'Résultats des tournois'!R35,"&lt;&gt;")&lt;=15,24,16))</f>
        <v>32</v>
      </c>
      <c r="S35" s="15">
        <f>IF(COUNTIF('Résultats des tournois'!$B35:'Résultats des tournois'!S35,"&lt;&gt;")&lt;=5,32,IF(COUNTIF('Résultats des tournois'!$B35:'Résultats des tournois'!S35,"&lt;&gt;")&lt;=15,24,16))</f>
        <v>32</v>
      </c>
      <c r="T35" s="15">
        <f>IF(COUNTIF('Résultats des tournois'!$B35:'Résultats des tournois'!T35,"&lt;&gt;")&lt;=5,32,IF(COUNTIF('Résultats des tournois'!$B35:'Résultats des tournois'!T35,"&lt;&gt;")&lt;=15,24,16))</f>
        <v>32</v>
      </c>
      <c r="U35" s="15">
        <f>IF(COUNTIF('Résultats des tournois'!$B35:'Résultats des tournois'!U35,"&lt;&gt;")&lt;=5,32,IF(COUNTIF('Résultats des tournois'!$B35:'Résultats des tournois'!U35,"&lt;&gt;")&lt;=15,24,16))</f>
        <v>32</v>
      </c>
      <c r="V35" s="15">
        <f>IF(COUNTIF('Résultats des tournois'!$B35:'Résultats des tournois'!V35,"&lt;&gt;")&lt;=5,32,IF(COUNTIF('Résultats des tournois'!$B35:'Résultats des tournois'!V35,"&lt;&gt;")&lt;=15,24,16))</f>
        <v>32</v>
      </c>
      <c r="W35" s="15">
        <f>IF(COUNTIF('Résultats des tournois'!$B35:'Résultats des tournois'!W35,"&lt;&gt;")&lt;=5,32,IF(COUNTIF('Résultats des tournois'!$B35:'Résultats des tournois'!W35,"&lt;&gt;")&lt;=15,24,16))</f>
        <v>32</v>
      </c>
      <c r="X35" s="15">
        <f>IF(COUNTIF('Résultats des tournois'!$B35:'Résultats des tournois'!X35,"&lt;&gt;")&lt;=5,32,IF(COUNTIF('Résultats des tournois'!$B35:'Résultats des tournois'!X35,"&lt;&gt;")&lt;=15,24,16))</f>
        <v>32</v>
      </c>
      <c r="Y35" s="15">
        <f>IF(COUNTIF('Résultats des tournois'!$B35:'Résultats des tournois'!Y35,"&lt;&gt;")&lt;=5,32,IF(COUNTIF('Résultats des tournois'!$B35:'Résultats des tournois'!Y35,"&lt;&gt;")&lt;=15,24,16))</f>
        <v>32</v>
      </c>
      <c r="Z35" s="15">
        <f>IF(COUNTIF('Résultats des tournois'!$B35:'Résultats des tournois'!Z35,"&lt;&gt;")&lt;=5,32,IF(COUNTIF('Résultats des tournois'!$B35:'Résultats des tournois'!Z35,"&lt;&gt;")&lt;=15,24,16))</f>
        <v>32</v>
      </c>
      <c r="AA35" s="15">
        <f>IF(COUNTIF('Résultats des tournois'!$B35:'Résultats des tournois'!AA35,"&lt;&gt;")&lt;=5,32,IF(COUNTIF('Résultats des tournois'!$B35:'Résultats des tournois'!AA35,"&lt;&gt;")&lt;=15,24,16))</f>
        <v>32</v>
      </c>
      <c r="AB35" s="15">
        <f>IF(COUNTIF('Résultats des tournois'!$B35:'Résultats des tournois'!AB35,"&lt;&gt;")&lt;=5,32,IF(COUNTIF('Résultats des tournois'!$B35:'Résultats des tournois'!AB35,"&lt;&gt;")&lt;=15,24,16))</f>
        <v>32</v>
      </c>
      <c r="AC35" s="15">
        <f>IF(COUNTIF('Résultats des tournois'!$B35:'Résultats des tournois'!AC35,"&lt;&gt;")&lt;=5,32,IF(COUNTIF('Résultats des tournois'!$B35:'Résultats des tournois'!AC35,"&lt;&gt;")&lt;=15,24,16))</f>
        <v>32</v>
      </c>
      <c r="AD35" s="15">
        <f>IF(COUNTIF('Résultats des tournois'!$B35:'Résultats des tournois'!AD35,"&lt;&gt;")&lt;=5,32,IF(COUNTIF('Résultats des tournois'!$B35:'Résultats des tournois'!AD35,"&lt;&gt;")&lt;=15,24,16))</f>
        <v>32</v>
      </c>
      <c r="AE35" s="15">
        <f>IF(COUNTIF('Résultats des tournois'!$B35:'Résultats des tournois'!AE35,"&lt;&gt;")&lt;=5,32,IF(COUNTIF('Résultats des tournois'!$B35:'Résultats des tournois'!AE35,"&lt;&gt;")&lt;=15,24,16))</f>
        <v>32</v>
      </c>
      <c r="AF35" s="15">
        <f>IF(COUNTIF('Résultats des tournois'!$B35:'Résultats des tournois'!AF35,"&lt;&gt;")&lt;=5,32,IF(COUNTIF('Résultats des tournois'!$B35:'Résultats des tournois'!AF35,"&lt;&gt;")&lt;=15,24,16))</f>
        <v>32</v>
      </c>
      <c r="AG35" s="15">
        <f>IF(COUNTIF('Résultats des tournois'!$B35:'Résultats des tournois'!AG35,"&lt;&gt;")&lt;=5,32,IF(COUNTIF('Résultats des tournois'!$B35:'Résultats des tournois'!AG35,"&lt;&gt;")&lt;=15,24,16))</f>
        <v>32</v>
      </c>
      <c r="AH35" s="15">
        <f>IF(COUNTIF('Résultats des tournois'!$B35:'Résultats des tournois'!AH35,"&lt;&gt;")&lt;=5,32,IF(COUNTIF('Résultats des tournois'!$B35:'Résultats des tournois'!AH35,"&lt;&gt;")&lt;=15,24,16))</f>
        <v>32</v>
      </c>
      <c r="AI35" s="15">
        <f>IF(COUNTIF('Résultats des tournois'!$B35:'Résultats des tournois'!AI35,"&lt;&gt;")&lt;=5,32,IF(COUNTIF('Résultats des tournois'!$B35:'Résultats des tournois'!AI35,"&lt;&gt;")&lt;=15,24,16))</f>
        <v>32</v>
      </c>
      <c r="AJ35" s="15">
        <f>IF(COUNTIF('Résultats des tournois'!$B35:'Résultats des tournois'!AJ35,"&lt;&gt;")&lt;=5,32,IF(COUNTIF('Résultats des tournois'!$B35:'Résultats des tournois'!AJ35,"&lt;&gt;")&lt;=15,24,16))</f>
        <v>32</v>
      </c>
      <c r="AK35" s="15">
        <f>IF(COUNTIF('Résultats des tournois'!$B35:'Résultats des tournois'!AK35,"&lt;&gt;")&lt;=5,32,IF(COUNTIF('Résultats des tournois'!$B35:'Résultats des tournois'!AK35,"&lt;&gt;")&lt;=15,24,16))</f>
        <v>32</v>
      </c>
      <c r="AL35" s="15">
        <f>IF(COUNTIF('Résultats des tournois'!$B35:'Résultats des tournois'!AL35,"&lt;&gt;")&lt;=5,32,IF(COUNTIF('Résultats des tournois'!$B35:'Résultats des tournois'!AL35,"&lt;&gt;")&lt;=15,24,16))</f>
        <v>32</v>
      </c>
      <c r="AM35" s="15">
        <f>IF(COUNTIF('Résultats des tournois'!$B35:'Résultats des tournois'!AM35,"&lt;&gt;")&lt;=5,32,IF(COUNTIF('Résultats des tournois'!$B35:'Résultats des tournois'!AM35,"&lt;&gt;")&lt;=15,24,16))</f>
        <v>32</v>
      </c>
      <c r="AN35" s="15">
        <f>IF(COUNTIF('Résultats des tournois'!$B35:'Résultats des tournois'!AN35,"&lt;&gt;")&lt;=5,32,IF(COUNTIF('Résultats des tournois'!$B35:'Résultats des tournois'!AN35,"&lt;&gt;")&lt;=15,24,16))</f>
        <v>32</v>
      </c>
      <c r="AO35" s="15">
        <f>IF(COUNTIF('Résultats des tournois'!$B35:'Résultats des tournois'!AO35,"&lt;&gt;")&lt;=5,32,IF(COUNTIF('Résultats des tournois'!$B35:'Résultats des tournois'!AO35,"&lt;&gt;")&lt;=15,24,16))</f>
        <v>32</v>
      </c>
      <c r="AP35" s="15">
        <f>IF(COUNTIF('Résultats des tournois'!$B35:'Résultats des tournois'!AP35,"&lt;&gt;")&lt;=5,32,IF(COUNTIF('Résultats des tournois'!$B35:'Résultats des tournois'!AP35,"&lt;&gt;")&lt;=15,24,16))</f>
        <v>32</v>
      </c>
      <c r="AQ35" s="15">
        <f>IF(COUNTIF('Résultats des tournois'!$B35:'Résultats des tournois'!AQ35,"&lt;&gt;")&lt;=5,32,IF(COUNTIF('Résultats des tournois'!$B35:'Résultats des tournois'!AQ35,"&lt;&gt;")&lt;=15,24,16))</f>
        <v>32</v>
      </c>
      <c r="AR35" s="15">
        <f>IF(COUNTIF('Résultats des tournois'!$B35:'Résultats des tournois'!AR35,"&lt;&gt;")&lt;=5,32,IF(COUNTIF('Résultats des tournois'!$B35:'Résultats des tournois'!AR35,"&lt;&gt;")&lt;=15,24,16))</f>
        <v>32</v>
      </c>
      <c r="AS35" s="15">
        <f>IF(COUNTIF('Résultats des tournois'!$B35:'Résultats des tournois'!AS35,"&lt;&gt;")&lt;=5,32,IF(COUNTIF('Résultats des tournois'!$B35:'Résultats des tournois'!AS35,"&lt;&gt;")&lt;=15,24,16))</f>
        <v>32</v>
      </c>
      <c r="AT35" s="15">
        <f>IF(COUNTIF('Résultats des tournois'!$B35:'Résultats des tournois'!AT35,"&lt;&gt;")&lt;=5,32,IF(COUNTIF('Résultats des tournois'!$B35:'Résultats des tournois'!AT35,"&lt;&gt;")&lt;=15,24,16))</f>
        <v>32</v>
      </c>
      <c r="AU35" s="15">
        <f>IF(COUNTIF('Résultats des tournois'!$B35:'Résultats des tournois'!AU35,"&lt;&gt;")&lt;=5,32,IF(COUNTIF('Résultats des tournois'!$B35:'Résultats des tournois'!AU35,"&lt;&gt;")&lt;=15,24,16))</f>
        <v>32</v>
      </c>
      <c r="AV35" s="15">
        <f>IF(COUNTIF('Résultats des tournois'!$B35:'Résultats des tournois'!AV35,"&lt;&gt;")&lt;=5,32,IF(COUNTIF('Résultats des tournois'!$B35:'Résultats des tournois'!AV35,"&lt;&gt;")&lt;=15,24,16))</f>
        <v>32</v>
      </c>
      <c r="AW35" s="15">
        <f>IF(COUNTIF('Résultats des tournois'!$B35:'Résultats des tournois'!AW35,"&lt;&gt;")&lt;=5,32,IF(COUNTIF('Résultats des tournois'!$B35:'Résultats des tournois'!AW35,"&lt;&gt;")&lt;=15,24,16))</f>
        <v>32</v>
      </c>
      <c r="AX35" s="15">
        <f>IF(COUNTIF('Résultats des tournois'!$B35:'Résultats des tournois'!AX35,"&lt;&gt;")&lt;=5,32,IF(COUNTIF('Résultats des tournois'!$B35:'Résultats des tournois'!AX35,"&lt;&gt;")&lt;=15,24,16))</f>
        <v>32</v>
      </c>
    </row>
    <row r="36" ht="14.25" customHeight="1">
      <c r="A36" s="15" t="str">
        <f>IF('Résultats des tournois'!A36="","",'Résultats des tournois'!A36)</f>
        <v/>
      </c>
      <c r="B36" s="15">
        <f>IF(COUNTIF('Résultats des tournois'!B36,"&lt;&gt;")&lt;=5,32,IF(COUNTIF('Résultats des tournois'!B36,"&lt;&gt;")&lt;=15,24,16))</f>
        <v>32</v>
      </c>
      <c r="C36" s="15">
        <f>IF(COUNTIF('Résultats des tournois'!$B36:'Résultats des tournois'!C36,"&lt;&gt;")&lt;=5,32,IF(COUNTIF('Résultats des tournois'!$B36:'Résultats des tournois'!C36,"&lt;&gt;")&lt;=15,24,16))</f>
        <v>32</v>
      </c>
      <c r="D36" s="15">
        <f>IF(COUNTIF('Résultats des tournois'!$B36:'Résultats des tournois'!D36,"&lt;&gt;")&lt;=5,32,IF(COUNTIF('Résultats des tournois'!$B36:'Résultats des tournois'!D36,"&lt;&gt;")&lt;=15,24,16))</f>
        <v>32</v>
      </c>
      <c r="E36" s="15">
        <f>IF(COUNTIF('Résultats des tournois'!$B36:'Résultats des tournois'!E36,"&lt;&gt;")&lt;=5,32,IF(COUNTIF('Résultats des tournois'!$B36:'Résultats des tournois'!E36,"&lt;&gt;")&lt;=15,24,16))</f>
        <v>32</v>
      </c>
      <c r="F36" s="15">
        <f>IF(COUNTIF('Résultats des tournois'!$B36:'Résultats des tournois'!F36,"&lt;&gt;")&lt;=5,32,IF(COUNTIF('Résultats des tournois'!$B36:'Résultats des tournois'!F36,"&lt;&gt;")&lt;=15,24,16))</f>
        <v>32</v>
      </c>
      <c r="G36" s="15">
        <f>IF(COUNTIF('Résultats des tournois'!$B36:'Résultats des tournois'!G36,"&lt;&gt;")&lt;=5,32,IF(COUNTIF('Résultats des tournois'!$B36:'Résultats des tournois'!G36,"&lt;&gt;")&lt;=15,24,16))</f>
        <v>32</v>
      </c>
      <c r="H36" s="15">
        <f>IF(COUNTIF('Résultats des tournois'!$B36:'Résultats des tournois'!H36,"&lt;&gt;")&lt;=5,32,IF(COUNTIF('Résultats des tournois'!$B36:'Résultats des tournois'!H36,"&lt;&gt;")&lt;=15,24,16))</f>
        <v>32</v>
      </c>
      <c r="I36" s="15">
        <f>IF(COUNTIF('Résultats des tournois'!$B36:'Résultats des tournois'!I36,"&lt;&gt;")&lt;=5,32,IF(COUNTIF('Résultats des tournois'!$B36:'Résultats des tournois'!I36,"&lt;&gt;")&lt;=15,24,16))</f>
        <v>32</v>
      </c>
      <c r="J36" s="15">
        <f>IF(COUNTIF('Résultats des tournois'!$B36:'Résultats des tournois'!J36,"&lt;&gt;")&lt;=5,32,IF(COUNTIF('Résultats des tournois'!$B36:'Résultats des tournois'!J36,"&lt;&gt;")&lt;=15,24,16))</f>
        <v>32</v>
      </c>
      <c r="K36" s="15">
        <f>IF(COUNTIF('Résultats des tournois'!$B36:'Résultats des tournois'!K36,"&lt;&gt;")&lt;=5,32,IF(COUNTIF('Résultats des tournois'!$B36:'Résultats des tournois'!K36,"&lt;&gt;")&lt;=15,24,16))</f>
        <v>32</v>
      </c>
      <c r="L36" s="15">
        <f>IF(COUNTIF('Résultats des tournois'!$B36:'Résultats des tournois'!L36,"&lt;&gt;")&lt;=5,32,IF(COUNTIF('Résultats des tournois'!$B36:'Résultats des tournois'!L36,"&lt;&gt;")&lt;=15,24,16))</f>
        <v>32</v>
      </c>
      <c r="M36" s="15">
        <f>IF(COUNTIF('Résultats des tournois'!$B36:'Résultats des tournois'!M36,"&lt;&gt;")&lt;=5,32,IF(COUNTIF('Résultats des tournois'!$B36:'Résultats des tournois'!M36,"&lt;&gt;")&lt;=15,24,16))</f>
        <v>32</v>
      </c>
      <c r="N36" s="15">
        <f>IF(COUNTIF('Résultats des tournois'!$B36:'Résultats des tournois'!N36,"&lt;&gt;")&lt;=5,32,IF(COUNTIF('Résultats des tournois'!$B36:'Résultats des tournois'!N36,"&lt;&gt;")&lt;=15,24,16))</f>
        <v>32</v>
      </c>
      <c r="O36" s="15">
        <f>IF(COUNTIF('Résultats des tournois'!$B36:'Résultats des tournois'!O36,"&lt;&gt;")&lt;=5,32,IF(COUNTIF('Résultats des tournois'!$B36:'Résultats des tournois'!O36,"&lt;&gt;")&lt;=15,24,16))</f>
        <v>32</v>
      </c>
      <c r="P36" s="15">
        <f>IF(COUNTIF('Résultats des tournois'!$B36:'Résultats des tournois'!P36,"&lt;&gt;")&lt;=5,32,IF(COUNTIF('Résultats des tournois'!$B36:'Résultats des tournois'!P36,"&lt;&gt;")&lt;=15,24,16))</f>
        <v>32</v>
      </c>
      <c r="Q36" s="15">
        <f>IF(COUNTIF('Résultats des tournois'!$B36:'Résultats des tournois'!Q36,"&lt;&gt;")&lt;=5,32,IF(COUNTIF('Résultats des tournois'!$B36:'Résultats des tournois'!Q36,"&lt;&gt;")&lt;=15,24,16))</f>
        <v>32</v>
      </c>
      <c r="R36" s="15">
        <f>IF(COUNTIF('Résultats des tournois'!$B36:'Résultats des tournois'!R36,"&lt;&gt;")&lt;=5,32,IF(COUNTIF('Résultats des tournois'!$B36:'Résultats des tournois'!R36,"&lt;&gt;")&lt;=15,24,16))</f>
        <v>32</v>
      </c>
      <c r="S36" s="15">
        <f>IF(COUNTIF('Résultats des tournois'!$B36:'Résultats des tournois'!S36,"&lt;&gt;")&lt;=5,32,IF(COUNTIF('Résultats des tournois'!$B36:'Résultats des tournois'!S36,"&lt;&gt;")&lt;=15,24,16))</f>
        <v>32</v>
      </c>
      <c r="T36" s="15">
        <f>IF(COUNTIF('Résultats des tournois'!$B36:'Résultats des tournois'!T36,"&lt;&gt;")&lt;=5,32,IF(COUNTIF('Résultats des tournois'!$B36:'Résultats des tournois'!T36,"&lt;&gt;")&lt;=15,24,16))</f>
        <v>32</v>
      </c>
      <c r="U36" s="15">
        <f>IF(COUNTIF('Résultats des tournois'!$B36:'Résultats des tournois'!U36,"&lt;&gt;")&lt;=5,32,IF(COUNTIF('Résultats des tournois'!$B36:'Résultats des tournois'!U36,"&lt;&gt;")&lt;=15,24,16))</f>
        <v>32</v>
      </c>
      <c r="V36" s="15">
        <f>IF(COUNTIF('Résultats des tournois'!$B36:'Résultats des tournois'!V36,"&lt;&gt;")&lt;=5,32,IF(COUNTIF('Résultats des tournois'!$B36:'Résultats des tournois'!V36,"&lt;&gt;")&lt;=15,24,16))</f>
        <v>32</v>
      </c>
      <c r="W36" s="15">
        <f>IF(COUNTIF('Résultats des tournois'!$B36:'Résultats des tournois'!W36,"&lt;&gt;")&lt;=5,32,IF(COUNTIF('Résultats des tournois'!$B36:'Résultats des tournois'!W36,"&lt;&gt;")&lt;=15,24,16))</f>
        <v>32</v>
      </c>
      <c r="X36" s="15">
        <f>IF(COUNTIF('Résultats des tournois'!$B36:'Résultats des tournois'!X36,"&lt;&gt;")&lt;=5,32,IF(COUNTIF('Résultats des tournois'!$B36:'Résultats des tournois'!X36,"&lt;&gt;")&lt;=15,24,16))</f>
        <v>32</v>
      </c>
      <c r="Y36" s="15">
        <f>IF(COUNTIF('Résultats des tournois'!$B36:'Résultats des tournois'!Y36,"&lt;&gt;")&lt;=5,32,IF(COUNTIF('Résultats des tournois'!$B36:'Résultats des tournois'!Y36,"&lt;&gt;")&lt;=15,24,16))</f>
        <v>32</v>
      </c>
      <c r="Z36" s="15">
        <f>IF(COUNTIF('Résultats des tournois'!$B36:'Résultats des tournois'!Z36,"&lt;&gt;")&lt;=5,32,IF(COUNTIF('Résultats des tournois'!$B36:'Résultats des tournois'!Z36,"&lt;&gt;")&lt;=15,24,16))</f>
        <v>32</v>
      </c>
      <c r="AA36" s="15">
        <f>IF(COUNTIF('Résultats des tournois'!$B36:'Résultats des tournois'!AA36,"&lt;&gt;")&lt;=5,32,IF(COUNTIF('Résultats des tournois'!$B36:'Résultats des tournois'!AA36,"&lt;&gt;")&lt;=15,24,16))</f>
        <v>32</v>
      </c>
      <c r="AB36" s="15">
        <f>IF(COUNTIF('Résultats des tournois'!$B36:'Résultats des tournois'!AB36,"&lt;&gt;")&lt;=5,32,IF(COUNTIF('Résultats des tournois'!$B36:'Résultats des tournois'!AB36,"&lt;&gt;")&lt;=15,24,16))</f>
        <v>32</v>
      </c>
      <c r="AC36" s="15">
        <f>IF(COUNTIF('Résultats des tournois'!$B36:'Résultats des tournois'!AC36,"&lt;&gt;")&lt;=5,32,IF(COUNTIF('Résultats des tournois'!$B36:'Résultats des tournois'!AC36,"&lt;&gt;")&lt;=15,24,16))</f>
        <v>32</v>
      </c>
      <c r="AD36" s="15">
        <f>IF(COUNTIF('Résultats des tournois'!$B36:'Résultats des tournois'!AD36,"&lt;&gt;")&lt;=5,32,IF(COUNTIF('Résultats des tournois'!$B36:'Résultats des tournois'!AD36,"&lt;&gt;")&lt;=15,24,16))</f>
        <v>32</v>
      </c>
      <c r="AE36" s="15">
        <f>IF(COUNTIF('Résultats des tournois'!$B36:'Résultats des tournois'!AE36,"&lt;&gt;")&lt;=5,32,IF(COUNTIF('Résultats des tournois'!$B36:'Résultats des tournois'!AE36,"&lt;&gt;")&lt;=15,24,16))</f>
        <v>32</v>
      </c>
      <c r="AF36" s="15">
        <f>IF(COUNTIF('Résultats des tournois'!$B36:'Résultats des tournois'!AF36,"&lt;&gt;")&lt;=5,32,IF(COUNTIF('Résultats des tournois'!$B36:'Résultats des tournois'!AF36,"&lt;&gt;")&lt;=15,24,16))</f>
        <v>32</v>
      </c>
      <c r="AG36" s="15">
        <f>IF(COUNTIF('Résultats des tournois'!$B36:'Résultats des tournois'!AG36,"&lt;&gt;")&lt;=5,32,IF(COUNTIF('Résultats des tournois'!$B36:'Résultats des tournois'!AG36,"&lt;&gt;")&lt;=15,24,16))</f>
        <v>32</v>
      </c>
      <c r="AH36" s="15">
        <f>IF(COUNTIF('Résultats des tournois'!$B36:'Résultats des tournois'!AH36,"&lt;&gt;")&lt;=5,32,IF(COUNTIF('Résultats des tournois'!$B36:'Résultats des tournois'!AH36,"&lt;&gt;")&lt;=15,24,16))</f>
        <v>32</v>
      </c>
      <c r="AI36" s="15">
        <f>IF(COUNTIF('Résultats des tournois'!$B36:'Résultats des tournois'!AI36,"&lt;&gt;")&lt;=5,32,IF(COUNTIF('Résultats des tournois'!$B36:'Résultats des tournois'!AI36,"&lt;&gt;")&lt;=15,24,16))</f>
        <v>32</v>
      </c>
      <c r="AJ36" s="15">
        <f>IF(COUNTIF('Résultats des tournois'!$B36:'Résultats des tournois'!AJ36,"&lt;&gt;")&lt;=5,32,IF(COUNTIF('Résultats des tournois'!$B36:'Résultats des tournois'!AJ36,"&lt;&gt;")&lt;=15,24,16))</f>
        <v>32</v>
      </c>
      <c r="AK36" s="15">
        <f>IF(COUNTIF('Résultats des tournois'!$B36:'Résultats des tournois'!AK36,"&lt;&gt;")&lt;=5,32,IF(COUNTIF('Résultats des tournois'!$B36:'Résultats des tournois'!AK36,"&lt;&gt;")&lt;=15,24,16))</f>
        <v>32</v>
      </c>
      <c r="AL36" s="15">
        <f>IF(COUNTIF('Résultats des tournois'!$B36:'Résultats des tournois'!AL36,"&lt;&gt;")&lt;=5,32,IF(COUNTIF('Résultats des tournois'!$B36:'Résultats des tournois'!AL36,"&lt;&gt;")&lt;=15,24,16))</f>
        <v>32</v>
      </c>
      <c r="AM36" s="15">
        <f>IF(COUNTIF('Résultats des tournois'!$B36:'Résultats des tournois'!AM36,"&lt;&gt;")&lt;=5,32,IF(COUNTIF('Résultats des tournois'!$B36:'Résultats des tournois'!AM36,"&lt;&gt;")&lt;=15,24,16))</f>
        <v>32</v>
      </c>
      <c r="AN36" s="15">
        <f>IF(COUNTIF('Résultats des tournois'!$B36:'Résultats des tournois'!AN36,"&lt;&gt;")&lt;=5,32,IF(COUNTIF('Résultats des tournois'!$B36:'Résultats des tournois'!AN36,"&lt;&gt;")&lt;=15,24,16))</f>
        <v>32</v>
      </c>
      <c r="AO36" s="15">
        <f>IF(COUNTIF('Résultats des tournois'!$B36:'Résultats des tournois'!AO36,"&lt;&gt;")&lt;=5,32,IF(COUNTIF('Résultats des tournois'!$B36:'Résultats des tournois'!AO36,"&lt;&gt;")&lt;=15,24,16))</f>
        <v>32</v>
      </c>
      <c r="AP36" s="15">
        <f>IF(COUNTIF('Résultats des tournois'!$B36:'Résultats des tournois'!AP36,"&lt;&gt;")&lt;=5,32,IF(COUNTIF('Résultats des tournois'!$B36:'Résultats des tournois'!AP36,"&lt;&gt;")&lt;=15,24,16))</f>
        <v>32</v>
      </c>
      <c r="AQ36" s="15">
        <f>IF(COUNTIF('Résultats des tournois'!$B36:'Résultats des tournois'!AQ36,"&lt;&gt;")&lt;=5,32,IF(COUNTIF('Résultats des tournois'!$B36:'Résultats des tournois'!AQ36,"&lt;&gt;")&lt;=15,24,16))</f>
        <v>32</v>
      </c>
      <c r="AR36" s="15">
        <f>IF(COUNTIF('Résultats des tournois'!$B36:'Résultats des tournois'!AR36,"&lt;&gt;")&lt;=5,32,IF(COUNTIF('Résultats des tournois'!$B36:'Résultats des tournois'!AR36,"&lt;&gt;")&lt;=15,24,16))</f>
        <v>32</v>
      </c>
      <c r="AS36" s="15">
        <f>IF(COUNTIF('Résultats des tournois'!$B36:'Résultats des tournois'!AS36,"&lt;&gt;")&lt;=5,32,IF(COUNTIF('Résultats des tournois'!$B36:'Résultats des tournois'!AS36,"&lt;&gt;")&lt;=15,24,16))</f>
        <v>32</v>
      </c>
      <c r="AT36" s="15">
        <f>IF(COUNTIF('Résultats des tournois'!$B36:'Résultats des tournois'!AT36,"&lt;&gt;")&lt;=5,32,IF(COUNTIF('Résultats des tournois'!$B36:'Résultats des tournois'!AT36,"&lt;&gt;")&lt;=15,24,16))</f>
        <v>32</v>
      </c>
      <c r="AU36" s="15">
        <f>IF(COUNTIF('Résultats des tournois'!$B36:'Résultats des tournois'!AU36,"&lt;&gt;")&lt;=5,32,IF(COUNTIF('Résultats des tournois'!$B36:'Résultats des tournois'!AU36,"&lt;&gt;")&lt;=15,24,16))</f>
        <v>32</v>
      </c>
      <c r="AV36" s="15">
        <f>IF(COUNTIF('Résultats des tournois'!$B36:'Résultats des tournois'!AV36,"&lt;&gt;")&lt;=5,32,IF(COUNTIF('Résultats des tournois'!$B36:'Résultats des tournois'!AV36,"&lt;&gt;")&lt;=15,24,16))</f>
        <v>32</v>
      </c>
      <c r="AW36" s="15">
        <f>IF(COUNTIF('Résultats des tournois'!$B36:'Résultats des tournois'!AW36,"&lt;&gt;")&lt;=5,32,IF(COUNTIF('Résultats des tournois'!$B36:'Résultats des tournois'!AW36,"&lt;&gt;")&lt;=15,24,16))</f>
        <v>32</v>
      </c>
      <c r="AX36" s="15">
        <f>IF(COUNTIF('Résultats des tournois'!$B36:'Résultats des tournois'!AX36,"&lt;&gt;")&lt;=5,32,IF(COUNTIF('Résultats des tournois'!$B36:'Résultats des tournois'!AX36,"&lt;&gt;")&lt;=15,24,16))</f>
        <v>32</v>
      </c>
    </row>
    <row r="37" ht="14.25" customHeight="1">
      <c r="A37" s="15" t="str">
        <f>IF('Résultats des tournois'!A37="","",'Résultats des tournois'!A37)</f>
        <v/>
      </c>
      <c r="B37" s="15">
        <f>IF(COUNTIF('Résultats des tournois'!B37,"&lt;&gt;")&lt;=5,32,IF(COUNTIF('Résultats des tournois'!B37,"&lt;&gt;")&lt;=15,24,16))</f>
        <v>32</v>
      </c>
      <c r="C37" s="15">
        <f>IF(COUNTIF('Résultats des tournois'!$B37:'Résultats des tournois'!C37,"&lt;&gt;")&lt;=5,32,IF(COUNTIF('Résultats des tournois'!$B37:'Résultats des tournois'!C37,"&lt;&gt;")&lt;=15,24,16))</f>
        <v>32</v>
      </c>
      <c r="D37" s="15">
        <f>IF(COUNTIF('Résultats des tournois'!$B37:'Résultats des tournois'!D37,"&lt;&gt;")&lt;=5,32,IF(COUNTIF('Résultats des tournois'!$B37:'Résultats des tournois'!D37,"&lt;&gt;")&lt;=15,24,16))</f>
        <v>32</v>
      </c>
      <c r="E37" s="15">
        <f>IF(COUNTIF('Résultats des tournois'!$B37:'Résultats des tournois'!E37,"&lt;&gt;")&lt;=5,32,IF(COUNTIF('Résultats des tournois'!$B37:'Résultats des tournois'!E37,"&lt;&gt;")&lt;=15,24,16))</f>
        <v>32</v>
      </c>
      <c r="F37" s="15">
        <f>IF(COUNTIF('Résultats des tournois'!$B37:'Résultats des tournois'!F37,"&lt;&gt;")&lt;=5,32,IF(COUNTIF('Résultats des tournois'!$B37:'Résultats des tournois'!F37,"&lt;&gt;")&lt;=15,24,16))</f>
        <v>32</v>
      </c>
      <c r="G37" s="15">
        <f>IF(COUNTIF('Résultats des tournois'!$B37:'Résultats des tournois'!G37,"&lt;&gt;")&lt;=5,32,IF(COUNTIF('Résultats des tournois'!$B37:'Résultats des tournois'!G37,"&lt;&gt;")&lt;=15,24,16))</f>
        <v>32</v>
      </c>
      <c r="H37" s="15">
        <f>IF(COUNTIF('Résultats des tournois'!$B37:'Résultats des tournois'!H37,"&lt;&gt;")&lt;=5,32,IF(COUNTIF('Résultats des tournois'!$B37:'Résultats des tournois'!H37,"&lt;&gt;")&lt;=15,24,16))</f>
        <v>32</v>
      </c>
      <c r="I37" s="15">
        <f>IF(COUNTIF('Résultats des tournois'!$B37:'Résultats des tournois'!I37,"&lt;&gt;")&lt;=5,32,IF(COUNTIF('Résultats des tournois'!$B37:'Résultats des tournois'!I37,"&lt;&gt;")&lt;=15,24,16))</f>
        <v>32</v>
      </c>
      <c r="J37" s="15">
        <f>IF(COUNTIF('Résultats des tournois'!$B37:'Résultats des tournois'!J37,"&lt;&gt;")&lt;=5,32,IF(COUNTIF('Résultats des tournois'!$B37:'Résultats des tournois'!J37,"&lt;&gt;")&lt;=15,24,16))</f>
        <v>32</v>
      </c>
      <c r="K37" s="15">
        <f>IF(COUNTIF('Résultats des tournois'!$B37:'Résultats des tournois'!K37,"&lt;&gt;")&lt;=5,32,IF(COUNTIF('Résultats des tournois'!$B37:'Résultats des tournois'!K37,"&lt;&gt;")&lt;=15,24,16))</f>
        <v>32</v>
      </c>
      <c r="L37" s="15">
        <f>IF(COUNTIF('Résultats des tournois'!$B37:'Résultats des tournois'!L37,"&lt;&gt;")&lt;=5,32,IF(COUNTIF('Résultats des tournois'!$B37:'Résultats des tournois'!L37,"&lt;&gt;")&lt;=15,24,16))</f>
        <v>32</v>
      </c>
      <c r="M37" s="15">
        <f>IF(COUNTIF('Résultats des tournois'!$B37:'Résultats des tournois'!M37,"&lt;&gt;")&lt;=5,32,IF(COUNTIF('Résultats des tournois'!$B37:'Résultats des tournois'!M37,"&lt;&gt;")&lt;=15,24,16))</f>
        <v>32</v>
      </c>
      <c r="N37" s="15">
        <f>IF(COUNTIF('Résultats des tournois'!$B37:'Résultats des tournois'!N37,"&lt;&gt;")&lt;=5,32,IF(COUNTIF('Résultats des tournois'!$B37:'Résultats des tournois'!N37,"&lt;&gt;")&lt;=15,24,16))</f>
        <v>32</v>
      </c>
      <c r="O37" s="15">
        <f>IF(COUNTIF('Résultats des tournois'!$B37:'Résultats des tournois'!O37,"&lt;&gt;")&lt;=5,32,IF(COUNTIF('Résultats des tournois'!$B37:'Résultats des tournois'!O37,"&lt;&gt;")&lt;=15,24,16))</f>
        <v>32</v>
      </c>
      <c r="P37" s="15">
        <f>IF(COUNTIF('Résultats des tournois'!$B37:'Résultats des tournois'!P37,"&lt;&gt;")&lt;=5,32,IF(COUNTIF('Résultats des tournois'!$B37:'Résultats des tournois'!P37,"&lt;&gt;")&lt;=15,24,16))</f>
        <v>32</v>
      </c>
      <c r="Q37" s="15">
        <f>IF(COUNTIF('Résultats des tournois'!$B37:'Résultats des tournois'!Q37,"&lt;&gt;")&lt;=5,32,IF(COUNTIF('Résultats des tournois'!$B37:'Résultats des tournois'!Q37,"&lt;&gt;")&lt;=15,24,16))</f>
        <v>32</v>
      </c>
      <c r="R37" s="15">
        <f>IF(COUNTIF('Résultats des tournois'!$B37:'Résultats des tournois'!R37,"&lt;&gt;")&lt;=5,32,IF(COUNTIF('Résultats des tournois'!$B37:'Résultats des tournois'!R37,"&lt;&gt;")&lt;=15,24,16))</f>
        <v>32</v>
      </c>
      <c r="S37" s="15">
        <f>IF(COUNTIF('Résultats des tournois'!$B37:'Résultats des tournois'!S37,"&lt;&gt;")&lt;=5,32,IF(COUNTIF('Résultats des tournois'!$B37:'Résultats des tournois'!S37,"&lt;&gt;")&lt;=15,24,16))</f>
        <v>32</v>
      </c>
      <c r="T37" s="15">
        <f>IF(COUNTIF('Résultats des tournois'!$B37:'Résultats des tournois'!T37,"&lt;&gt;")&lt;=5,32,IF(COUNTIF('Résultats des tournois'!$B37:'Résultats des tournois'!T37,"&lt;&gt;")&lt;=15,24,16))</f>
        <v>32</v>
      </c>
      <c r="U37" s="15">
        <f>IF(COUNTIF('Résultats des tournois'!$B37:'Résultats des tournois'!U37,"&lt;&gt;")&lt;=5,32,IF(COUNTIF('Résultats des tournois'!$B37:'Résultats des tournois'!U37,"&lt;&gt;")&lt;=15,24,16))</f>
        <v>32</v>
      </c>
      <c r="V37" s="15">
        <f>IF(COUNTIF('Résultats des tournois'!$B37:'Résultats des tournois'!V37,"&lt;&gt;")&lt;=5,32,IF(COUNTIF('Résultats des tournois'!$B37:'Résultats des tournois'!V37,"&lt;&gt;")&lt;=15,24,16))</f>
        <v>32</v>
      </c>
      <c r="W37" s="15">
        <f>IF(COUNTIF('Résultats des tournois'!$B37:'Résultats des tournois'!W37,"&lt;&gt;")&lt;=5,32,IF(COUNTIF('Résultats des tournois'!$B37:'Résultats des tournois'!W37,"&lt;&gt;")&lt;=15,24,16))</f>
        <v>32</v>
      </c>
      <c r="X37" s="15">
        <f>IF(COUNTIF('Résultats des tournois'!$B37:'Résultats des tournois'!X37,"&lt;&gt;")&lt;=5,32,IF(COUNTIF('Résultats des tournois'!$B37:'Résultats des tournois'!X37,"&lt;&gt;")&lt;=15,24,16))</f>
        <v>32</v>
      </c>
      <c r="Y37" s="15">
        <f>IF(COUNTIF('Résultats des tournois'!$B37:'Résultats des tournois'!Y37,"&lt;&gt;")&lt;=5,32,IF(COUNTIF('Résultats des tournois'!$B37:'Résultats des tournois'!Y37,"&lt;&gt;")&lt;=15,24,16))</f>
        <v>32</v>
      </c>
      <c r="Z37" s="15">
        <f>IF(COUNTIF('Résultats des tournois'!$B37:'Résultats des tournois'!Z37,"&lt;&gt;")&lt;=5,32,IF(COUNTIF('Résultats des tournois'!$B37:'Résultats des tournois'!Z37,"&lt;&gt;")&lt;=15,24,16))</f>
        <v>32</v>
      </c>
      <c r="AA37" s="15">
        <f>IF(COUNTIF('Résultats des tournois'!$B37:'Résultats des tournois'!AA37,"&lt;&gt;")&lt;=5,32,IF(COUNTIF('Résultats des tournois'!$B37:'Résultats des tournois'!AA37,"&lt;&gt;")&lt;=15,24,16))</f>
        <v>32</v>
      </c>
      <c r="AB37" s="15">
        <f>IF(COUNTIF('Résultats des tournois'!$B37:'Résultats des tournois'!AB37,"&lt;&gt;")&lt;=5,32,IF(COUNTIF('Résultats des tournois'!$B37:'Résultats des tournois'!AB37,"&lt;&gt;")&lt;=15,24,16))</f>
        <v>32</v>
      </c>
      <c r="AC37" s="15">
        <f>IF(COUNTIF('Résultats des tournois'!$B37:'Résultats des tournois'!AC37,"&lt;&gt;")&lt;=5,32,IF(COUNTIF('Résultats des tournois'!$B37:'Résultats des tournois'!AC37,"&lt;&gt;")&lt;=15,24,16))</f>
        <v>32</v>
      </c>
      <c r="AD37" s="15">
        <f>IF(COUNTIF('Résultats des tournois'!$B37:'Résultats des tournois'!AD37,"&lt;&gt;")&lt;=5,32,IF(COUNTIF('Résultats des tournois'!$B37:'Résultats des tournois'!AD37,"&lt;&gt;")&lt;=15,24,16))</f>
        <v>32</v>
      </c>
      <c r="AE37" s="15">
        <f>IF(COUNTIF('Résultats des tournois'!$B37:'Résultats des tournois'!AE37,"&lt;&gt;")&lt;=5,32,IF(COUNTIF('Résultats des tournois'!$B37:'Résultats des tournois'!AE37,"&lt;&gt;")&lt;=15,24,16))</f>
        <v>32</v>
      </c>
      <c r="AF37" s="15">
        <f>IF(COUNTIF('Résultats des tournois'!$B37:'Résultats des tournois'!AF37,"&lt;&gt;")&lt;=5,32,IF(COUNTIF('Résultats des tournois'!$B37:'Résultats des tournois'!AF37,"&lt;&gt;")&lt;=15,24,16))</f>
        <v>32</v>
      </c>
      <c r="AG37" s="15">
        <f>IF(COUNTIF('Résultats des tournois'!$B37:'Résultats des tournois'!AG37,"&lt;&gt;")&lt;=5,32,IF(COUNTIF('Résultats des tournois'!$B37:'Résultats des tournois'!AG37,"&lt;&gt;")&lt;=15,24,16))</f>
        <v>32</v>
      </c>
      <c r="AH37" s="15">
        <f>IF(COUNTIF('Résultats des tournois'!$B37:'Résultats des tournois'!AH37,"&lt;&gt;")&lt;=5,32,IF(COUNTIF('Résultats des tournois'!$B37:'Résultats des tournois'!AH37,"&lt;&gt;")&lt;=15,24,16))</f>
        <v>32</v>
      </c>
      <c r="AI37" s="15">
        <f>IF(COUNTIF('Résultats des tournois'!$B37:'Résultats des tournois'!AI37,"&lt;&gt;")&lt;=5,32,IF(COUNTIF('Résultats des tournois'!$B37:'Résultats des tournois'!AI37,"&lt;&gt;")&lt;=15,24,16))</f>
        <v>32</v>
      </c>
      <c r="AJ37" s="15">
        <f>IF(COUNTIF('Résultats des tournois'!$B37:'Résultats des tournois'!AJ37,"&lt;&gt;")&lt;=5,32,IF(COUNTIF('Résultats des tournois'!$B37:'Résultats des tournois'!AJ37,"&lt;&gt;")&lt;=15,24,16))</f>
        <v>32</v>
      </c>
      <c r="AK37" s="15">
        <f>IF(COUNTIF('Résultats des tournois'!$B37:'Résultats des tournois'!AK37,"&lt;&gt;")&lt;=5,32,IF(COUNTIF('Résultats des tournois'!$B37:'Résultats des tournois'!AK37,"&lt;&gt;")&lt;=15,24,16))</f>
        <v>32</v>
      </c>
      <c r="AL37" s="15">
        <f>IF(COUNTIF('Résultats des tournois'!$B37:'Résultats des tournois'!AL37,"&lt;&gt;")&lt;=5,32,IF(COUNTIF('Résultats des tournois'!$B37:'Résultats des tournois'!AL37,"&lt;&gt;")&lt;=15,24,16))</f>
        <v>32</v>
      </c>
      <c r="AM37" s="15">
        <f>IF(COUNTIF('Résultats des tournois'!$B37:'Résultats des tournois'!AM37,"&lt;&gt;")&lt;=5,32,IF(COUNTIF('Résultats des tournois'!$B37:'Résultats des tournois'!AM37,"&lt;&gt;")&lt;=15,24,16))</f>
        <v>32</v>
      </c>
      <c r="AN37" s="15">
        <f>IF(COUNTIF('Résultats des tournois'!$B37:'Résultats des tournois'!AN37,"&lt;&gt;")&lt;=5,32,IF(COUNTIF('Résultats des tournois'!$B37:'Résultats des tournois'!AN37,"&lt;&gt;")&lt;=15,24,16))</f>
        <v>32</v>
      </c>
      <c r="AO37" s="15">
        <f>IF(COUNTIF('Résultats des tournois'!$B37:'Résultats des tournois'!AO37,"&lt;&gt;")&lt;=5,32,IF(COUNTIF('Résultats des tournois'!$B37:'Résultats des tournois'!AO37,"&lt;&gt;")&lt;=15,24,16))</f>
        <v>32</v>
      </c>
      <c r="AP37" s="15">
        <f>IF(COUNTIF('Résultats des tournois'!$B37:'Résultats des tournois'!AP37,"&lt;&gt;")&lt;=5,32,IF(COUNTIF('Résultats des tournois'!$B37:'Résultats des tournois'!AP37,"&lt;&gt;")&lt;=15,24,16))</f>
        <v>32</v>
      </c>
      <c r="AQ37" s="15">
        <f>IF(COUNTIF('Résultats des tournois'!$B37:'Résultats des tournois'!AQ37,"&lt;&gt;")&lt;=5,32,IF(COUNTIF('Résultats des tournois'!$B37:'Résultats des tournois'!AQ37,"&lt;&gt;")&lt;=15,24,16))</f>
        <v>32</v>
      </c>
      <c r="AR37" s="15">
        <f>IF(COUNTIF('Résultats des tournois'!$B37:'Résultats des tournois'!AR37,"&lt;&gt;")&lt;=5,32,IF(COUNTIF('Résultats des tournois'!$B37:'Résultats des tournois'!AR37,"&lt;&gt;")&lt;=15,24,16))</f>
        <v>32</v>
      </c>
      <c r="AS37" s="15">
        <f>IF(COUNTIF('Résultats des tournois'!$B37:'Résultats des tournois'!AS37,"&lt;&gt;")&lt;=5,32,IF(COUNTIF('Résultats des tournois'!$B37:'Résultats des tournois'!AS37,"&lt;&gt;")&lt;=15,24,16))</f>
        <v>32</v>
      </c>
      <c r="AT37" s="15">
        <f>IF(COUNTIF('Résultats des tournois'!$B37:'Résultats des tournois'!AT37,"&lt;&gt;")&lt;=5,32,IF(COUNTIF('Résultats des tournois'!$B37:'Résultats des tournois'!AT37,"&lt;&gt;")&lt;=15,24,16))</f>
        <v>32</v>
      </c>
      <c r="AU37" s="15">
        <f>IF(COUNTIF('Résultats des tournois'!$B37:'Résultats des tournois'!AU37,"&lt;&gt;")&lt;=5,32,IF(COUNTIF('Résultats des tournois'!$B37:'Résultats des tournois'!AU37,"&lt;&gt;")&lt;=15,24,16))</f>
        <v>32</v>
      </c>
      <c r="AV37" s="15">
        <f>IF(COUNTIF('Résultats des tournois'!$B37:'Résultats des tournois'!AV37,"&lt;&gt;")&lt;=5,32,IF(COUNTIF('Résultats des tournois'!$B37:'Résultats des tournois'!AV37,"&lt;&gt;")&lt;=15,24,16))</f>
        <v>32</v>
      </c>
      <c r="AW37" s="15">
        <f>IF(COUNTIF('Résultats des tournois'!$B37:'Résultats des tournois'!AW37,"&lt;&gt;")&lt;=5,32,IF(COUNTIF('Résultats des tournois'!$B37:'Résultats des tournois'!AW37,"&lt;&gt;")&lt;=15,24,16))</f>
        <v>32</v>
      </c>
      <c r="AX37" s="15">
        <f>IF(COUNTIF('Résultats des tournois'!$B37:'Résultats des tournois'!AX37,"&lt;&gt;")&lt;=5,32,IF(COUNTIF('Résultats des tournois'!$B37:'Résultats des tournois'!AX37,"&lt;&gt;")&lt;=15,24,16))</f>
        <v>32</v>
      </c>
    </row>
    <row r="38" ht="14.25" customHeight="1">
      <c r="A38" s="15" t="str">
        <f>IF('Résultats des tournois'!A38="","",'Résultats des tournois'!A38)</f>
        <v/>
      </c>
      <c r="B38" s="15">
        <f>IF(COUNTIF('Résultats des tournois'!B38,"&lt;&gt;")&lt;=5,32,IF(COUNTIF('Résultats des tournois'!B38,"&lt;&gt;")&lt;=15,24,16))</f>
        <v>32</v>
      </c>
      <c r="C38" s="15">
        <f>IF(COUNTIF('Résultats des tournois'!$B38:'Résultats des tournois'!C38,"&lt;&gt;")&lt;=5,32,IF(COUNTIF('Résultats des tournois'!$B38:'Résultats des tournois'!C38,"&lt;&gt;")&lt;=15,24,16))</f>
        <v>32</v>
      </c>
      <c r="D38" s="15">
        <f>IF(COUNTIF('Résultats des tournois'!$B38:'Résultats des tournois'!D38,"&lt;&gt;")&lt;=5,32,IF(COUNTIF('Résultats des tournois'!$B38:'Résultats des tournois'!D38,"&lt;&gt;")&lt;=15,24,16))</f>
        <v>32</v>
      </c>
      <c r="E38" s="15">
        <f>IF(COUNTIF('Résultats des tournois'!$B38:'Résultats des tournois'!E38,"&lt;&gt;")&lt;=5,32,IF(COUNTIF('Résultats des tournois'!$B38:'Résultats des tournois'!E38,"&lt;&gt;")&lt;=15,24,16))</f>
        <v>32</v>
      </c>
      <c r="F38" s="15">
        <f>IF(COUNTIF('Résultats des tournois'!$B38:'Résultats des tournois'!F38,"&lt;&gt;")&lt;=5,32,IF(COUNTIF('Résultats des tournois'!$B38:'Résultats des tournois'!F38,"&lt;&gt;")&lt;=15,24,16))</f>
        <v>32</v>
      </c>
      <c r="G38" s="15">
        <f>IF(COUNTIF('Résultats des tournois'!$B38:'Résultats des tournois'!G38,"&lt;&gt;")&lt;=5,32,IF(COUNTIF('Résultats des tournois'!$B38:'Résultats des tournois'!G38,"&lt;&gt;")&lt;=15,24,16))</f>
        <v>32</v>
      </c>
      <c r="H38" s="15">
        <f>IF(COUNTIF('Résultats des tournois'!$B38:'Résultats des tournois'!H38,"&lt;&gt;")&lt;=5,32,IF(COUNTIF('Résultats des tournois'!$B38:'Résultats des tournois'!H38,"&lt;&gt;")&lt;=15,24,16))</f>
        <v>32</v>
      </c>
      <c r="I38" s="15">
        <f>IF(COUNTIF('Résultats des tournois'!$B38:'Résultats des tournois'!I38,"&lt;&gt;")&lt;=5,32,IF(COUNTIF('Résultats des tournois'!$B38:'Résultats des tournois'!I38,"&lt;&gt;")&lt;=15,24,16))</f>
        <v>32</v>
      </c>
      <c r="J38" s="15">
        <f>IF(COUNTIF('Résultats des tournois'!$B38:'Résultats des tournois'!J38,"&lt;&gt;")&lt;=5,32,IF(COUNTIF('Résultats des tournois'!$B38:'Résultats des tournois'!J38,"&lt;&gt;")&lt;=15,24,16))</f>
        <v>32</v>
      </c>
      <c r="K38" s="15">
        <f>IF(COUNTIF('Résultats des tournois'!$B38:'Résultats des tournois'!K38,"&lt;&gt;")&lt;=5,32,IF(COUNTIF('Résultats des tournois'!$B38:'Résultats des tournois'!K38,"&lt;&gt;")&lt;=15,24,16))</f>
        <v>32</v>
      </c>
      <c r="L38" s="15">
        <f>IF(COUNTIF('Résultats des tournois'!$B38:'Résultats des tournois'!L38,"&lt;&gt;")&lt;=5,32,IF(COUNTIF('Résultats des tournois'!$B38:'Résultats des tournois'!L38,"&lt;&gt;")&lt;=15,24,16))</f>
        <v>32</v>
      </c>
      <c r="M38" s="15">
        <f>IF(COUNTIF('Résultats des tournois'!$B38:'Résultats des tournois'!M38,"&lt;&gt;")&lt;=5,32,IF(COUNTIF('Résultats des tournois'!$B38:'Résultats des tournois'!M38,"&lt;&gt;")&lt;=15,24,16))</f>
        <v>32</v>
      </c>
      <c r="N38" s="15">
        <f>IF(COUNTIF('Résultats des tournois'!$B38:'Résultats des tournois'!N38,"&lt;&gt;")&lt;=5,32,IF(COUNTIF('Résultats des tournois'!$B38:'Résultats des tournois'!N38,"&lt;&gt;")&lt;=15,24,16))</f>
        <v>32</v>
      </c>
      <c r="O38" s="15">
        <f>IF(COUNTIF('Résultats des tournois'!$B38:'Résultats des tournois'!O38,"&lt;&gt;")&lt;=5,32,IF(COUNTIF('Résultats des tournois'!$B38:'Résultats des tournois'!O38,"&lt;&gt;")&lt;=15,24,16))</f>
        <v>32</v>
      </c>
      <c r="P38" s="15">
        <f>IF(COUNTIF('Résultats des tournois'!$B38:'Résultats des tournois'!P38,"&lt;&gt;")&lt;=5,32,IF(COUNTIF('Résultats des tournois'!$B38:'Résultats des tournois'!P38,"&lt;&gt;")&lt;=15,24,16))</f>
        <v>32</v>
      </c>
      <c r="Q38" s="15">
        <f>IF(COUNTIF('Résultats des tournois'!$B38:'Résultats des tournois'!Q38,"&lt;&gt;")&lt;=5,32,IF(COUNTIF('Résultats des tournois'!$B38:'Résultats des tournois'!Q38,"&lt;&gt;")&lt;=15,24,16))</f>
        <v>32</v>
      </c>
      <c r="R38" s="15">
        <f>IF(COUNTIF('Résultats des tournois'!$B38:'Résultats des tournois'!R38,"&lt;&gt;")&lt;=5,32,IF(COUNTIF('Résultats des tournois'!$B38:'Résultats des tournois'!R38,"&lt;&gt;")&lt;=15,24,16))</f>
        <v>32</v>
      </c>
      <c r="S38" s="15">
        <f>IF(COUNTIF('Résultats des tournois'!$B38:'Résultats des tournois'!S38,"&lt;&gt;")&lt;=5,32,IF(COUNTIF('Résultats des tournois'!$B38:'Résultats des tournois'!S38,"&lt;&gt;")&lt;=15,24,16))</f>
        <v>32</v>
      </c>
      <c r="T38" s="15">
        <f>IF(COUNTIF('Résultats des tournois'!$B38:'Résultats des tournois'!T38,"&lt;&gt;")&lt;=5,32,IF(COUNTIF('Résultats des tournois'!$B38:'Résultats des tournois'!T38,"&lt;&gt;")&lt;=15,24,16))</f>
        <v>32</v>
      </c>
      <c r="U38" s="15">
        <f>IF(COUNTIF('Résultats des tournois'!$B38:'Résultats des tournois'!U38,"&lt;&gt;")&lt;=5,32,IF(COUNTIF('Résultats des tournois'!$B38:'Résultats des tournois'!U38,"&lt;&gt;")&lt;=15,24,16))</f>
        <v>32</v>
      </c>
      <c r="V38" s="15">
        <f>IF(COUNTIF('Résultats des tournois'!$B38:'Résultats des tournois'!V38,"&lt;&gt;")&lt;=5,32,IF(COUNTIF('Résultats des tournois'!$B38:'Résultats des tournois'!V38,"&lt;&gt;")&lt;=15,24,16))</f>
        <v>32</v>
      </c>
      <c r="W38" s="15">
        <f>IF(COUNTIF('Résultats des tournois'!$B38:'Résultats des tournois'!W38,"&lt;&gt;")&lt;=5,32,IF(COUNTIF('Résultats des tournois'!$B38:'Résultats des tournois'!W38,"&lt;&gt;")&lt;=15,24,16))</f>
        <v>32</v>
      </c>
      <c r="X38" s="15">
        <f>IF(COUNTIF('Résultats des tournois'!$B38:'Résultats des tournois'!X38,"&lt;&gt;")&lt;=5,32,IF(COUNTIF('Résultats des tournois'!$B38:'Résultats des tournois'!X38,"&lt;&gt;")&lt;=15,24,16))</f>
        <v>32</v>
      </c>
      <c r="Y38" s="15">
        <f>IF(COUNTIF('Résultats des tournois'!$B38:'Résultats des tournois'!Y38,"&lt;&gt;")&lt;=5,32,IF(COUNTIF('Résultats des tournois'!$B38:'Résultats des tournois'!Y38,"&lt;&gt;")&lt;=15,24,16))</f>
        <v>32</v>
      </c>
      <c r="Z38" s="15">
        <f>IF(COUNTIF('Résultats des tournois'!$B38:'Résultats des tournois'!Z38,"&lt;&gt;")&lt;=5,32,IF(COUNTIF('Résultats des tournois'!$B38:'Résultats des tournois'!Z38,"&lt;&gt;")&lt;=15,24,16))</f>
        <v>32</v>
      </c>
      <c r="AA38" s="15">
        <f>IF(COUNTIF('Résultats des tournois'!$B38:'Résultats des tournois'!AA38,"&lt;&gt;")&lt;=5,32,IF(COUNTIF('Résultats des tournois'!$B38:'Résultats des tournois'!AA38,"&lt;&gt;")&lt;=15,24,16))</f>
        <v>32</v>
      </c>
      <c r="AB38" s="15">
        <f>IF(COUNTIF('Résultats des tournois'!$B38:'Résultats des tournois'!AB38,"&lt;&gt;")&lt;=5,32,IF(COUNTIF('Résultats des tournois'!$B38:'Résultats des tournois'!AB38,"&lt;&gt;")&lt;=15,24,16))</f>
        <v>32</v>
      </c>
      <c r="AC38" s="15">
        <f>IF(COUNTIF('Résultats des tournois'!$B38:'Résultats des tournois'!AC38,"&lt;&gt;")&lt;=5,32,IF(COUNTIF('Résultats des tournois'!$B38:'Résultats des tournois'!AC38,"&lt;&gt;")&lt;=15,24,16))</f>
        <v>32</v>
      </c>
      <c r="AD38" s="15">
        <f>IF(COUNTIF('Résultats des tournois'!$B38:'Résultats des tournois'!AD38,"&lt;&gt;")&lt;=5,32,IF(COUNTIF('Résultats des tournois'!$B38:'Résultats des tournois'!AD38,"&lt;&gt;")&lt;=15,24,16))</f>
        <v>32</v>
      </c>
      <c r="AE38" s="15">
        <f>IF(COUNTIF('Résultats des tournois'!$B38:'Résultats des tournois'!AE38,"&lt;&gt;")&lt;=5,32,IF(COUNTIF('Résultats des tournois'!$B38:'Résultats des tournois'!AE38,"&lt;&gt;")&lt;=15,24,16))</f>
        <v>32</v>
      </c>
      <c r="AF38" s="15">
        <f>IF(COUNTIF('Résultats des tournois'!$B38:'Résultats des tournois'!AF38,"&lt;&gt;")&lt;=5,32,IF(COUNTIF('Résultats des tournois'!$B38:'Résultats des tournois'!AF38,"&lt;&gt;")&lt;=15,24,16))</f>
        <v>32</v>
      </c>
      <c r="AG38" s="15">
        <f>IF(COUNTIF('Résultats des tournois'!$B38:'Résultats des tournois'!AG38,"&lt;&gt;")&lt;=5,32,IF(COUNTIF('Résultats des tournois'!$B38:'Résultats des tournois'!AG38,"&lt;&gt;")&lt;=15,24,16))</f>
        <v>32</v>
      </c>
      <c r="AH38" s="15">
        <f>IF(COUNTIF('Résultats des tournois'!$B38:'Résultats des tournois'!AH38,"&lt;&gt;")&lt;=5,32,IF(COUNTIF('Résultats des tournois'!$B38:'Résultats des tournois'!AH38,"&lt;&gt;")&lt;=15,24,16))</f>
        <v>32</v>
      </c>
      <c r="AI38" s="15">
        <f>IF(COUNTIF('Résultats des tournois'!$B38:'Résultats des tournois'!AI38,"&lt;&gt;")&lt;=5,32,IF(COUNTIF('Résultats des tournois'!$B38:'Résultats des tournois'!AI38,"&lt;&gt;")&lt;=15,24,16))</f>
        <v>32</v>
      </c>
      <c r="AJ38" s="15">
        <f>IF(COUNTIF('Résultats des tournois'!$B38:'Résultats des tournois'!AJ38,"&lt;&gt;")&lt;=5,32,IF(COUNTIF('Résultats des tournois'!$B38:'Résultats des tournois'!AJ38,"&lt;&gt;")&lt;=15,24,16))</f>
        <v>32</v>
      </c>
      <c r="AK38" s="15">
        <f>IF(COUNTIF('Résultats des tournois'!$B38:'Résultats des tournois'!AK38,"&lt;&gt;")&lt;=5,32,IF(COUNTIF('Résultats des tournois'!$B38:'Résultats des tournois'!AK38,"&lt;&gt;")&lt;=15,24,16))</f>
        <v>32</v>
      </c>
      <c r="AL38" s="15">
        <f>IF(COUNTIF('Résultats des tournois'!$B38:'Résultats des tournois'!AL38,"&lt;&gt;")&lt;=5,32,IF(COUNTIF('Résultats des tournois'!$B38:'Résultats des tournois'!AL38,"&lt;&gt;")&lt;=15,24,16))</f>
        <v>32</v>
      </c>
      <c r="AM38" s="15">
        <f>IF(COUNTIF('Résultats des tournois'!$B38:'Résultats des tournois'!AM38,"&lt;&gt;")&lt;=5,32,IF(COUNTIF('Résultats des tournois'!$B38:'Résultats des tournois'!AM38,"&lt;&gt;")&lt;=15,24,16))</f>
        <v>32</v>
      </c>
      <c r="AN38" s="15">
        <f>IF(COUNTIF('Résultats des tournois'!$B38:'Résultats des tournois'!AN38,"&lt;&gt;")&lt;=5,32,IF(COUNTIF('Résultats des tournois'!$B38:'Résultats des tournois'!AN38,"&lt;&gt;")&lt;=15,24,16))</f>
        <v>32</v>
      </c>
      <c r="AO38" s="15">
        <f>IF(COUNTIF('Résultats des tournois'!$B38:'Résultats des tournois'!AO38,"&lt;&gt;")&lt;=5,32,IF(COUNTIF('Résultats des tournois'!$B38:'Résultats des tournois'!AO38,"&lt;&gt;")&lt;=15,24,16))</f>
        <v>32</v>
      </c>
      <c r="AP38" s="15">
        <f>IF(COUNTIF('Résultats des tournois'!$B38:'Résultats des tournois'!AP38,"&lt;&gt;")&lt;=5,32,IF(COUNTIF('Résultats des tournois'!$B38:'Résultats des tournois'!AP38,"&lt;&gt;")&lt;=15,24,16))</f>
        <v>32</v>
      </c>
      <c r="AQ38" s="15">
        <f>IF(COUNTIF('Résultats des tournois'!$B38:'Résultats des tournois'!AQ38,"&lt;&gt;")&lt;=5,32,IF(COUNTIF('Résultats des tournois'!$B38:'Résultats des tournois'!AQ38,"&lt;&gt;")&lt;=15,24,16))</f>
        <v>32</v>
      </c>
      <c r="AR38" s="15">
        <f>IF(COUNTIF('Résultats des tournois'!$B38:'Résultats des tournois'!AR38,"&lt;&gt;")&lt;=5,32,IF(COUNTIF('Résultats des tournois'!$B38:'Résultats des tournois'!AR38,"&lt;&gt;")&lt;=15,24,16))</f>
        <v>32</v>
      </c>
      <c r="AS38" s="15">
        <f>IF(COUNTIF('Résultats des tournois'!$B38:'Résultats des tournois'!AS38,"&lt;&gt;")&lt;=5,32,IF(COUNTIF('Résultats des tournois'!$B38:'Résultats des tournois'!AS38,"&lt;&gt;")&lt;=15,24,16))</f>
        <v>32</v>
      </c>
      <c r="AT38" s="15">
        <f>IF(COUNTIF('Résultats des tournois'!$B38:'Résultats des tournois'!AT38,"&lt;&gt;")&lt;=5,32,IF(COUNTIF('Résultats des tournois'!$B38:'Résultats des tournois'!AT38,"&lt;&gt;")&lt;=15,24,16))</f>
        <v>32</v>
      </c>
      <c r="AU38" s="15">
        <f>IF(COUNTIF('Résultats des tournois'!$B38:'Résultats des tournois'!AU38,"&lt;&gt;")&lt;=5,32,IF(COUNTIF('Résultats des tournois'!$B38:'Résultats des tournois'!AU38,"&lt;&gt;")&lt;=15,24,16))</f>
        <v>32</v>
      </c>
      <c r="AV38" s="15">
        <f>IF(COUNTIF('Résultats des tournois'!$B38:'Résultats des tournois'!AV38,"&lt;&gt;")&lt;=5,32,IF(COUNTIF('Résultats des tournois'!$B38:'Résultats des tournois'!AV38,"&lt;&gt;")&lt;=15,24,16))</f>
        <v>32</v>
      </c>
      <c r="AW38" s="15">
        <f>IF(COUNTIF('Résultats des tournois'!$B38:'Résultats des tournois'!AW38,"&lt;&gt;")&lt;=5,32,IF(COUNTIF('Résultats des tournois'!$B38:'Résultats des tournois'!AW38,"&lt;&gt;")&lt;=15,24,16))</f>
        <v>32</v>
      </c>
      <c r="AX38" s="15">
        <f>IF(COUNTIF('Résultats des tournois'!$B38:'Résultats des tournois'!AX38,"&lt;&gt;")&lt;=5,32,IF(COUNTIF('Résultats des tournois'!$B38:'Résultats des tournois'!AX38,"&lt;&gt;")&lt;=15,24,16))</f>
        <v>32</v>
      </c>
    </row>
    <row r="39" ht="14.25" customHeight="1">
      <c r="A39" s="15" t="str">
        <f>IF('Résultats des tournois'!A39="","",'Résultats des tournois'!A39)</f>
        <v/>
      </c>
      <c r="B39" s="15">
        <f>IF(COUNTIF('Résultats des tournois'!B39,"&lt;&gt;")&lt;=5,32,IF(COUNTIF('Résultats des tournois'!B39,"&lt;&gt;")&lt;=15,24,16))</f>
        <v>32</v>
      </c>
      <c r="C39" s="15">
        <f>IF(COUNTIF('Résultats des tournois'!$B39:'Résultats des tournois'!C39,"&lt;&gt;")&lt;=5,32,IF(COUNTIF('Résultats des tournois'!$B39:'Résultats des tournois'!C39,"&lt;&gt;")&lt;=15,24,16))</f>
        <v>32</v>
      </c>
      <c r="D39" s="15">
        <f>IF(COUNTIF('Résultats des tournois'!$B39:'Résultats des tournois'!D39,"&lt;&gt;")&lt;=5,32,IF(COUNTIF('Résultats des tournois'!$B39:'Résultats des tournois'!D39,"&lt;&gt;")&lt;=15,24,16))</f>
        <v>32</v>
      </c>
      <c r="E39" s="15">
        <f>IF(COUNTIF('Résultats des tournois'!$B39:'Résultats des tournois'!E39,"&lt;&gt;")&lt;=5,32,IF(COUNTIF('Résultats des tournois'!$B39:'Résultats des tournois'!E39,"&lt;&gt;")&lt;=15,24,16))</f>
        <v>32</v>
      </c>
      <c r="F39" s="15">
        <f>IF(COUNTIF('Résultats des tournois'!$B39:'Résultats des tournois'!F39,"&lt;&gt;")&lt;=5,32,IF(COUNTIF('Résultats des tournois'!$B39:'Résultats des tournois'!F39,"&lt;&gt;")&lt;=15,24,16))</f>
        <v>32</v>
      </c>
      <c r="G39" s="15">
        <f>IF(COUNTIF('Résultats des tournois'!$B39:'Résultats des tournois'!G39,"&lt;&gt;")&lt;=5,32,IF(COUNTIF('Résultats des tournois'!$B39:'Résultats des tournois'!G39,"&lt;&gt;")&lt;=15,24,16))</f>
        <v>32</v>
      </c>
      <c r="H39" s="15">
        <f>IF(COUNTIF('Résultats des tournois'!$B39:'Résultats des tournois'!H39,"&lt;&gt;")&lt;=5,32,IF(COUNTIF('Résultats des tournois'!$B39:'Résultats des tournois'!H39,"&lt;&gt;")&lt;=15,24,16))</f>
        <v>32</v>
      </c>
      <c r="I39" s="15">
        <f>IF(COUNTIF('Résultats des tournois'!$B39:'Résultats des tournois'!I39,"&lt;&gt;")&lt;=5,32,IF(COUNTIF('Résultats des tournois'!$B39:'Résultats des tournois'!I39,"&lt;&gt;")&lt;=15,24,16))</f>
        <v>32</v>
      </c>
      <c r="J39" s="15">
        <f>IF(COUNTIF('Résultats des tournois'!$B39:'Résultats des tournois'!J39,"&lt;&gt;")&lt;=5,32,IF(COUNTIF('Résultats des tournois'!$B39:'Résultats des tournois'!J39,"&lt;&gt;")&lt;=15,24,16))</f>
        <v>32</v>
      </c>
      <c r="K39" s="15">
        <f>IF(COUNTIF('Résultats des tournois'!$B39:'Résultats des tournois'!K39,"&lt;&gt;")&lt;=5,32,IF(COUNTIF('Résultats des tournois'!$B39:'Résultats des tournois'!K39,"&lt;&gt;")&lt;=15,24,16))</f>
        <v>32</v>
      </c>
      <c r="L39" s="15">
        <f>IF(COUNTIF('Résultats des tournois'!$B39:'Résultats des tournois'!L39,"&lt;&gt;")&lt;=5,32,IF(COUNTIF('Résultats des tournois'!$B39:'Résultats des tournois'!L39,"&lt;&gt;")&lt;=15,24,16))</f>
        <v>32</v>
      </c>
      <c r="M39" s="15">
        <f>IF(COUNTIF('Résultats des tournois'!$B39:'Résultats des tournois'!M39,"&lt;&gt;")&lt;=5,32,IF(COUNTIF('Résultats des tournois'!$B39:'Résultats des tournois'!M39,"&lt;&gt;")&lt;=15,24,16))</f>
        <v>32</v>
      </c>
      <c r="N39" s="15">
        <f>IF(COUNTIF('Résultats des tournois'!$B39:'Résultats des tournois'!N39,"&lt;&gt;")&lt;=5,32,IF(COUNTIF('Résultats des tournois'!$B39:'Résultats des tournois'!N39,"&lt;&gt;")&lt;=15,24,16))</f>
        <v>32</v>
      </c>
      <c r="O39" s="15">
        <f>IF(COUNTIF('Résultats des tournois'!$B39:'Résultats des tournois'!O39,"&lt;&gt;")&lt;=5,32,IF(COUNTIF('Résultats des tournois'!$B39:'Résultats des tournois'!O39,"&lt;&gt;")&lt;=15,24,16))</f>
        <v>32</v>
      </c>
      <c r="P39" s="15">
        <f>IF(COUNTIF('Résultats des tournois'!$B39:'Résultats des tournois'!P39,"&lt;&gt;")&lt;=5,32,IF(COUNTIF('Résultats des tournois'!$B39:'Résultats des tournois'!P39,"&lt;&gt;")&lt;=15,24,16))</f>
        <v>32</v>
      </c>
      <c r="Q39" s="15">
        <f>IF(COUNTIF('Résultats des tournois'!$B39:'Résultats des tournois'!Q39,"&lt;&gt;")&lt;=5,32,IF(COUNTIF('Résultats des tournois'!$B39:'Résultats des tournois'!Q39,"&lt;&gt;")&lt;=15,24,16))</f>
        <v>32</v>
      </c>
      <c r="R39" s="15">
        <f>IF(COUNTIF('Résultats des tournois'!$B39:'Résultats des tournois'!R39,"&lt;&gt;")&lt;=5,32,IF(COUNTIF('Résultats des tournois'!$B39:'Résultats des tournois'!R39,"&lt;&gt;")&lt;=15,24,16))</f>
        <v>32</v>
      </c>
      <c r="S39" s="15">
        <f>IF(COUNTIF('Résultats des tournois'!$B39:'Résultats des tournois'!S39,"&lt;&gt;")&lt;=5,32,IF(COUNTIF('Résultats des tournois'!$B39:'Résultats des tournois'!S39,"&lt;&gt;")&lt;=15,24,16))</f>
        <v>32</v>
      </c>
      <c r="T39" s="15">
        <f>IF(COUNTIF('Résultats des tournois'!$B39:'Résultats des tournois'!T39,"&lt;&gt;")&lt;=5,32,IF(COUNTIF('Résultats des tournois'!$B39:'Résultats des tournois'!T39,"&lt;&gt;")&lt;=15,24,16))</f>
        <v>32</v>
      </c>
      <c r="U39" s="15">
        <f>IF(COUNTIF('Résultats des tournois'!$B39:'Résultats des tournois'!U39,"&lt;&gt;")&lt;=5,32,IF(COUNTIF('Résultats des tournois'!$B39:'Résultats des tournois'!U39,"&lt;&gt;")&lt;=15,24,16))</f>
        <v>32</v>
      </c>
      <c r="V39" s="15">
        <f>IF(COUNTIF('Résultats des tournois'!$B39:'Résultats des tournois'!V39,"&lt;&gt;")&lt;=5,32,IF(COUNTIF('Résultats des tournois'!$B39:'Résultats des tournois'!V39,"&lt;&gt;")&lt;=15,24,16))</f>
        <v>32</v>
      </c>
      <c r="W39" s="15">
        <f>IF(COUNTIF('Résultats des tournois'!$B39:'Résultats des tournois'!W39,"&lt;&gt;")&lt;=5,32,IF(COUNTIF('Résultats des tournois'!$B39:'Résultats des tournois'!W39,"&lt;&gt;")&lt;=15,24,16))</f>
        <v>32</v>
      </c>
      <c r="X39" s="15">
        <f>IF(COUNTIF('Résultats des tournois'!$B39:'Résultats des tournois'!X39,"&lt;&gt;")&lt;=5,32,IF(COUNTIF('Résultats des tournois'!$B39:'Résultats des tournois'!X39,"&lt;&gt;")&lt;=15,24,16))</f>
        <v>32</v>
      </c>
      <c r="Y39" s="15">
        <f>IF(COUNTIF('Résultats des tournois'!$B39:'Résultats des tournois'!Y39,"&lt;&gt;")&lt;=5,32,IF(COUNTIF('Résultats des tournois'!$B39:'Résultats des tournois'!Y39,"&lt;&gt;")&lt;=15,24,16))</f>
        <v>32</v>
      </c>
      <c r="Z39" s="15">
        <f>IF(COUNTIF('Résultats des tournois'!$B39:'Résultats des tournois'!Z39,"&lt;&gt;")&lt;=5,32,IF(COUNTIF('Résultats des tournois'!$B39:'Résultats des tournois'!Z39,"&lt;&gt;")&lt;=15,24,16))</f>
        <v>32</v>
      </c>
      <c r="AA39" s="15">
        <f>IF(COUNTIF('Résultats des tournois'!$B39:'Résultats des tournois'!AA39,"&lt;&gt;")&lt;=5,32,IF(COUNTIF('Résultats des tournois'!$B39:'Résultats des tournois'!AA39,"&lt;&gt;")&lt;=15,24,16))</f>
        <v>32</v>
      </c>
      <c r="AB39" s="15">
        <f>IF(COUNTIF('Résultats des tournois'!$B39:'Résultats des tournois'!AB39,"&lt;&gt;")&lt;=5,32,IF(COUNTIF('Résultats des tournois'!$B39:'Résultats des tournois'!AB39,"&lt;&gt;")&lt;=15,24,16))</f>
        <v>32</v>
      </c>
      <c r="AC39" s="15">
        <f>IF(COUNTIF('Résultats des tournois'!$B39:'Résultats des tournois'!AC39,"&lt;&gt;")&lt;=5,32,IF(COUNTIF('Résultats des tournois'!$B39:'Résultats des tournois'!AC39,"&lt;&gt;")&lt;=15,24,16))</f>
        <v>32</v>
      </c>
      <c r="AD39" s="15">
        <f>IF(COUNTIF('Résultats des tournois'!$B39:'Résultats des tournois'!AD39,"&lt;&gt;")&lt;=5,32,IF(COUNTIF('Résultats des tournois'!$B39:'Résultats des tournois'!AD39,"&lt;&gt;")&lt;=15,24,16))</f>
        <v>32</v>
      </c>
      <c r="AE39" s="15">
        <f>IF(COUNTIF('Résultats des tournois'!$B39:'Résultats des tournois'!AE39,"&lt;&gt;")&lt;=5,32,IF(COUNTIF('Résultats des tournois'!$B39:'Résultats des tournois'!AE39,"&lt;&gt;")&lt;=15,24,16))</f>
        <v>32</v>
      </c>
      <c r="AF39" s="15">
        <f>IF(COUNTIF('Résultats des tournois'!$B39:'Résultats des tournois'!AF39,"&lt;&gt;")&lt;=5,32,IF(COUNTIF('Résultats des tournois'!$B39:'Résultats des tournois'!AF39,"&lt;&gt;")&lt;=15,24,16))</f>
        <v>32</v>
      </c>
      <c r="AG39" s="15">
        <f>IF(COUNTIF('Résultats des tournois'!$B39:'Résultats des tournois'!AG39,"&lt;&gt;")&lt;=5,32,IF(COUNTIF('Résultats des tournois'!$B39:'Résultats des tournois'!AG39,"&lt;&gt;")&lt;=15,24,16))</f>
        <v>32</v>
      </c>
      <c r="AH39" s="15">
        <f>IF(COUNTIF('Résultats des tournois'!$B39:'Résultats des tournois'!AH39,"&lt;&gt;")&lt;=5,32,IF(COUNTIF('Résultats des tournois'!$B39:'Résultats des tournois'!AH39,"&lt;&gt;")&lt;=15,24,16))</f>
        <v>32</v>
      </c>
      <c r="AI39" s="15">
        <f>IF(COUNTIF('Résultats des tournois'!$B39:'Résultats des tournois'!AI39,"&lt;&gt;")&lt;=5,32,IF(COUNTIF('Résultats des tournois'!$B39:'Résultats des tournois'!AI39,"&lt;&gt;")&lt;=15,24,16))</f>
        <v>32</v>
      </c>
      <c r="AJ39" s="15">
        <f>IF(COUNTIF('Résultats des tournois'!$B39:'Résultats des tournois'!AJ39,"&lt;&gt;")&lt;=5,32,IF(COUNTIF('Résultats des tournois'!$B39:'Résultats des tournois'!AJ39,"&lt;&gt;")&lt;=15,24,16))</f>
        <v>32</v>
      </c>
      <c r="AK39" s="15">
        <f>IF(COUNTIF('Résultats des tournois'!$B39:'Résultats des tournois'!AK39,"&lt;&gt;")&lt;=5,32,IF(COUNTIF('Résultats des tournois'!$B39:'Résultats des tournois'!AK39,"&lt;&gt;")&lt;=15,24,16))</f>
        <v>32</v>
      </c>
      <c r="AL39" s="15">
        <f>IF(COUNTIF('Résultats des tournois'!$B39:'Résultats des tournois'!AL39,"&lt;&gt;")&lt;=5,32,IF(COUNTIF('Résultats des tournois'!$B39:'Résultats des tournois'!AL39,"&lt;&gt;")&lt;=15,24,16))</f>
        <v>32</v>
      </c>
      <c r="AM39" s="15">
        <f>IF(COUNTIF('Résultats des tournois'!$B39:'Résultats des tournois'!AM39,"&lt;&gt;")&lt;=5,32,IF(COUNTIF('Résultats des tournois'!$B39:'Résultats des tournois'!AM39,"&lt;&gt;")&lt;=15,24,16))</f>
        <v>32</v>
      </c>
      <c r="AN39" s="15">
        <f>IF(COUNTIF('Résultats des tournois'!$B39:'Résultats des tournois'!AN39,"&lt;&gt;")&lt;=5,32,IF(COUNTIF('Résultats des tournois'!$B39:'Résultats des tournois'!AN39,"&lt;&gt;")&lt;=15,24,16))</f>
        <v>32</v>
      </c>
      <c r="AO39" s="15">
        <f>IF(COUNTIF('Résultats des tournois'!$B39:'Résultats des tournois'!AO39,"&lt;&gt;")&lt;=5,32,IF(COUNTIF('Résultats des tournois'!$B39:'Résultats des tournois'!AO39,"&lt;&gt;")&lt;=15,24,16))</f>
        <v>32</v>
      </c>
      <c r="AP39" s="15">
        <f>IF(COUNTIF('Résultats des tournois'!$B39:'Résultats des tournois'!AP39,"&lt;&gt;")&lt;=5,32,IF(COUNTIF('Résultats des tournois'!$B39:'Résultats des tournois'!AP39,"&lt;&gt;")&lt;=15,24,16))</f>
        <v>32</v>
      </c>
      <c r="AQ39" s="15">
        <f>IF(COUNTIF('Résultats des tournois'!$B39:'Résultats des tournois'!AQ39,"&lt;&gt;")&lt;=5,32,IF(COUNTIF('Résultats des tournois'!$B39:'Résultats des tournois'!AQ39,"&lt;&gt;")&lt;=15,24,16))</f>
        <v>32</v>
      </c>
      <c r="AR39" s="15">
        <f>IF(COUNTIF('Résultats des tournois'!$B39:'Résultats des tournois'!AR39,"&lt;&gt;")&lt;=5,32,IF(COUNTIF('Résultats des tournois'!$B39:'Résultats des tournois'!AR39,"&lt;&gt;")&lt;=15,24,16))</f>
        <v>32</v>
      </c>
      <c r="AS39" s="15">
        <f>IF(COUNTIF('Résultats des tournois'!$B39:'Résultats des tournois'!AS39,"&lt;&gt;")&lt;=5,32,IF(COUNTIF('Résultats des tournois'!$B39:'Résultats des tournois'!AS39,"&lt;&gt;")&lt;=15,24,16))</f>
        <v>32</v>
      </c>
      <c r="AT39" s="15">
        <f>IF(COUNTIF('Résultats des tournois'!$B39:'Résultats des tournois'!AT39,"&lt;&gt;")&lt;=5,32,IF(COUNTIF('Résultats des tournois'!$B39:'Résultats des tournois'!AT39,"&lt;&gt;")&lt;=15,24,16))</f>
        <v>32</v>
      </c>
      <c r="AU39" s="15">
        <f>IF(COUNTIF('Résultats des tournois'!$B39:'Résultats des tournois'!AU39,"&lt;&gt;")&lt;=5,32,IF(COUNTIF('Résultats des tournois'!$B39:'Résultats des tournois'!AU39,"&lt;&gt;")&lt;=15,24,16))</f>
        <v>32</v>
      </c>
      <c r="AV39" s="15">
        <f>IF(COUNTIF('Résultats des tournois'!$B39:'Résultats des tournois'!AV39,"&lt;&gt;")&lt;=5,32,IF(COUNTIF('Résultats des tournois'!$B39:'Résultats des tournois'!AV39,"&lt;&gt;")&lt;=15,24,16))</f>
        <v>32</v>
      </c>
      <c r="AW39" s="15">
        <f>IF(COUNTIF('Résultats des tournois'!$B39:'Résultats des tournois'!AW39,"&lt;&gt;")&lt;=5,32,IF(COUNTIF('Résultats des tournois'!$B39:'Résultats des tournois'!AW39,"&lt;&gt;")&lt;=15,24,16))</f>
        <v>32</v>
      </c>
      <c r="AX39" s="15">
        <f>IF(COUNTIF('Résultats des tournois'!$B39:'Résultats des tournois'!AX39,"&lt;&gt;")&lt;=5,32,IF(COUNTIF('Résultats des tournois'!$B39:'Résultats des tournois'!AX39,"&lt;&gt;")&lt;=15,24,16))</f>
        <v>32</v>
      </c>
    </row>
    <row r="40" ht="14.25" customHeight="1">
      <c r="A40" s="15" t="str">
        <f>IF('Résultats des tournois'!A40="","",'Résultats des tournois'!A40)</f>
        <v/>
      </c>
      <c r="B40" s="15">
        <f>IF(COUNTIF('Résultats des tournois'!B40,"&lt;&gt;")&lt;=5,32,IF(COUNTIF('Résultats des tournois'!B40,"&lt;&gt;")&lt;=15,24,16))</f>
        <v>32</v>
      </c>
      <c r="C40" s="15">
        <f>IF(COUNTIF('Résultats des tournois'!$B40:'Résultats des tournois'!C40,"&lt;&gt;")&lt;=5,32,IF(COUNTIF('Résultats des tournois'!$B40:'Résultats des tournois'!C40,"&lt;&gt;")&lt;=15,24,16))</f>
        <v>32</v>
      </c>
      <c r="D40" s="15">
        <f>IF(COUNTIF('Résultats des tournois'!$B40:'Résultats des tournois'!D40,"&lt;&gt;")&lt;=5,32,IF(COUNTIF('Résultats des tournois'!$B40:'Résultats des tournois'!D40,"&lt;&gt;")&lt;=15,24,16))</f>
        <v>32</v>
      </c>
      <c r="E40" s="15">
        <f>IF(COUNTIF('Résultats des tournois'!$B40:'Résultats des tournois'!E40,"&lt;&gt;")&lt;=5,32,IF(COUNTIF('Résultats des tournois'!$B40:'Résultats des tournois'!E40,"&lt;&gt;")&lt;=15,24,16))</f>
        <v>32</v>
      </c>
      <c r="F40" s="15">
        <f>IF(COUNTIF('Résultats des tournois'!$B40:'Résultats des tournois'!F40,"&lt;&gt;")&lt;=5,32,IF(COUNTIF('Résultats des tournois'!$B40:'Résultats des tournois'!F40,"&lt;&gt;")&lt;=15,24,16))</f>
        <v>32</v>
      </c>
      <c r="G40" s="15">
        <f>IF(COUNTIF('Résultats des tournois'!$B40:'Résultats des tournois'!G40,"&lt;&gt;")&lt;=5,32,IF(COUNTIF('Résultats des tournois'!$B40:'Résultats des tournois'!G40,"&lt;&gt;")&lt;=15,24,16))</f>
        <v>32</v>
      </c>
      <c r="H40" s="15">
        <f>IF(COUNTIF('Résultats des tournois'!$B40:'Résultats des tournois'!H40,"&lt;&gt;")&lt;=5,32,IF(COUNTIF('Résultats des tournois'!$B40:'Résultats des tournois'!H40,"&lt;&gt;")&lt;=15,24,16))</f>
        <v>32</v>
      </c>
      <c r="I40" s="15">
        <f>IF(COUNTIF('Résultats des tournois'!$B40:'Résultats des tournois'!I40,"&lt;&gt;")&lt;=5,32,IF(COUNTIF('Résultats des tournois'!$B40:'Résultats des tournois'!I40,"&lt;&gt;")&lt;=15,24,16))</f>
        <v>32</v>
      </c>
      <c r="J40" s="15">
        <f>IF(COUNTIF('Résultats des tournois'!$B40:'Résultats des tournois'!J40,"&lt;&gt;")&lt;=5,32,IF(COUNTIF('Résultats des tournois'!$B40:'Résultats des tournois'!J40,"&lt;&gt;")&lt;=15,24,16))</f>
        <v>32</v>
      </c>
      <c r="K40" s="15">
        <f>IF(COUNTIF('Résultats des tournois'!$B40:'Résultats des tournois'!K40,"&lt;&gt;")&lt;=5,32,IF(COUNTIF('Résultats des tournois'!$B40:'Résultats des tournois'!K40,"&lt;&gt;")&lt;=15,24,16))</f>
        <v>32</v>
      </c>
      <c r="L40" s="15">
        <f>IF(COUNTIF('Résultats des tournois'!$B40:'Résultats des tournois'!L40,"&lt;&gt;")&lt;=5,32,IF(COUNTIF('Résultats des tournois'!$B40:'Résultats des tournois'!L40,"&lt;&gt;")&lt;=15,24,16))</f>
        <v>32</v>
      </c>
      <c r="M40" s="15">
        <f>IF(COUNTIF('Résultats des tournois'!$B40:'Résultats des tournois'!M40,"&lt;&gt;")&lt;=5,32,IF(COUNTIF('Résultats des tournois'!$B40:'Résultats des tournois'!M40,"&lt;&gt;")&lt;=15,24,16))</f>
        <v>32</v>
      </c>
      <c r="N40" s="15">
        <f>IF(COUNTIF('Résultats des tournois'!$B40:'Résultats des tournois'!N40,"&lt;&gt;")&lt;=5,32,IF(COUNTIF('Résultats des tournois'!$B40:'Résultats des tournois'!N40,"&lt;&gt;")&lt;=15,24,16))</f>
        <v>32</v>
      </c>
      <c r="O40" s="15">
        <f>IF(COUNTIF('Résultats des tournois'!$B40:'Résultats des tournois'!O40,"&lt;&gt;")&lt;=5,32,IF(COUNTIF('Résultats des tournois'!$B40:'Résultats des tournois'!O40,"&lt;&gt;")&lt;=15,24,16))</f>
        <v>32</v>
      </c>
      <c r="P40" s="15">
        <f>IF(COUNTIF('Résultats des tournois'!$B40:'Résultats des tournois'!P40,"&lt;&gt;")&lt;=5,32,IF(COUNTIF('Résultats des tournois'!$B40:'Résultats des tournois'!P40,"&lt;&gt;")&lt;=15,24,16))</f>
        <v>32</v>
      </c>
      <c r="Q40" s="15">
        <f>IF(COUNTIF('Résultats des tournois'!$B40:'Résultats des tournois'!Q40,"&lt;&gt;")&lt;=5,32,IF(COUNTIF('Résultats des tournois'!$B40:'Résultats des tournois'!Q40,"&lt;&gt;")&lt;=15,24,16))</f>
        <v>32</v>
      </c>
      <c r="R40" s="15">
        <f>IF(COUNTIF('Résultats des tournois'!$B40:'Résultats des tournois'!R40,"&lt;&gt;")&lt;=5,32,IF(COUNTIF('Résultats des tournois'!$B40:'Résultats des tournois'!R40,"&lt;&gt;")&lt;=15,24,16))</f>
        <v>32</v>
      </c>
      <c r="S40" s="15">
        <f>IF(COUNTIF('Résultats des tournois'!$B40:'Résultats des tournois'!S40,"&lt;&gt;")&lt;=5,32,IF(COUNTIF('Résultats des tournois'!$B40:'Résultats des tournois'!S40,"&lt;&gt;")&lt;=15,24,16))</f>
        <v>32</v>
      </c>
      <c r="T40" s="15">
        <f>IF(COUNTIF('Résultats des tournois'!$B40:'Résultats des tournois'!T40,"&lt;&gt;")&lt;=5,32,IF(COUNTIF('Résultats des tournois'!$B40:'Résultats des tournois'!T40,"&lt;&gt;")&lt;=15,24,16))</f>
        <v>32</v>
      </c>
      <c r="U40" s="15">
        <f>IF(COUNTIF('Résultats des tournois'!$B40:'Résultats des tournois'!U40,"&lt;&gt;")&lt;=5,32,IF(COUNTIF('Résultats des tournois'!$B40:'Résultats des tournois'!U40,"&lt;&gt;")&lt;=15,24,16))</f>
        <v>32</v>
      </c>
      <c r="V40" s="15">
        <f>IF(COUNTIF('Résultats des tournois'!$B40:'Résultats des tournois'!V40,"&lt;&gt;")&lt;=5,32,IF(COUNTIF('Résultats des tournois'!$B40:'Résultats des tournois'!V40,"&lt;&gt;")&lt;=15,24,16))</f>
        <v>32</v>
      </c>
      <c r="W40" s="15">
        <f>IF(COUNTIF('Résultats des tournois'!$B40:'Résultats des tournois'!W40,"&lt;&gt;")&lt;=5,32,IF(COUNTIF('Résultats des tournois'!$B40:'Résultats des tournois'!W40,"&lt;&gt;")&lt;=15,24,16))</f>
        <v>32</v>
      </c>
      <c r="X40" s="15">
        <f>IF(COUNTIF('Résultats des tournois'!$B40:'Résultats des tournois'!X40,"&lt;&gt;")&lt;=5,32,IF(COUNTIF('Résultats des tournois'!$B40:'Résultats des tournois'!X40,"&lt;&gt;")&lt;=15,24,16))</f>
        <v>32</v>
      </c>
      <c r="Y40" s="15">
        <f>IF(COUNTIF('Résultats des tournois'!$B40:'Résultats des tournois'!Y40,"&lt;&gt;")&lt;=5,32,IF(COUNTIF('Résultats des tournois'!$B40:'Résultats des tournois'!Y40,"&lt;&gt;")&lt;=15,24,16))</f>
        <v>32</v>
      </c>
      <c r="Z40" s="15">
        <f>IF(COUNTIF('Résultats des tournois'!$B40:'Résultats des tournois'!Z40,"&lt;&gt;")&lt;=5,32,IF(COUNTIF('Résultats des tournois'!$B40:'Résultats des tournois'!Z40,"&lt;&gt;")&lt;=15,24,16))</f>
        <v>32</v>
      </c>
      <c r="AA40" s="15">
        <f>IF(COUNTIF('Résultats des tournois'!$B40:'Résultats des tournois'!AA40,"&lt;&gt;")&lt;=5,32,IF(COUNTIF('Résultats des tournois'!$B40:'Résultats des tournois'!AA40,"&lt;&gt;")&lt;=15,24,16))</f>
        <v>32</v>
      </c>
      <c r="AB40" s="15">
        <f>IF(COUNTIF('Résultats des tournois'!$B40:'Résultats des tournois'!AB40,"&lt;&gt;")&lt;=5,32,IF(COUNTIF('Résultats des tournois'!$B40:'Résultats des tournois'!AB40,"&lt;&gt;")&lt;=15,24,16))</f>
        <v>32</v>
      </c>
      <c r="AC40" s="15">
        <f>IF(COUNTIF('Résultats des tournois'!$B40:'Résultats des tournois'!AC40,"&lt;&gt;")&lt;=5,32,IF(COUNTIF('Résultats des tournois'!$B40:'Résultats des tournois'!AC40,"&lt;&gt;")&lt;=15,24,16))</f>
        <v>32</v>
      </c>
      <c r="AD40" s="15">
        <f>IF(COUNTIF('Résultats des tournois'!$B40:'Résultats des tournois'!AD40,"&lt;&gt;")&lt;=5,32,IF(COUNTIF('Résultats des tournois'!$B40:'Résultats des tournois'!AD40,"&lt;&gt;")&lt;=15,24,16))</f>
        <v>32</v>
      </c>
      <c r="AE40" s="15">
        <f>IF(COUNTIF('Résultats des tournois'!$B40:'Résultats des tournois'!AE40,"&lt;&gt;")&lt;=5,32,IF(COUNTIF('Résultats des tournois'!$B40:'Résultats des tournois'!AE40,"&lt;&gt;")&lt;=15,24,16))</f>
        <v>32</v>
      </c>
      <c r="AF40" s="15">
        <f>IF(COUNTIF('Résultats des tournois'!$B40:'Résultats des tournois'!AF40,"&lt;&gt;")&lt;=5,32,IF(COUNTIF('Résultats des tournois'!$B40:'Résultats des tournois'!AF40,"&lt;&gt;")&lt;=15,24,16))</f>
        <v>32</v>
      </c>
      <c r="AG40" s="15">
        <f>IF(COUNTIF('Résultats des tournois'!$B40:'Résultats des tournois'!AG40,"&lt;&gt;")&lt;=5,32,IF(COUNTIF('Résultats des tournois'!$B40:'Résultats des tournois'!AG40,"&lt;&gt;")&lt;=15,24,16))</f>
        <v>32</v>
      </c>
      <c r="AH40" s="15">
        <f>IF(COUNTIF('Résultats des tournois'!$B40:'Résultats des tournois'!AH40,"&lt;&gt;")&lt;=5,32,IF(COUNTIF('Résultats des tournois'!$B40:'Résultats des tournois'!AH40,"&lt;&gt;")&lt;=15,24,16))</f>
        <v>32</v>
      </c>
      <c r="AI40" s="15">
        <f>IF(COUNTIF('Résultats des tournois'!$B40:'Résultats des tournois'!AI40,"&lt;&gt;")&lt;=5,32,IF(COUNTIF('Résultats des tournois'!$B40:'Résultats des tournois'!AI40,"&lt;&gt;")&lt;=15,24,16))</f>
        <v>32</v>
      </c>
      <c r="AJ40" s="15">
        <f>IF(COUNTIF('Résultats des tournois'!$B40:'Résultats des tournois'!AJ40,"&lt;&gt;")&lt;=5,32,IF(COUNTIF('Résultats des tournois'!$B40:'Résultats des tournois'!AJ40,"&lt;&gt;")&lt;=15,24,16))</f>
        <v>32</v>
      </c>
      <c r="AK40" s="15">
        <f>IF(COUNTIF('Résultats des tournois'!$B40:'Résultats des tournois'!AK40,"&lt;&gt;")&lt;=5,32,IF(COUNTIF('Résultats des tournois'!$B40:'Résultats des tournois'!AK40,"&lt;&gt;")&lt;=15,24,16))</f>
        <v>32</v>
      </c>
      <c r="AL40" s="15">
        <f>IF(COUNTIF('Résultats des tournois'!$B40:'Résultats des tournois'!AL40,"&lt;&gt;")&lt;=5,32,IF(COUNTIF('Résultats des tournois'!$B40:'Résultats des tournois'!AL40,"&lt;&gt;")&lt;=15,24,16))</f>
        <v>32</v>
      </c>
      <c r="AM40" s="15">
        <f>IF(COUNTIF('Résultats des tournois'!$B40:'Résultats des tournois'!AM40,"&lt;&gt;")&lt;=5,32,IF(COUNTIF('Résultats des tournois'!$B40:'Résultats des tournois'!AM40,"&lt;&gt;")&lt;=15,24,16))</f>
        <v>32</v>
      </c>
      <c r="AN40" s="15">
        <f>IF(COUNTIF('Résultats des tournois'!$B40:'Résultats des tournois'!AN40,"&lt;&gt;")&lt;=5,32,IF(COUNTIF('Résultats des tournois'!$B40:'Résultats des tournois'!AN40,"&lt;&gt;")&lt;=15,24,16))</f>
        <v>32</v>
      </c>
      <c r="AO40" s="15">
        <f>IF(COUNTIF('Résultats des tournois'!$B40:'Résultats des tournois'!AO40,"&lt;&gt;")&lt;=5,32,IF(COUNTIF('Résultats des tournois'!$B40:'Résultats des tournois'!AO40,"&lt;&gt;")&lt;=15,24,16))</f>
        <v>32</v>
      </c>
      <c r="AP40" s="15">
        <f>IF(COUNTIF('Résultats des tournois'!$B40:'Résultats des tournois'!AP40,"&lt;&gt;")&lt;=5,32,IF(COUNTIF('Résultats des tournois'!$B40:'Résultats des tournois'!AP40,"&lt;&gt;")&lt;=15,24,16))</f>
        <v>32</v>
      </c>
      <c r="AQ40" s="15">
        <f>IF(COUNTIF('Résultats des tournois'!$B40:'Résultats des tournois'!AQ40,"&lt;&gt;")&lt;=5,32,IF(COUNTIF('Résultats des tournois'!$B40:'Résultats des tournois'!AQ40,"&lt;&gt;")&lt;=15,24,16))</f>
        <v>32</v>
      </c>
      <c r="AR40" s="15">
        <f>IF(COUNTIF('Résultats des tournois'!$B40:'Résultats des tournois'!AR40,"&lt;&gt;")&lt;=5,32,IF(COUNTIF('Résultats des tournois'!$B40:'Résultats des tournois'!AR40,"&lt;&gt;")&lt;=15,24,16))</f>
        <v>32</v>
      </c>
      <c r="AS40" s="15">
        <f>IF(COUNTIF('Résultats des tournois'!$B40:'Résultats des tournois'!AS40,"&lt;&gt;")&lt;=5,32,IF(COUNTIF('Résultats des tournois'!$B40:'Résultats des tournois'!AS40,"&lt;&gt;")&lt;=15,24,16))</f>
        <v>32</v>
      </c>
      <c r="AT40" s="15">
        <f>IF(COUNTIF('Résultats des tournois'!$B40:'Résultats des tournois'!AT40,"&lt;&gt;")&lt;=5,32,IF(COUNTIF('Résultats des tournois'!$B40:'Résultats des tournois'!AT40,"&lt;&gt;")&lt;=15,24,16))</f>
        <v>32</v>
      </c>
      <c r="AU40" s="15">
        <f>IF(COUNTIF('Résultats des tournois'!$B40:'Résultats des tournois'!AU40,"&lt;&gt;")&lt;=5,32,IF(COUNTIF('Résultats des tournois'!$B40:'Résultats des tournois'!AU40,"&lt;&gt;")&lt;=15,24,16))</f>
        <v>32</v>
      </c>
      <c r="AV40" s="15">
        <f>IF(COUNTIF('Résultats des tournois'!$B40:'Résultats des tournois'!AV40,"&lt;&gt;")&lt;=5,32,IF(COUNTIF('Résultats des tournois'!$B40:'Résultats des tournois'!AV40,"&lt;&gt;")&lt;=15,24,16))</f>
        <v>32</v>
      </c>
      <c r="AW40" s="15">
        <f>IF(COUNTIF('Résultats des tournois'!$B40:'Résultats des tournois'!AW40,"&lt;&gt;")&lt;=5,32,IF(COUNTIF('Résultats des tournois'!$B40:'Résultats des tournois'!AW40,"&lt;&gt;")&lt;=15,24,16))</f>
        <v>32</v>
      </c>
      <c r="AX40" s="15">
        <f>IF(COUNTIF('Résultats des tournois'!$B40:'Résultats des tournois'!AX40,"&lt;&gt;")&lt;=5,32,IF(COUNTIF('Résultats des tournois'!$B40:'Résultats des tournois'!AX40,"&lt;&gt;")&lt;=15,24,16))</f>
        <v>32</v>
      </c>
    </row>
    <row r="41" ht="14.25" customHeight="1">
      <c r="A41" s="15" t="str">
        <f>IF('Résultats des tournois'!A41="","",'Résultats des tournois'!A41)</f>
        <v/>
      </c>
      <c r="B41" s="15">
        <f>IF(COUNTIF('Résultats des tournois'!B41,"&lt;&gt;")&lt;=5,32,IF(COUNTIF('Résultats des tournois'!B41,"&lt;&gt;")&lt;=15,24,16))</f>
        <v>32</v>
      </c>
      <c r="C41" s="15">
        <f>IF(COUNTIF('Résultats des tournois'!$B41:'Résultats des tournois'!C41,"&lt;&gt;")&lt;=5,32,IF(COUNTIF('Résultats des tournois'!$B41:'Résultats des tournois'!C41,"&lt;&gt;")&lt;=15,24,16))</f>
        <v>32</v>
      </c>
      <c r="D41" s="15">
        <f>IF(COUNTIF('Résultats des tournois'!$B41:'Résultats des tournois'!D41,"&lt;&gt;")&lt;=5,32,IF(COUNTIF('Résultats des tournois'!$B41:'Résultats des tournois'!D41,"&lt;&gt;")&lt;=15,24,16))</f>
        <v>32</v>
      </c>
      <c r="E41" s="15">
        <f>IF(COUNTIF('Résultats des tournois'!$B41:'Résultats des tournois'!E41,"&lt;&gt;")&lt;=5,32,IF(COUNTIF('Résultats des tournois'!$B41:'Résultats des tournois'!E41,"&lt;&gt;")&lt;=15,24,16))</f>
        <v>32</v>
      </c>
      <c r="F41" s="15">
        <f>IF(COUNTIF('Résultats des tournois'!$B41:'Résultats des tournois'!F41,"&lt;&gt;")&lt;=5,32,IF(COUNTIF('Résultats des tournois'!$B41:'Résultats des tournois'!F41,"&lt;&gt;")&lt;=15,24,16))</f>
        <v>32</v>
      </c>
      <c r="G41" s="15">
        <f>IF(COUNTIF('Résultats des tournois'!$B41:'Résultats des tournois'!G41,"&lt;&gt;")&lt;=5,32,IF(COUNTIF('Résultats des tournois'!$B41:'Résultats des tournois'!G41,"&lt;&gt;")&lt;=15,24,16))</f>
        <v>32</v>
      </c>
      <c r="H41" s="15">
        <f>IF(COUNTIF('Résultats des tournois'!$B41:'Résultats des tournois'!H41,"&lt;&gt;")&lt;=5,32,IF(COUNTIF('Résultats des tournois'!$B41:'Résultats des tournois'!H41,"&lt;&gt;")&lt;=15,24,16))</f>
        <v>32</v>
      </c>
      <c r="I41" s="15">
        <f>IF(COUNTIF('Résultats des tournois'!$B41:'Résultats des tournois'!I41,"&lt;&gt;")&lt;=5,32,IF(COUNTIF('Résultats des tournois'!$B41:'Résultats des tournois'!I41,"&lt;&gt;")&lt;=15,24,16))</f>
        <v>32</v>
      </c>
      <c r="J41" s="15">
        <f>IF(COUNTIF('Résultats des tournois'!$B41:'Résultats des tournois'!J41,"&lt;&gt;")&lt;=5,32,IF(COUNTIF('Résultats des tournois'!$B41:'Résultats des tournois'!J41,"&lt;&gt;")&lt;=15,24,16))</f>
        <v>32</v>
      </c>
      <c r="K41" s="15">
        <f>IF(COUNTIF('Résultats des tournois'!$B41:'Résultats des tournois'!K41,"&lt;&gt;")&lt;=5,32,IF(COUNTIF('Résultats des tournois'!$B41:'Résultats des tournois'!K41,"&lt;&gt;")&lt;=15,24,16))</f>
        <v>32</v>
      </c>
      <c r="L41" s="15">
        <f>IF(COUNTIF('Résultats des tournois'!$B41:'Résultats des tournois'!L41,"&lt;&gt;")&lt;=5,32,IF(COUNTIF('Résultats des tournois'!$B41:'Résultats des tournois'!L41,"&lt;&gt;")&lt;=15,24,16))</f>
        <v>32</v>
      </c>
      <c r="M41" s="15">
        <f>IF(COUNTIF('Résultats des tournois'!$B41:'Résultats des tournois'!M41,"&lt;&gt;")&lt;=5,32,IF(COUNTIF('Résultats des tournois'!$B41:'Résultats des tournois'!M41,"&lt;&gt;")&lt;=15,24,16))</f>
        <v>32</v>
      </c>
      <c r="N41" s="15">
        <f>IF(COUNTIF('Résultats des tournois'!$B41:'Résultats des tournois'!N41,"&lt;&gt;")&lt;=5,32,IF(COUNTIF('Résultats des tournois'!$B41:'Résultats des tournois'!N41,"&lt;&gt;")&lt;=15,24,16))</f>
        <v>32</v>
      </c>
      <c r="O41" s="15">
        <f>IF(COUNTIF('Résultats des tournois'!$B41:'Résultats des tournois'!O41,"&lt;&gt;")&lt;=5,32,IF(COUNTIF('Résultats des tournois'!$B41:'Résultats des tournois'!O41,"&lt;&gt;")&lt;=15,24,16))</f>
        <v>32</v>
      </c>
      <c r="P41" s="15">
        <f>IF(COUNTIF('Résultats des tournois'!$B41:'Résultats des tournois'!P41,"&lt;&gt;")&lt;=5,32,IF(COUNTIF('Résultats des tournois'!$B41:'Résultats des tournois'!P41,"&lt;&gt;")&lt;=15,24,16))</f>
        <v>32</v>
      </c>
      <c r="Q41" s="15">
        <f>IF(COUNTIF('Résultats des tournois'!$B41:'Résultats des tournois'!Q41,"&lt;&gt;")&lt;=5,32,IF(COUNTIF('Résultats des tournois'!$B41:'Résultats des tournois'!Q41,"&lt;&gt;")&lt;=15,24,16))</f>
        <v>32</v>
      </c>
      <c r="R41" s="15">
        <f>IF(COUNTIF('Résultats des tournois'!$B41:'Résultats des tournois'!R41,"&lt;&gt;")&lt;=5,32,IF(COUNTIF('Résultats des tournois'!$B41:'Résultats des tournois'!R41,"&lt;&gt;")&lt;=15,24,16))</f>
        <v>32</v>
      </c>
      <c r="S41" s="15">
        <f>IF(COUNTIF('Résultats des tournois'!$B41:'Résultats des tournois'!S41,"&lt;&gt;")&lt;=5,32,IF(COUNTIF('Résultats des tournois'!$B41:'Résultats des tournois'!S41,"&lt;&gt;")&lt;=15,24,16))</f>
        <v>32</v>
      </c>
      <c r="T41" s="15">
        <f>IF(COUNTIF('Résultats des tournois'!$B41:'Résultats des tournois'!T41,"&lt;&gt;")&lt;=5,32,IF(COUNTIF('Résultats des tournois'!$B41:'Résultats des tournois'!T41,"&lt;&gt;")&lt;=15,24,16))</f>
        <v>32</v>
      </c>
      <c r="U41" s="15">
        <f>IF(COUNTIF('Résultats des tournois'!$B41:'Résultats des tournois'!U41,"&lt;&gt;")&lt;=5,32,IF(COUNTIF('Résultats des tournois'!$B41:'Résultats des tournois'!U41,"&lt;&gt;")&lt;=15,24,16))</f>
        <v>32</v>
      </c>
      <c r="V41" s="15">
        <f>IF(COUNTIF('Résultats des tournois'!$B41:'Résultats des tournois'!V41,"&lt;&gt;")&lt;=5,32,IF(COUNTIF('Résultats des tournois'!$B41:'Résultats des tournois'!V41,"&lt;&gt;")&lt;=15,24,16))</f>
        <v>32</v>
      </c>
      <c r="W41" s="15">
        <f>IF(COUNTIF('Résultats des tournois'!$B41:'Résultats des tournois'!W41,"&lt;&gt;")&lt;=5,32,IF(COUNTIF('Résultats des tournois'!$B41:'Résultats des tournois'!W41,"&lt;&gt;")&lt;=15,24,16))</f>
        <v>32</v>
      </c>
      <c r="X41" s="15">
        <f>IF(COUNTIF('Résultats des tournois'!$B41:'Résultats des tournois'!X41,"&lt;&gt;")&lt;=5,32,IF(COUNTIF('Résultats des tournois'!$B41:'Résultats des tournois'!X41,"&lt;&gt;")&lt;=15,24,16))</f>
        <v>32</v>
      </c>
      <c r="Y41" s="15">
        <f>IF(COUNTIF('Résultats des tournois'!$B41:'Résultats des tournois'!Y41,"&lt;&gt;")&lt;=5,32,IF(COUNTIF('Résultats des tournois'!$B41:'Résultats des tournois'!Y41,"&lt;&gt;")&lt;=15,24,16))</f>
        <v>32</v>
      </c>
      <c r="Z41" s="15">
        <f>IF(COUNTIF('Résultats des tournois'!$B41:'Résultats des tournois'!Z41,"&lt;&gt;")&lt;=5,32,IF(COUNTIF('Résultats des tournois'!$B41:'Résultats des tournois'!Z41,"&lt;&gt;")&lt;=15,24,16))</f>
        <v>32</v>
      </c>
      <c r="AA41" s="15">
        <f>IF(COUNTIF('Résultats des tournois'!$B41:'Résultats des tournois'!AA41,"&lt;&gt;")&lt;=5,32,IF(COUNTIF('Résultats des tournois'!$B41:'Résultats des tournois'!AA41,"&lt;&gt;")&lt;=15,24,16))</f>
        <v>32</v>
      </c>
      <c r="AB41" s="15">
        <f>IF(COUNTIF('Résultats des tournois'!$B41:'Résultats des tournois'!AB41,"&lt;&gt;")&lt;=5,32,IF(COUNTIF('Résultats des tournois'!$B41:'Résultats des tournois'!AB41,"&lt;&gt;")&lt;=15,24,16))</f>
        <v>32</v>
      </c>
      <c r="AC41" s="15">
        <f>IF(COUNTIF('Résultats des tournois'!$B41:'Résultats des tournois'!AC41,"&lt;&gt;")&lt;=5,32,IF(COUNTIF('Résultats des tournois'!$B41:'Résultats des tournois'!AC41,"&lt;&gt;")&lt;=15,24,16))</f>
        <v>32</v>
      </c>
      <c r="AD41" s="15">
        <f>IF(COUNTIF('Résultats des tournois'!$B41:'Résultats des tournois'!AD41,"&lt;&gt;")&lt;=5,32,IF(COUNTIF('Résultats des tournois'!$B41:'Résultats des tournois'!AD41,"&lt;&gt;")&lt;=15,24,16))</f>
        <v>32</v>
      </c>
      <c r="AE41" s="15">
        <f>IF(COUNTIF('Résultats des tournois'!$B41:'Résultats des tournois'!AE41,"&lt;&gt;")&lt;=5,32,IF(COUNTIF('Résultats des tournois'!$B41:'Résultats des tournois'!AE41,"&lt;&gt;")&lt;=15,24,16))</f>
        <v>32</v>
      </c>
      <c r="AF41" s="15">
        <f>IF(COUNTIF('Résultats des tournois'!$B41:'Résultats des tournois'!AF41,"&lt;&gt;")&lt;=5,32,IF(COUNTIF('Résultats des tournois'!$B41:'Résultats des tournois'!AF41,"&lt;&gt;")&lt;=15,24,16))</f>
        <v>32</v>
      </c>
      <c r="AG41" s="15">
        <f>IF(COUNTIF('Résultats des tournois'!$B41:'Résultats des tournois'!AG41,"&lt;&gt;")&lt;=5,32,IF(COUNTIF('Résultats des tournois'!$B41:'Résultats des tournois'!AG41,"&lt;&gt;")&lt;=15,24,16))</f>
        <v>32</v>
      </c>
      <c r="AH41" s="15">
        <f>IF(COUNTIF('Résultats des tournois'!$B41:'Résultats des tournois'!AH41,"&lt;&gt;")&lt;=5,32,IF(COUNTIF('Résultats des tournois'!$B41:'Résultats des tournois'!AH41,"&lt;&gt;")&lt;=15,24,16))</f>
        <v>32</v>
      </c>
      <c r="AI41" s="15">
        <f>IF(COUNTIF('Résultats des tournois'!$B41:'Résultats des tournois'!AI41,"&lt;&gt;")&lt;=5,32,IF(COUNTIF('Résultats des tournois'!$B41:'Résultats des tournois'!AI41,"&lt;&gt;")&lt;=15,24,16))</f>
        <v>32</v>
      </c>
      <c r="AJ41" s="15">
        <f>IF(COUNTIF('Résultats des tournois'!$B41:'Résultats des tournois'!AJ41,"&lt;&gt;")&lt;=5,32,IF(COUNTIF('Résultats des tournois'!$B41:'Résultats des tournois'!AJ41,"&lt;&gt;")&lt;=15,24,16))</f>
        <v>32</v>
      </c>
      <c r="AK41" s="15">
        <f>IF(COUNTIF('Résultats des tournois'!$B41:'Résultats des tournois'!AK41,"&lt;&gt;")&lt;=5,32,IF(COUNTIF('Résultats des tournois'!$B41:'Résultats des tournois'!AK41,"&lt;&gt;")&lt;=15,24,16))</f>
        <v>32</v>
      </c>
      <c r="AL41" s="15">
        <f>IF(COUNTIF('Résultats des tournois'!$B41:'Résultats des tournois'!AL41,"&lt;&gt;")&lt;=5,32,IF(COUNTIF('Résultats des tournois'!$B41:'Résultats des tournois'!AL41,"&lt;&gt;")&lt;=15,24,16))</f>
        <v>32</v>
      </c>
      <c r="AM41" s="15">
        <f>IF(COUNTIF('Résultats des tournois'!$B41:'Résultats des tournois'!AM41,"&lt;&gt;")&lt;=5,32,IF(COUNTIF('Résultats des tournois'!$B41:'Résultats des tournois'!AM41,"&lt;&gt;")&lt;=15,24,16))</f>
        <v>32</v>
      </c>
      <c r="AN41" s="15">
        <f>IF(COUNTIF('Résultats des tournois'!$B41:'Résultats des tournois'!AN41,"&lt;&gt;")&lt;=5,32,IF(COUNTIF('Résultats des tournois'!$B41:'Résultats des tournois'!AN41,"&lt;&gt;")&lt;=15,24,16))</f>
        <v>32</v>
      </c>
      <c r="AO41" s="15">
        <f>IF(COUNTIF('Résultats des tournois'!$B41:'Résultats des tournois'!AO41,"&lt;&gt;")&lt;=5,32,IF(COUNTIF('Résultats des tournois'!$B41:'Résultats des tournois'!AO41,"&lt;&gt;")&lt;=15,24,16))</f>
        <v>32</v>
      </c>
      <c r="AP41" s="15">
        <f>IF(COUNTIF('Résultats des tournois'!$B41:'Résultats des tournois'!AP41,"&lt;&gt;")&lt;=5,32,IF(COUNTIF('Résultats des tournois'!$B41:'Résultats des tournois'!AP41,"&lt;&gt;")&lt;=15,24,16))</f>
        <v>32</v>
      </c>
      <c r="AQ41" s="15">
        <f>IF(COUNTIF('Résultats des tournois'!$B41:'Résultats des tournois'!AQ41,"&lt;&gt;")&lt;=5,32,IF(COUNTIF('Résultats des tournois'!$B41:'Résultats des tournois'!AQ41,"&lt;&gt;")&lt;=15,24,16))</f>
        <v>32</v>
      </c>
      <c r="AR41" s="15">
        <f>IF(COUNTIF('Résultats des tournois'!$B41:'Résultats des tournois'!AR41,"&lt;&gt;")&lt;=5,32,IF(COUNTIF('Résultats des tournois'!$B41:'Résultats des tournois'!AR41,"&lt;&gt;")&lt;=15,24,16))</f>
        <v>32</v>
      </c>
      <c r="AS41" s="15">
        <f>IF(COUNTIF('Résultats des tournois'!$B41:'Résultats des tournois'!AS41,"&lt;&gt;")&lt;=5,32,IF(COUNTIF('Résultats des tournois'!$B41:'Résultats des tournois'!AS41,"&lt;&gt;")&lt;=15,24,16))</f>
        <v>32</v>
      </c>
      <c r="AT41" s="15">
        <f>IF(COUNTIF('Résultats des tournois'!$B41:'Résultats des tournois'!AT41,"&lt;&gt;")&lt;=5,32,IF(COUNTIF('Résultats des tournois'!$B41:'Résultats des tournois'!AT41,"&lt;&gt;")&lt;=15,24,16))</f>
        <v>32</v>
      </c>
      <c r="AU41" s="15">
        <f>IF(COUNTIF('Résultats des tournois'!$B41:'Résultats des tournois'!AU41,"&lt;&gt;")&lt;=5,32,IF(COUNTIF('Résultats des tournois'!$B41:'Résultats des tournois'!AU41,"&lt;&gt;")&lt;=15,24,16))</f>
        <v>32</v>
      </c>
      <c r="AV41" s="15">
        <f>IF(COUNTIF('Résultats des tournois'!$B41:'Résultats des tournois'!AV41,"&lt;&gt;")&lt;=5,32,IF(COUNTIF('Résultats des tournois'!$B41:'Résultats des tournois'!AV41,"&lt;&gt;")&lt;=15,24,16))</f>
        <v>32</v>
      </c>
      <c r="AW41" s="15">
        <f>IF(COUNTIF('Résultats des tournois'!$B41:'Résultats des tournois'!AW41,"&lt;&gt;")&lt;=5,32,IF(COUNTIF('Résultats des tournois'!$B41:'Résultats des tournois'!AW41,"&lt;&gt;")&lt;=15,24,16))</f>
        <v>32</v>
      </c>
      <c r="AX41" s="15">
        <f>IF(COUNTIF('Résultats des tournois'!$B41:'Résultats des tournois'!AX41,"&lt;&gt;")&lt;=5,32,IF(COUNTIF('Résultats des tournois'!$B41:'Résultats des tournois'!AX41,"&lt;&gt;")&lt;=15,24,16))</f>
        <v>32</v>
      </c>
    </row>
    <row r="42" ht="14.25" customHeight="1">
      <c r="A42" s="15" t="str">
        <f>IF('Résultats des tournois'!A42="","",'Résultats des tournois'!A42)</f>
        <v/>
      </c>
      <c r="B42" s="15">
        <f>IF(COUNTIF('Résultats des tournois'!B42,"&lt;&gt;")&lt;=5,32,IF(COUNTIF('Résultats des tournois'!B42,"&lt;&gt;")&lt;=15,24,16))</f>
        <v>32</v>
      </c>
      <c r="C42" s="15">
        <f>IF(COUNTIF('Résultats des tournois'!$B42:'Résultats des tournois'!C42,"&lt;&gt;")&lt;=5,32,IF(COUNTIF('Résultats des tournois'!$B42:'Résultats des tournois'!C42,"&lt;&gt;")&lt;=15,24,16))</f>
        <v>32</v>
      </c>
      <c r="D42" s="15">
        <f>IF(COUNTIF('Résultats des tournois'!$B42:'Résultats des tournois'!D42,"&lt;&gt;")&lt;=5,32,IF(COUNTIF('Résultats des tournois'!$B42:'Résultats des tournois'!D42,"&lt;&gt;")&lt;=15,24,16))</f>
        <v>32</v>
      </c>
      <c r="E42" s="15">
        <f>IF(COUNTIF('Résultats des tournois'!$B42:'Résultats des tournois'!E42,"&lt;&gt;")&lt;=5,32,IF(COUNTIF('Résultats des tournois'!$B42:'Résultats des tournois'!E42,"&lt;&gt;")&lt;=15,24,16))</f>
        <v>32</v>
      </c>
      <c r="F42" s="15">
        <f>IF(COUNTIF('Résultats des tournois'!$B42:'Résultats des tournois'!F42,"&lt;&gt;")&lt;=5,32,IF(COUNTIF('Résultats des tournois'!$B42:'Résultats des tournois'!F42,"&lt;&gt;")&lt;=15,24,16))</f>
        <v>32</v>
      </c>
      <c r="G42" s="15">
        <f>IF(COUNTIF('Résultats des tournois'!$B42:'Résultats des tournois'!G42,"&lt;&gt;")&lt;=5,32,IF(COUNTIF('Résultats des tournois'!$B42:'Résultats des tournois'!G42,"&lt;&gt;")&lt;=15,24,16))</f>
        <v>32</v>
      </c>
      <c r="H42" s="15">
        <f>IF(COUNTIF('Résultats des tournois'!$B42:'Résultats des tournois'!H42,"&lt;&gt;")&lt;=5,32,IF(COUNTIF('Résultats des tournois'!$B42:'Résultats des tournois'!H42,"&lt;&gt;")&lt;=15,24,16))</f>
        <v>32</v>
      </c>
      <c r="I42" s="15">
        <f>IF(COUNTIF('Résultats des tournois'!$B42:'Résultats des tournois'!I42,"&lt;&gt;")&lt;=5,32,IF(COUNTIF('Résultats des tournois'!$B42:'Résultats des tournois'!I42,"&lt;&gt;")&lt;=15,24,16))</f>
        <v>32</v>
      </c>
      <c r="J42" s="15">
        <f>IF(COUNTIF('Résultats des tournois'!$B42:'Résultats des tournois'!J42,"&lt;&gt;")&lt;=5,32,IF(COUNTIF('Résultats des tournois'!$B42:'Résultats des tournois'!J42,"&lt;&gt;")&lt;=15,24,16))</f>
        <v>32</v>
      </c>
      <c r="K42" s="15">
        <f>IF(COUNTIF('Résultats des tournois'!$B42:'Résultats des tournois'!K42,"&lt;&gt;")&lt;=5,32,IF(COUNTIF('Résultats des tournois'!$B42:'Résultats des tournois'!K42,"&lt;&gt;")&lt;=15,24,16))</f>
        <v>32</v>
      </c>
      <c r="L42" s="15">
        <f>IF(COUNTIF('Résultats des tournois'!$B42:'Résultats des tournois'!L42,"&lt;&gt;")&lt;=5,32,IF(COUNTIF('Résultats des tournois'!$B42:'Résultats des tournois'!L42,"&lt;&gt;")&lt;=15,24,16))</f>
        <v>32</v>
      </c>
      <c r="M42" s="15">
        <f>IF(COUNTIF('Résultats des tournois'!$B42:'Résultats des tournois'!M42,"&lt;&gt;")&lt;=5,32,IF(COUNTIF('Résultats des tournois'!$B42:'Résultats des tournois'!M42,"&lt;&gt;")&lt;=15,24,16))</f>
        <v>32</v>
      </c>
      <c r="N42" s="15">
        <f>IF(COUNTIF('Résultats des tournois'!$B42:'Résultats des tournois'!N42,"&lt;&gt;")&lt;=5,32,IF(COUNTIF('Résultats des tournois'!$B42:'Résultats des tournois'!N42,"&lt;&gt;")&lt;=15,24,16))</f>
        <v>32</v>
      </c>
      <c r="O42" s="15">
        <f>IF(COUNTIF('Résultats des tournois'!$B42:'Résultats des tournois'!O42,"&lt;&gt;")&lt;=5,32,IF(COUNTIF('Résultats des tournois'!$B42:'Résultats des tournois'!O42,"&lt;&gt;")&lt;=15,24,16))</f>
        <v>32</v>
      </c>
      <c r="P42" s="15">
        <f>IF(COUNTIF('Résultats des tournois'!$B42:'Résultats des tournois'!P42,"&lt;&gt;")&lt;=5,32,IF(COUNTIF('Résultats des tournois'!$B42:'Résultats des tournois'!P42,"&lt;&gt;")&lt;=15,24,16))</f>
        <v>32</v>
      </c>
      <c r="Q42" s="15">
        <f>IF(COUNTIF('Résultats des tournois'!$B42:'Résultats des tournois'!Q42,"&lt;&gt;")&lt;=5,32,IF(COUNTIF('Résultats des tournois'!$B42:'Résultats des tournois'!Q42,"&lt;&gt;")&lt;=15,24,16))</f>
        <v>32</v>
      </c>
      <c r="R42" s="15">
        <f>IF(COUNTIF('Résultats des tournois'!$B42:'Résultats des tournois'!R42,"&lt;&gt;")&lt;=5,32,IF(COUNTIF('Résultats des tournois'!$B42:'Résultats des tournois'!R42,"&lt;&gt;")&lt;=15,24,16))</f>
        <v>32</v>
      </c>
      <c r="S42" s="15">
        <f>IF(COUNTIF('Résultats des tournois'!$B42:'Résultats des tournois'!S42,"&lt;&gt;")&lt;=5,32,IF(COUNTIF('Résultats des tournois'!$B42:'Résultats des tournois'!S42,"&lt;&gt;")&lt;=15,24,16))</f>
        <v>32</v>
      </c>
      <c r="T42" s="15">
        <f>IF(COUNTIF('Résultats des tournois'!$B42:'Résultats des tournois'!T42,"&lt;&gt;")&lt;=5,32,IF(COUNTIF('Résultats des tournois'!$B42:'Résultats des tournois'!T42,"&lt;&gt;")&lt;=15,24,16))</f>
        <v>32</v>
      </c>
      <c r="U42" s="15">
        <f>IF(COUNTIF('Résultats des tournois'!$B42:'Résultats des tournois'!U42,"&lt;&gt;")&lt;=5,32,IF(COUNTIF('Résultats des tournois'!$B42:'Résultats des tournois'!U42,"&lt;&gt;")&lt;=15,24,16))</f>
        <v>32</v>
      </c>
      <c r="V42" s="15">
        <f>IF(COUNTIF('Résultats des tournois'!$B42:'Résultats des tournois'!V42,"&lt;&gt;")&lt;=5,32,IF(COUNTIF('Résultats des tournois'!$B42:'Résultats des tournois'!V42,"&lt;&gt;")&lt;=15,24,16))</f>
        <v>32</v>
      </c>
      <c r="W42" s="15">
        <f>IF(COUNTIF('Résultats des tournois'!$B42:'Résultats des tournois'!W42,"&lt;&gt;")&lt;=5,32,IF(COUNTIF('Résultats des tournois'!$B42:'Résultats des tournois'!W42,"&lt;&gt;")&lt;=15,24,16))</f>
        <v>32</v>
      </c>
      <c r="X42" s="15">
        <f>IF(COUNTIF('Résultats des tournois'!$B42:'Résultats des tournois'!X42,"&lt;&gt;")&lt;=5,32,IF(COUNTIF('Résultats des tournois'!$B42:'Résultats des tournois'!X42,"&lt;&gt;")&lt;=15,24,16))</f>
        <v>32</v>
      </c>
      <c r="Y42" s="15">
        <f>IF(COUNTIF('Résultats des tournois'!$B42:'Résultats des tournois'!Y42,"&lt;&gt;")&lt;=5,32,IF(COUNTIF('Résultats des tournois'!$B42:'Résultats des tournois'!Y42,"&lt;&gt;")&lt;=15,24,16))</f>
        <v>32</v>
      </c>
      <c r="Z42" s="15">
        <f>IF(COUNTIF('Résultats des tournois'!$B42:'Résultats des tournois'!Z42,"&lt;&gt;")&lt;=5,32,IF(COUNTIF('Résultats des tournois'!$B42:'Résultats des tournois'!Z42,"&lt;&gt;")&lt;=15,24,16))</f>
        <v>32</v>
      </c>
      <c r="AA42" s="15">
        <f>IF(COUNTIF('Résultats des tournois'!$B42:'Résultats des tournois'!AA42,"&lt;&gt;")&lt;=5,32,IF(COUNTIF('Résultats des tournois'!$B42:'Résultats des tournois'!AA42,"&lt;&gt;")&lt;=15,24,16))</f>
        <v>32</v>
      </c>
      <c r="AB42" s="15">
        <f>IF(COUNTIF('Résultats des tournois'!$B42:'Résultats des tournois'!AB42,"&lt;&gt;")&lt;=5,32,IF(COUNTIF('Résultats des tournois'!$B42:'Résultats des tournois'!AB42,"&lt;&gt;")&lt;=15,24,16))</f>
        <v>32</v>
      </c>
      <c r="AC42" s="15">
        <f>IF(COUNTIF('Résultats des tournois'!$B42:'Résultats des tournois'!AC42,"&lt;&gt;")&lt;=5,32,IF(COUNTIF('Résultats des tournois'!$B42:'Résultats des tournois'!AC42,"&lt;&gt;")&lt;=15,24,16))</f>
        <v>32</v>
      </c>
      <c r="AD42" s="15">
        <f>IF(COUNTIF('Résultats des tournois'!$B42:'Résultats des tournois'!AD42,"&lt;&gt;")&lt;=5,32,IF(COUNTIF('Résultats des tournois'!$B42:'Résultats des tournois'!AD42,"&lt;&gt;")&lt;=15,24,16))</f>
        <v>32</v>
      </c>
      <c r="AE42" s="15">
        <f>IF(COUNTIF('Résultats des tournois'!$B42:'Résultats des tournois'!AE42,"&lt;&gt;")&lt;=5,32,IF(COUNTIF('Résultats des tournois'!$B42:'Résultats des tournois'!AE42,"&lt;&gt;")&lt;=15,24,16))</f>
        <v>32</v>
      </c>
      <c r="AF42" s="15">
        <f>IF(COUNTIF('Résultats des tournois'!$B42:'Résultats des tournois'!AF42,"&lt;&gt;")&lt;=5,32,IF(COUNTIF('Résultats des tournois'!$B42:'Résultats des tournois'!AF42,"&lt;&gt;")&lt;=15,24,16))</f>
        <v>32</v>
      </c>
      <c r="AG42" s="15">
        <f>IF(COUNTIF('Résultats des tournois'!$B42:'Résultats des tournois'!AG42,"&lt;&gt;")&lt;=5,32,IF(COUNTIF('Résultats des tournois'!$B42:'Résultats des tournois'!AG42,"&lt;&gt;")&lt;=15,24,16))</f>
        <v>32</v>
      </c>
      <c r="AH42" s="15">
        <f>IF(COUNTIF('Résultats des tournois'!$B42:'Résultats des tournois'!AH42,"&lt;&gt;")&lt;=5,32,IF(COUNTIF('Résultats des tournois'!$B42:'Résultats des tournois'!AH42,"&lt;&gt;")&lt;=15,24,16))</f>
        <v>32</v>
      </c>
      <c r="AI42" s="15">
        <f>IF(COUNTIF('Résultats des tournois'!$B42:'Résultats des tournois'!AI42,"&lt;&gt;")&lt;=5,32,IF(COUNTIF('Résultats des tournois'!$B42:'Résultats des tournois'!AI42,"&lt;&gt;")&lt;=15,24,16))</f>
        <v>32</v>
      </c>
      <c r="AJ42" s="15">
        <f>IF(COUNTIF('Résultats des tournois'!$B42:'Résultats des tournois'!AJ42,"&lt;&gt;")&lt;=5,32,IF(COUNTIF('Résultats des tournois'!$B42:'Résultats des tournois'!AJ42,"&lt;&gt;")&lt;=15,24,16))</f>
        <v>32</v>
      </c>
      <c r="AK42" s="15">
        <f>IF(COUNTIF('Résultats des tournois'!$B42:'Résultats des tournois'!AK42,"&lt;&gt;")&lt;=5,32,IF(COUNTIF('Résultats des tournois'!$B42:'Résultats des tournois'!AK42,"&lt;&gt;")&lt;=15,24,16))</f>
        <v>32</v>
      </c>
      <c r="AL42" s="15">
        <f>IF(COUNTIF('Résultats des tournois'!$B42:'Résultats des tournois'!AL42,"&lt;&gt;")&lt;=5,32,IF(COUNTIF('Résultats des tournois'!$B42:'Résultats des tournois'!AL42,"&lt;&gt;")&lt;=15,24,16))</f>
        <v>32</v>
      </c>
      <c r="AM42" s="15">
        <f>IF(COUNTIF('Résultats des tournois'!$B42:'Résultats des tournois'!AM42,"&lt;&gt;")&lt;=5,32,IF(COUNTIF('Résultats des tournois'!$B42:'Résultats des tournois'!AM42,"&lt;&gt;")&lt;=15,24,16))</f>
        <v>32</v>
      </c>
      <c r="AN42" s="15">
        <f>IF(COUNTIF('Résultats des tournois'!$B42:'Résultats des tournois'!AN42,"&lt;&gt;")&lt;=5,32,IF(COUNTIF('Résultats des tournois'!$B42:'Résultats des tournois'!AN42,"&lt;&gt;")&lt;=15,24,16))</f>
        <v>32</v>
      </c>
      <c r="AO42" s="15">
        <f>IF(COUNTIF('Résultats des tournois'!$B42:'Résultats des tournois'!AO42,"&lt;&gt;")&lt;=5,32,IF(COUNTIF('Résultats des tournois'!$B42:'Résultats des tournois'!AO42,"&lt;&gt;")&lt;=15,24,16))</f>
        <v>32</v>
      </c>
      <c r="AP42" s="15">
        <f>IF(COUNTIF('Résultats des tournois'!$B42:'Résultats des tournois'!AP42,"&lt;&gt;")&lt;=5,32,IF(COUNTIF('Résultats des tournois'!$B42:'Résultats des tournois'!AP42,"&lt;&gt;")&lt;=15,24,16))</f>
        <v>32</v>
      </c>
      <c r="AQ42" s="15">
        <f>IF(COUNTIF('Résultats des tournois'!$B42:'Résultats des tournois'!AQ42,"&lt;&gt;")&lt;=5,32,IF(COUNTIF('Résultats des tournois'!$B42:'Résultats des tournois'!AQ42,"&lt;&gt;")&lt;=15,24,16))</f>
        <v>32</v>
      </c>
      <c r="AR42" s="15">
        <f>IF(COUNTIF('Résultats des tournois'!$B42:'Résultats des tournois'!AR42,"&lt;&gt;")&lt;=5,32,IF(COUNTIF('Résultats des tournois'!$B42:'Résultats des tournois'!AR42,"&lt;&gt;")&lt;=15,24,16))</f>
        <v>32</v>
      </c>
      <c r="AS42" s="15">
        <f>IF(COUNTIF('Résultats des tournois'!$B42:'Résultats des tournois'!AS42,"&lt;&gt;")&lt;=5,32,IF(COUNTIF('Résultats des tournois'!$B42:'Résultats des tournois'!AS42,"&lt;&gt;")&lt;=15,24,16))</f>
        <v>32</v>
      </c>
      <c r="AT42" s="15">
        <f>IF(COUNTIF('Résultats des tournois'!$B42:'Résultats des tournois'!AT42,"&lt;&gt;")&lt;=5,32,IF(COUNTIF('Résultats des tournois'!$B42:'Résultats des tournois'!AT42,"&lt;&gt;")&lt;=15,24,16))</f>
        <v>32</v>
      </c>
      <c r="AU42" s="15">
        <f>IF(COUNTIF('Résultats des tournois'!$B42:'Résultats des tournois'!AU42,"&lt;&gt;")&lt;=5,32,IF(COUNTIF('Résultats des tournois'!$B42:'Résultats des tournois'!AU42,"&lt;&gt;")&lt;=15,24,16))</f>
        <v>32</v>
      </c>
      <c r="AV42" s="15">
        <f>IF(COUNTIF('Résultats des tournois'!$B42:'Résultats des tournois'!AV42,"&lt;&gt;")&lt;=5,32,IF(COUNTIF('Résultats des tournois'!$B42:'Résultats des tournois'!AV42,"&lt;&gt;")&lt;=15,24,16))</f>
        <v>32</v>
      </c>
      <c r="AW42" s="15">
        <f>IF(COUNTIF('Résultats des tournois'!$B42:'Résultats des tournois'!AW42,"&lt;&gt;")&lt;=5,32,IF(COUNTIF('Résultats des tournois'!$B42:'Résultats des tournois'!AW42,"&lt;&gt;")&lt;=15,24,16))</f>
        <v>32</v>
      </c>
      <c r="AX42" s="15">
        <f>IF(COUNTIF('Résultats des tournois'!$B42:'Résultats des tournois'!AX42,"&lt;&gt;")&lt;=5,32,IF(COUNTIF('Résultats des tournois'!$B42:'Résultats des tournois'!AX42,"&lt;&gt;")&lt;=15,24,16))</f>
        <v>32</v>
      </c>
    </row>
    <row r="43" ht="14.25" customHeight="1">
      <c r="A43" s="15" t="str">
        <f>IF('Résultats des tournois'!A43="","",'Résultats des tournois'!A43)</f>
        <v/>
      </c>
      <c r="B43" s="15">
        <f>IF(COUNTIF('Résultats des tournois'!B43,"&lt;&gt;")&lt;=5,32,IF(COUNTIF('Résultats des tournois'!B43,"&lt;&gt;")&lt;=15,24,16))</f>
        <v>32</v>
      </c>
      <c r="C43" s="15">
        <f>IF(COUNTIF('Résultats des tournois'!$B43:'Résultats des tournois'!C43,"&lt;&gt;")&lt;=5,32,IF(COUNTIF('Résultats des tournois'!$B43:'Résultats des tournois'!C43,"&lt;&gt;")&lt;=15,24,16))</f>
        <v>32</v>
      </c>
      <c r="D43" s="15">
        <f>IF(COUNTIF('Résultats des tournois'!$B43:'Résultats des tournois'!D43,"&lt;&gt;")&lt;=5,32,IF(COUNTIF('Résultats des tournois'!$B43:'Résultats des tournois'!D43,"&lt;&gt;")&lt;=15,24,16))</f>
        <v>32</v>
      </c>
      <c r="E43" s="15">
        <f>IF(COUNTIF('Résultats des tournois'!$B43:'Résultats des tournois'!E43,"&lt;&gt;")&lt;=5,32,IF(COUNTIF('Résultats des tournois'!$B43:'Résultats des tournois'!E43,"&lt;&gt;")&lt;=15,24,16))</f>
        <v>32</v>
      </c>
      <c r="F43" s="15">
        <f>IF(COUNTIF('Résultats des tournois'!$B43:'Résultats des tournois'!F43,"&lt;&gt;")&lt;=5,32,IF(COUNTIF('Résultats des tournois'!$B43:'Résultats des tournois'!F43,"&lt;&gt;")&lt;=15,24,16))</f>
        <v>32</v>
      </c>
      <c r="G43" s="15">
        <f>IF(COUNTIF('Résultats des tournois'!$B43:'Résultats des tournois'!G43,"&lt;&gt;")&lt;=5,32,IF(COUNTIF('Résultats des tournois'!$B43:'Résultats des tournois'!G43,"&lt;&gt;")&lt;=15,24,16))</f>
        <v>32</v>
      </c>
      <c r="H43" s="15">
        <f>IF(COUNTIF('Résultats des tournois'!$B43:'Résultats des tournois'!H43,"&lt;&gt;")&lt;=5,32,IF(COUNTIF('Résultats des tournois'!$B43:'Résultats des tournois'!H43,"&lt;&gt;")&lt;=15,24,16))</f>
        <v>32</v>
      </c>
      <c r="I43" s="15">
        <f>IF(COUNTIF('Résultats des tournois'!$B43:'Résultats des tournois'!I43,"&lt;&gt;")&lt;=5,32,IF(COUNTIF('Résultats des tournois'!$B43:'Résultats des tournois'!I43,"&lt;&gt;")&lt;=15,24,16))</f>
        <v>32</v>
      </c>
      <c r="J43" s="15">
        <f>IF(COUNTIF('Résultats des tournois'!$B43:'Résultats des tournois'!J43,"&lt;&gt;")&lt;=5,32,IF(COUNTIF('Résultats des tournois'!$B43:'Résultats des tournois'!J43,"&lt;&gt;")&lt;=15,24,16))</f>
        <v>32</v>
      </c>
      <c r="K43" s="15">
        <f>IF(COUNTIF('Résultats des tournois'!$B43:'Résultats des tournois'!K43,"&lt;&gt;")&lt;=5,32,IF(COUNTIF('Résultats des tournois'!$B43:'Résultats des tournois'!K43,"&lt;&gt;")&lt;=15,24,16))</f>
        <v>32</v>
      </c>
      <c r="L43" s="15">
        <f>IF(COUNTIF('Résultats des tournois'!$B43:'Résultats des tournois'!L43,"&lt;&gt;")&lt;=5,32,IF(COUNTIF('Résultats des tournois'!$B43:'Résultats des tournois'!L43,"&lt;&gt;")&lt;=15,24,16))</f>
        <v>32</v>
      </c>
      <c r="M43" s="15">
        <f>IF(COUNTIF('Résultats des tournois'!$B43:'Résultats des tournois'!M43,"&lt;&gt;")&lt;=5,32,IF(COUNTIF('Résultats des tournois'!$B43:'Résultats des tournois'!M43,"&lt;&gt;")&lt;=15,24,16))</f>
        <v>32</v>
      </c>
      <c r="N43" s="15">
        <f>IF(COUNTIF('Résultats des tournois'!$B43:'Résultats des tournois'!N43,"&lt;&gt;")&lt;=5,32,IF(COUNTIF('Résultats des tournois'!$B43:'Résultats des tournois'!N43,"&lt;&gt;")&lt;=15,24,16))</f>
        <v>32</v>
      </c>
      <c r="O43" s="15">
        <f>IF(COUNTIF('Résultats des tournois'!$B43:'Résultats des tournois'!O43,"&lt;&gt;")&lt;=5,32,IF(COUNTIF('Résultats des tournois'!$B43:'Résultats des tournois'!O43,"&lt;&gt;")&lt;=15,24,16))</f>
        <v>32</v>
      </c>
      <c r="P43" s="15">
        <f>IF(COUNTIF('Résultats des tournois'!$B43:'Résultats des tournois'!P43,"&lt;&gt;")&lt;=5,32,IF(COUNTIF('Résultats des tournois'!$B43:'Résultats des tournois'!P43,"&lt;&gt;")&lt;=15,24,16))</f>
        <v>32</v>
      </c>
      <c r="Q43" s="15">
        <f>IF(COUNTIF('Résultats des tournois'!$B43:'Résultats des tournois'!Q43,"&lt;&gt;")&lt;=5,32,IF(COUNTIF('Résultats des tournois'!$B43:'Résultats des tournois'!Q43,"&lt;&gt;")&lt;=15,24,16))</f>
        <v>32</v>
      </c>
      <c r="R43" s="15">
        <f>IF(COUNTIF('Résultats des tournois'!$B43:'Résultats des tournois'!R43,"&lt;&gt;")&lt;=5,32,IF(COUNTIF('Résultats des tournois'!$B43:'Résultats des tournois'!R43,"&lt;&gt;")&lt;=15,24,16))</f>
        <v>32</v>
      </c>
      <c r="S43" s="15">
        <f>IF(COUNTIF('Résultats des tournois'!$B43:'Résultats des tournois'!S43,"&lt;&gt;")&lt;=5,32,IF(COUNTIF('Résultats des tournois'!$B43:'Résultats des tournois'!S43,"&lt;&gt;")&lt;=15,24,16))</f>
        <v>32</v>
      </c>
      <c r="T43" s="15">
        <f>IF(COUNTIF('Résultats des tournois'!$B43:'Résultats des tournois'!T43,"&lt;&gt;")&lt;=5,32,IF(COUNTIF('Résultats des tournois'!$B43:'Résultats des tournois'!T43,"&lt;&gt;")&lt;=15,24,16))</f>
        <v>32</v>
      </c>
      <c r="U43" s="15">
        <f>IF(COUNTIF('Résultats des tournois'!$B43:'Résultats des tournois'!U43,"&lt;&gt;")&lt;=5,32,IF(COUNTIF('Résultats des tournois'!$B43:'Résultats des tournois'!U43,"&lt;&gt;")&lt;=15,24,16))</f>
        <v>32</v>
      </c>
      <c r="V43" s="15">
        <f>IF(COUNTIF('Résultats des tournois'!$B43:'Résultats des tournois'!V43,"&lt;&gt;")&lt;=5,32,IF(COUNTIF('Résultats des tournois'!$B43:'Résultats des tournois'!V43,"&lt;&gt;")&lt;=15,24,16))</f>
        <v>32</v>
      </c>
      <c r="W43" s="15">
        <f>IF(COUNTIF('Résultats des tournois'!$B43:'Résultats des tournois'!W43,"&lt;&gt;")&lt;=5,32,IF(COUNTIF('Résultats des tournois'!$B43:'Résultats des tournois'!W43,"&lt;&gt;")&lt;=15,24,16))</f>
        <v>32</v>
      </c>
      <c r="X43" s="15">
        <f>IF(COUNTIF('Résultats des tournois'!$B43:'Résultats des tournois'!X43,"&lt;&gt;")&lt;=5,32,IF(COUNTIF('Résultats des tournois'!$B43:'Résultats des tournois'!X43,"&lt;&gt;")&lt;=15,24,16))</f>
        <v>32</v>
      </c>
      <c r="Y43" s="15">
        <f>IF(COUNTIF('Résultats des tournois'!$B43:'Résultats des tournois'!Y43,"&lt;&gt;")&lt;=5,32,IF(COUNTIF('Résultats des tournois'!$B43:'Résultats des tournois'!Y43,"&lt;&gt;")&lt;=15,24,16))</f>
        <v>32</v>
      </c>
      <c r="Z43" s="15">
        <f>IF(COUNTIF('Résultats des tournois'!$B43:'Résultats des tournois'!Z43,"&lt;&gt;")&lt;=5,32,IF(COUNTIF('Résultats des tournois'!$B43:'Résultats des tournois'!Z43,"&lt;&gt;")&lt;=15,24,16))</f>
        <v>32</v>
      </c>
      <c r="AA43" s="15">
        <f>IF(COUNTIF('Résultats des tournois'!$B43:'Résultats des tournois'!AA43,"&lt;&gt;")&lt;=5,32,IF(COUNTIF('Résultats des tournois'!$B43:'Résultats des tournois'!AA43,"&lt;&gt;")&lt;=15,24,16))</f>
        <v>32</v>
      </c>
      <c r="AB43" s="15">
        <f>IF(COUNTIF('Résultats des tournois'!$B43:'Résultats des tournois'!AB43,"&lt;&gt;")&lt;=5,32,IF(COUNTIF('Résultats des tournois'!$B43:'Résultats des tournois'!AB43,"&lt;&gt;")&lt;=15,24,16))</f>
        <v>32</v>
      </c>
      <c r="AC43" s="15">
        <f>IF(COUNTIF('Résultats des tournois'!$B43:'Résultats des tournois'!AC43,"&lt;&gt;")&lt;=5,32,IF(COUNTIF('Résultats des tournois'!$B43:'Résultats des tournois'!AC43,"&lt;&gt;")&lt;=15,24,16))</f>
        <v>32</v>
      </c>
      <c r="AD43" s="15">
        <f>IF(COUNTIF('Résultats des tournois'!$B43:'Résultats des tournois'!AD43,"&lt;&gt;")&lt;=5,32,IF(COUNTIF('Résultats des tournois'!$B43:'Résultats des tournois'!AD43,"&lt;&gt;")&lt;=15,24,16))</f>
        <v>32</v>
      </c>
      <c r="AE43" s="15">
        <f>IF(COUNTIF('Résultats des tournois'!$B43:'Résultats des tournois'!AE43,"&lt;&gt;")&lt;=5,32,IF(COUNTIF('Résultats des tournois'!$B43:'Résultats des tournois'!AE43,"&lt;&gt;")&lt;=15,24,16))</f>
        <v>32</v>
      </c>
      <c r="AF43" s="15">
        <f>IF(COUNTIF('Résultats des tournois'!$B43:'Résultats des tournois'!AF43,"&lt;&gt;")&lt;=5,32,IF(COUNTIF('Résultats des tournois'!$B43:'Résultats des tournois'!AF43,"&lt;&gt;")&lt;=15,24,16))</f>
        <v>32</v>
      </c>
      <c r="AG43" s="15">
        <f>IF(COUNTIF('Résultats des tournois'!$B43:'Résultats des tournois'!AG43,"&lt;&gt;")&lt;=5,32,IF(COUNTIF('Résultats des tournois'!$B43:'Résultats des tournois'!AG43,"&lt;&gt;")&lt;=15,24,16))</f>
        <v>32</v>
      </c>
      <c r="AH43" s="15">
        <f>IF(COUNTIF('Résultats des tournois'!$B43:'Résultats des tournois'!AH43,"&lt;&gt;")&lt;=5,32,IF(COUNTIF('Résultats des tournois'!$B43:'Résultats des tournois'!AH43,"&lt;&gt;")&lt;=15,24,16))</f>
        <v>32</v>
      </c>
      <c r="AI43" s="15">
        <f>IF(COUNTIF('Résultats des tournois'!$B43:'Résultats des tournois'!AI43,"&lt;&gt;")&lt;=5,32,IF(COUNTIF('Résultats des tournois'!$B43:'Résultats des tournois'!AI43,"&lt;&gt;")&lt;=15,24,16))</f>
        <v>32</v>
      </c>
      <c r="AJ43" s="15">
        <f>IF(COUNTIF('Résultats des tournois'!$B43:'Résultats des tournois'!AJ43,"&lt;&gt;")&lt;=5,32,IF(COUNTIF('Résultats des tournois'!$B43:'Résultats des tournois'!AJ43,"&lt;&gt;")&lt;=15,24,16))</f>
        <v>32</v>
      </c>
      <c r="AK43" s="15">
        <f>IF(COUNTIF('Résultats des tournois'!$B43:'Résultats des tournois'!AK43,"&lt;&gt;")&lt;=5,32,IF(COUNTIF('Résultats des tournois'!$B43:'Résultats des tournois'!AK43,"&lt;&gt;")&lt;=15,24,16))</f>
        <v>32</v>
      </c>
      <c r="AL43" s="15">
        <f>IF(COUNTIF('Résultats des tournois'!$B43:'Résultats des tournois'!AL43,"&lt;&gt;")&lt;=5,32,IF(COUNTIF('Résultats des tournois'!$B43:'Résultats des tournois'!AL43,"&lt;&gt;")&lt;=15,24,16))</f>
        <v>32</v>
      </c>
      <c r="AM43" s="15">
        <f>IF(COUNTIF('Résultats des tournois'!$B43:'Résultats des tournois'!AM43,"&lt;&gt;")&lt;=5,32,IF(COUNTIF('Résultats des tournois'!$B43:'Résultats des tournois'!AM43,"&lt;&gt;")&lt;=15,24,16))</f>
        <v>32</v>
      </c>
      <c r="AN43" s="15">
        <f>IF(COUNTIF('Résultats des tournois'!$B43:'Résultats des tournois'!AN43,"&lt;&gt;")&lt;=5,32,IF(COUNTIF('Résultats des tournois'!$B43:'Résultats des tournois'!AN43,"&lt;&gt;")&lt;=15,24,16))</f>
        <v>32</v>
      </c>
      <c r="AO43" s="15">
        <f>IF(COUNTIF('Résultats des tournois'!$B43:'Résultats des tournois'!AO43,"&lt;&gt;")&lt;=5,32,IF(COUNTIF('Résultats des tournois'!$B43:'Résultats des tournois'!AO43,"&lt;&gt;")&lt;=15,24,16))</f>
        <v>32</v>
      </c>
      <c r="AP43" s="15">
        <f>IF(COUNTIF('Résultats des tournois'!$B43:'Résultats des tournois'!AP43,"&lt;&gt;")&lt;=5,32,IF(COUNTIF('Résultats des tournois'!$B43:'Résultats des tournois'!AP43,"&lt;&gt;")&lt;=15,24,16))</f>
        <v>32</v>
      </c>
      <c r="AQ43" s="15">
        <f>IF(COUNTIF('Résultats des tournois'!$B43:'Résultats des tournois'!AQ43,"&lt;&gt;")&lt;=5,32,IF(COUNTIF('Résultats des tournois'!$B43:'Résultats des tournois'!AQ43,"&lt;&gt;")&lt;=15,24,16))</f>
        <v>32</v>
      </c>
      <c r="AR43" s="15">
        <f>IF(COUNTIF('Résultats des tournois'!$B43:'Résultats des tournois'!AR43,"&lt;&gt;")&lt;=5,32,IF(COUNTIF('Résultats des tournois'!$B43:'Résultats des tournois'!AR43,"&lt;&gt;")&lt;=15,24,16))</f>
        <v>32</v>
      </c>
      <c r="AS43" s="15">
        <f>IF(COUNTIF('Résultats des tournois'!$B43:'Résultats des tournois'!AS43,"&lt;&gt;")&lt;=5,32,IF(COUNTIF('Résultats des tournois'!$B43:'Résultats des tournois'!AS43,"&lt;&gt;")&lt;=15,24,16))</f>
        <v>32</v>
      </c>
      <c r="AT43" s="15">
        <f>IF(COUNTIF('Résultats des tournois'!$B43:'Résultats des tournois'!AT43,"&lt;&gt;")&lt;=5,32,IF(COUNTIF('Résultats des tournois'!$B43:'Résultats des tournois'!AT43,"&lt;&gt;")&lt;=15,24,16))</f>
        <v>32</v>
      </c>
      <c r="AU43" s="15">
        <f>IF(COUNTIF('Résultats des tournois'!$B43:'Résultats des tournois'!AU43,"&lt;&gt;")&lt;=5,32,IF(COUNTIF('Résultats des tournois'!$B43:'Résultats des tournois'!AU43,"&lt;&gt;")&lt;=15,24,16))</f>
        <v>32</v>
      </c>
      <c r="AV43" s="15">
        <f>IF(COUNTIF('Résultats des tournois'!$B43:'Résultats des tournois'!AV43,"&lt;&gt;")&lt;=5,32,IF(COUNTIF('Résultats des tournois'!$B43:'Résultats des tournois'!AV43,"&lt;&gt;")&lt;=15,24,16))</f>
        <v>32</v>
      </c>
      <c r="AW43" s="15">
        <f>IF(COUNTIF('Résultats des tournois'!$B43:'Résultats des tournois'!AW43,"&lt;&gt;")&lt;=5,32,IF(COUNTIF('Résultats des tournois'!$B43:'Résultats des tournois'!AW43,"&lt;&gt;")&lt;=15,24,16))</f>
        <v>32</v>
      </c>
      <c r="AX43" s="15">
        <f>IF(COUNTIF('Résultats des tournois'!$B43:'Résultats des tournois'!AX43,"&lt;&gt;")&lt;=5,32,IF(COUNTIF('Résultats des tournois'!$B43:'Résultats des tournois'!AX43,"&lt;&gt;")&lt;=15,24,16))</f>
        <v>32</v>
      </c>
    </row>
    <row r="44" ht="14.25" customHeight="1">
      <c r="A44" s="15" t="str">
        <f>IF('Résultats des tournois'!A44="","",'Résultats des tournois'!A44)</f>
        <v/>
      </c>
      <c r="B44" s="15">
        <f>IF(COUNTIF('Résultats des tournois'!B44,"&lt;&gt;")&lt;=5,32,IF(COUNTIF('Résultats des tournois'!B44,"&lt;&gt;")&lt;=15,24,16))</f>
        <v>32</v>
      </c>
      <c r="C44" s="15">
        <f>IF(COUNTIF('Résultats des tournois'!$B44:'Résultats des tournois'!C44,"&lt;&gt;")&lt;=5,32,IF(COUNTIF('Résultats des tournois'!$B44:'Résultats des tournois'!C44,"&lt;&gt;")&lt;=15,24,16))</f>
        <v>32</v>
      </c>
      <c r="D44" s="15">
        <f>IF(COUNTIF('Résultats des tournois'!$B44:'Résultats des tournois'!D44,"&lt;&gt;")&lt;=5,32,IF(COUNTIF('Résultats des tournois'!$B44:'Résultats des tournois'!D44,"&lt;&gt;")&lt;=15,24,16))</f>
        <v>32</v>
      </c>
      <c r="E44" s="15">
        <f>IF(COUNTIF('Résultats des tournois'!$B44:'Résultats des tournois'!E44,"&lt;&gt;")&lt;=5,32,IF(COUNTIF('Résultats des tournois'!$B44:'Résultats des tournois'!E44,"&lt;&gt;")&lt;=15,24,16))</f>
        <v>32</v>
      </c>
      <c r="F44" s="15">
        <f>IF(COUNTIF('Résultats des tournois'!$B44:'Résultats des tournois'!F44,"&lt;&gt;")&lt;=5,32,IF(COUNTIF('Résultats des tournois'!$B44:'Résultats des tournois'!F44,"&lt;&gt;")&lt;=15,24,16))</f>
        <v>32</v>
      </c>
      <c r="G44" s="15">
        <f>IF(COUNTIF('Résultats des tournois'!$B44:'Résultats des tournois'!G44,"&lt;&gt;")&lt;=5,32,IF(COUNTIF('Résultats des tournois'!$B44:'Résultats des tournois'!G44,"&lt;&gt;")&lt;=15,24,16))</f>
        <v>32</v>
      </c>
      <c r="H44" s="15">
        <f>IF(COUNTIF('Résultats des tournois'!$B44:'Résultats des tournois'!H44,"&lt;&gt;")&lt;=5,32,IF(COUNTIF('Résultats des tournois'!$B44:'Résultats des tournois'!H44,"&lt;&gt;")&lt;=15,24,16))</f>
        <v>32</v>
      </c>
      <c r="I44" s="15">
        <f>IF(COUNTIF('Résultats des tournois'!$B44:'Résultats des tournois'!I44,"&lt;&gt;")&lt;=5,32,IF(COUNTIF('Résultats des tournois'!$B44:'Résultats des tournois'!I44,"&lt;&gt;")&lt;=15,24,16))</f>
        <v>32</v>
      </c>
      <c r="J44" s="15">
        <f>IF(COUNTIF('Résultats des tournois'!$B44:'Résultats des tournois'!J44,"&lt;&gt;")&lt;=5,32,IF(COUNTIF('Résultats des tournois'!$B44:'Résultats des tournois'!J44,"&lt;&gt;")&lt;=15,24,16))</f>
        <v>32</v>
      </c>
      <c r="K44" s="15">
        <f>IF(COUNTIF('Résultats des tournois'!$B44:'Résultats des tournois'!K44,"&lt;&gt;")&lt;=5,32,IF(COUNTIF('Résultats des tournois'!$B44:'Résultats des tournois'!K44,"&lt;&gt;")&lt;=15,24,16))</f>
        <v>32</v>
      </c>
      <c r="L44" s="15">
        <f>IF(COUNTIF('Résultats des tournois'!$B44:'Résultats des tournois'!L44,"&lt;&gt;")&lt;=5,32,IF(COUNTIF('Résultats des tournois'!$B44:'Résultats des tournois'!L44,"&lt;&gt;")&lt;=15,24,16))</f>
        <v>32</v>
      </c>
      <c r="M44" s="15">
        <f>IF(COUNTIF('Résultats des tournois'!$B44:'Résultats des tournois'!M44,"&lt;&gt;")&lt;=5,32,IF(COUNTIF('Résultats des tournois'!$B44:'Résultats des tournois'!M44,"&lt;&gt;")&lt;=15,24,16))</f>
        <v>32</v>
      </c>
      <c r="N44" s="15">
        <f>IF(COUNTIF('Résultats des tournois'!$B44:'Résultats des tournois'!N44,"&lt;&gt;")&lt;=5,32,IF(COUNTIF('Résultats des tournois'!$B44:'Résultats des tournois'!N44,"&lt;&gt;")&lt;=15,24,16))</f>
        <v>32</v>
      </c>
      <c r="O44" s="15">
        <f>IF(COUNTIF('Résultats des tournois'!$B44:'Résultats des tournois'!O44,"&lt;&gt;")&lt;=5,32,IF(COUNTIF('Résultats des tournois'!$B44:'Résultats des tournois'!O44,"&lt;&gt;")&lt;=15,24,16))</f>
        <v>32</v>
      </c>
      <c r="P44" s="15">
        <f>IF(COUNTIF('Résultats des tournois'!$B44:'Résultats des tournois'!P44,"&lt;&gt;")&lt;=5,32,IF(COUNTIF('Résultats des tournois'!$B44:'Résultats des tournois'!P44,"&lt;&gt;")&lt;=15,24,16))</f>
        <v>32</v>
      </c>
      <c r="Q44" s="15">
        <f>IF(COUNTIF('Résultats des tournois'!$B44:'Résultats des tournois'!Q44,"&lt;&gt;")&lt;=5,32,IF(COUNTIF('Résultats des tournois'!$B44:'Résultats des tournois'!Q44,"&lt;&gt;")&lt;=15,24,16))</f>
        <v>32</v>
      </c>
      <c r="R44" s="15">
        <f>IF(COUNTIF('Résultats des tournois'!$B44:'Résultats des tournois'!R44,"&lt;&gt;")&lt;=5,32,IF(COUNTIF('Résultats des tournois'!$B44:'Résultats des tournois'!R44,"&lt;&gt;")&lt;=15,24,16))</f>
        <v>32</v>
      </c>
      <c r="S44" s="15">
        <f>IF(COUNTIF('Résultats des tournois'!$B44:'Résultats des tournois'!S44,"&lt;&gt;")&lt;=5,32,IF(COUNTIF('Résultats des tournois'!$B44:'Résultats des tournois'!S44,"&lt;&gt;")&lt;=15,24,16))</f>
        <v>32</v>
      </c>
      <c r="T44" s="15">
        <f>IF(COUNTIF('Résultats des tournois'!$B44:'Résultats des tournois'!T44,"&lt;&gt;")&lt;=5,32,IF(COUNTIF('Résultats des tournois'!$B44:'Résultats des tournois'!T44,"&lt;&gt;")&lt;=15,24,16))</f>
        <v>32</v>
      </c>
      <c r="U44" s="15">
        <f>IF(COUNTIF('Résultats des tournois'!$B44:'Résultats des tournois'!U44,"&lt;&gt;")&lt;=5,32,IF(COUNTIF('Résultats des tournois'!$B44:'Résultats des tournois'!U44,"&lt;&gt;")&lt;=15,24,16))</f>
        <v>32</v>
      </c>
      <c r="V44" s="15">
        <f>IF(COUNTIF('Résultats des tournois'!$B44:'Résultats des tournois'!V44,"&lt;&gt;")&lt;=5,32,IF(COUNTIF('Résultats des tournois'!$B44:'Résultats des tournois'!V44,"&lt;&gt;")&lt;=15,24,16))</f>
        <v>32</v>
      </c>
      <c r="W44" s="15">
        <f>IF(COUNTIF('Résultats des tournois'!$B44:'Résultats des tournois'!W44,"&lt;&gt;")&lt;=5,32,IF(COUNTIF('Résultats des tournois'!$B44:'Résultats des tournois'!W44,"&lt;&gt;")&lt;=15,24,16))</f>
        <v>32</v>
      </c>
      <c r="X44" s="15">
        <f>IF(COUNTIF('Résultats des tournois'!$B44:'Résultats des tournois'!X44,"&lt;&gt;")&lt;=5,32,IF(COUNTIF('Résultats des tournois'!$B44:'Résultats des tournois'!X44,"&lt;&gt;")&lt;=15,24,16))</f>
        <v>32</v>
      </c>
      <c r="Y44" s="15">
        <f>IF(COUNTIF('Résultats des tournois'!$B44:'Résultats des tournois'!Y44,"&lt;&gt;")&lt;=5,32,IF(COUNTIF('Résultats des tournois'!$B44:'Résultats des tournois'!Y44,"&lt;&gt;")&lt;=15,24,16))</f>
        <v>32</v>
      </c>
      <c r="Z44" s="15">
        <f>IF(COUNTIF('Résultats des tournois'!$B44:'Résultats des tournois'!Z44,"&lt;&gt;")&lt;=5,32,IF(COUNTIF('Résultats des tournois'!$B44:'Résultats des tournois'!Z44,"&lt;&gt;")&lt;=15,24,16))</f>
        <v>32</v>
      </c>
      <c r="AA44" s="15">
        <f>IF(COUNTIF('Résultats des tournois'!$B44:'Résultats des tournois'!AA44,"&lt;&gt;")&lt;=5,32,IF(COUNTIF('Résultats des tournois'!$B44:'Résultats des tournois'!AA44,"&lt;&gt;")&lt;=15,24,16))</f>
        <v>32</v>
      </c>
      <c r="AB44" s="15">
        <f>IF(COUNTIF('Résultats des tournois'!$B44:'Résultats des tournois'!AB44,"&lt;&gt;")&lt;=5,32,IF(COUNTIF('Résultats des tournois'!$B44:'Résultats des tournois'!AB44,"&lt;&gt;")&lt;=15,24,16))</f>
        <v>32</v>
      </c>
      <c r="AC44" s="15">
        <f>IF(COUNTIF('Résultats des tournois'!$B44:'Résultats des tournois'!AC44,"&lt;&gt;")&lt;=5,32,IF(COUNTIF('Résultats des tournois'!$B44:'Résultats des tournois'!AC44,"&lt;&gt;")&lt;=15,24,16))</f>
        <v>32</v>
      </c>
      <c r="AD44" s="15">
        <f>IF(COUNTIF('Résultats des tournois'!$B44:'Résultats des tournois'!AD44,"&lt;&gt;")&lt;=5,32,IF(COUNTIF('Résultats des tournois'!$B44:'Résultats des tournois'!AD44,"&lt;&gt;")&lt;=15,24,16))</f>
        <v>32</v>
      </c>
      <c r="AE44" s="15">
        <f>IF(COUNTIF('Résultats des tournois'!$B44:'Résultats des tournois'!AE44,"&lt;&gt;")&lt;=5,32,IF(COUNTIF('Résultats des tournois'!$B44:'Résultats des tournois'!AE44,"&lt;&gt;")&lt;=15,24,16))</f>
        <v>32</v>
      </c>
      <c r="AF44" s="15">
        <f>IF(COUNTIF('Résultats des tournois'!$B44:'Résultats des tournois'!AF44,"&lt;&gt;")&lt;=5,32,IF(COUNTIF('Résultats des tournois'!$B44:'Résultats des tournois'!AF44,"&lt;&gt;")&lt;=15,24,16))</f>
        <v>32</v>
      </c>
      <c r="AG44" s="15">
        <f>IF(COUNTIF('Résultats des tournois'!$B44:'Résultats des tournois'!AG44,"&lt;&gt;")&lt;=5,32,IF(COUNTIF('Résultats des tournois'!$B44:'Résultats des tournois'!AG44,"&lt;&gt;")&lt;=15,24,16))</f>
        <v>32</v>
      </c>
      <c r="AH44" s="15">
        <f>IF(COUNTIF('Résultats des tournois'!$B44:'Résultats des tournois'!AH44,"&lt;&gt;")&lt;=5,32,IF(COUNTIF('Résultats des tournois'!$B44:'Résultats des tournois'!AH44,"&lt;&gt;")&lt;=15,24,16))</f>
        <v>32</v>
      </c>
      <c r="AI44" s="15">
        <f>IF(COUNTIF('Résultats des tournois'!$B44:'Résultats des tournois'!AI44,"&lt;&gt;")&lt;=5,32,IF(COUNTIF('Résultats des tournois'!$B44:'Résultats des tournois'!AI44,"&lt;&gt;")&lt;=15,24,16))</f>
        <v>32</v>
      </c>
      <c r="AJ44" s="15">
        <f>IF(COUNTIF('Résultats des tournois'!$B44:'Résultats des tournois'!AJ44,"&lt;&gt;")&lt;=5,32,IF(COUNTIF('Résultats des tournois'!$B44:'Résultats des tournois'!AJ44,"&lt;&gt;")&lt;=15,24,16))</f>
        <v>32</v>
      </c>
      <c r="AK44" s="15">
        <f>IF(COUNTIF('Résultats des tournois'!$B44:'Résultats des tournois'!AK44,"&lt;&gt;")&lt;=5,32,IF(COUNTIF('Résultats des tournois'!$B44:'Résultats des tournois'!AK44,"&lt;&gt;")&lt;=15,24,16))</f>
        <v>32</v>
      </c>
      <c r="AL44" s="15">
        <f>IF(COUNTIF('Résultats des tournois'!$B44:'Résultats des tournois'!AL44,"&lt;&gt;")&lt;=5,32,IF(COUNTIF('Résultats des tournois'!$B44:'Résultats des tournois'!AL44,"&lt;&gt;")&lt;=15,24,16))</f>
        <v>32</v>
      </c>
      <c r="AM44" s="15">
        <f>IF(COUNTIF('Résultats des tournois'!$B44:'Résultats des tournois'!AM44,"&lt;&gt;")&lt;=5,32,IF(COUNTIF('Résultats des tournois'!$B44:'Résultats des tournois'!AM44,"&lt;&gt;")&lt;=15,24,16))</f>
        <v>32</v>
      </c>
      <c r="AN44" s="15">
        <f>IF(COUNTIF('Résultats des tournois'!$B44:'Résultats des tournois'!AN44,"&lt;&gt;")&lt;=5,32,IF(COUNTIF('Résultats des tournois'!$B44:'Résultats des tournois'!AN44,"&lt;&gt;")&lt;=15,24,16))</f>
        <v>32</v>
      </c>
      <c r="AO44" s="15">
        <f>IF(COUNTIF('Résultats des tournois'!$B44:'Résultats des tournois'!AO44,"&lt;&gt;")&lt;=5,32,IF(COUNTIF('Résultats des tournois'!$B44:'Résultats des tournois'!AO44,"&lt;&gt;")&lt;=15,24,16))</f>
        <v>32</v>
      </c>
      <c r="AP44" s="15">
        <f>IF(COUNTIF('Résultats des tournois'!$B44:'Résultats des tournois'!AP44,"&lt;&gt;")&lt;=5,32,IF(COUNTIF('Résultats des tournois'!$B44:'Résultats des tournois'!AP44,"&lt;&gt;")&lt;=15,24,16))</f>
        <v>32</v>
      </c>
      <c r="AQ44" s="15">
        <f>IF(COUNTIF('Résultats des tournois'!$B44:'Résultats des tournois'!AQ44,"&lt;&gt;")&lt;=5,32,IF(COUNTIF('Résultats des tournois'!$B44:'Résultats des tournois'!AQ44,"&lt;&gt;")&lt;=15,24,16))</f>
        <v>32</v>
      </c>
      <c r="AR44" s="15">
        <f>IF(COUNTIF('Résultats des tournois'!$B44:'Résultats des tournois'!AR44,"&lt;&gt;")&lt;=5,32,IF(COUNTIF('Résultats des tournois'!$B44:'Résultats des tournois'!AR44,"&lt;&gt;")&lt;=15,24,16))</f>
        <v>32</v>
      </c>
      <c r="AS44" s="15">
        <f>IF(COUNTIF('Résultats des tournois'!$B44:'Résultats des tournois'!AS44,"&lt;&gt;")&lt;=5,32,IF(COUNTIF('Résultats des tournois'!$B44:'Résultats des tournois'!AS44,"&lt;&gt;")&lt;=15,24,16))</f>
        <v>32</v>
      </c>
      <c r="AT44" s="15">
        <f>IF(COUNTIF('Résultats des tournois'!$B44:'Résultats des tournois'!AT44,"&lt;&gt;")&lt;=5,32,IF(COUNTIF('Résultats des tournois'!$B44:'Résultats des tournois'!AT44,"&lt;&gt;")&lt;=15,24,16))</f>
        <v>32</v>
      </c>
      <c r="AU44" s="15">
        <f>IF(COUNTIF('Résultats des tournois'!$B44:'Résultats des tournois'!AU44,"&lt;&gt;")&lt;=5,32,IF(COUNTIF('Résultats des tournois'!$B44:'Résultats des tournois'!AU44,"&lt;&gt;")&lt;=15,24,16))</f>
        <v>32</v>
      </c>
      <c r="AV44" s="15">
        <f>IF(COUNTIF('Résultats des tournois'!$B44:'Résultats des tournois'!AV44,"&lt;&gt;")&lt;=5,32,IF(COUNTIF('Résultats des tournois'!$B44:'Résultats des tournois'!AV44,"&lt;&gt;")&lt;=15,24,16))</f>
        <v>32</v>
      </c>
      <c r="AW44" s="15">
        <f>IF(COUNTIF('Résultats des tournois'!$B44:'Résultats des tournois'!AW44,"&lt;&gt;")&lt;=5,32,IF(COUNTIF('Résultats des tournois'!$B44:'Résultats des tournois'!AW44,"&lt;&gt;")&lt;=15,24,16))</f>
        <v>32</v>
      </c>
      <c r="AX44" s="15">
        <f>IF(COUNTIF('Résultats des tournois'!$B44:'Résultats des tournois'!AX44,"&lt;&gt;")&lt;=5,32,IF(COUNTIF('Résultats des tournois'!$B44:'Résultats des tournois'!AX44,"&lt;&gt;")&lt;=15,24,16))</f>
        <v>32</v>
      </c>
    </row>
    <row r="45" ht="14.25" customHeight="1">
      <c r="A45" s="15" t="str">
        <f>IF('Résultats des tournois'!A45="","",'Résultats des tournois'!A45)</f>
        <v/>
      </c>
      <c r="B45" s="15">
        <f>IF(COUNTIF('Résultats des tournois'!B45,"&lt;&gt;")&lt;=5,32,IF(COUNTIF('Résultats des tournois'!B45,"&lt;&gt;")&lt;=15,24,16))</f>
        <v>32</v>
      </c>
      <c r="C45" s="15">
        <f>IF(COUNTIF('Résultats des tournois'!$B45:'Résultats des tournois'!C45,"&lt;&gt;")&lt;=5,32,IF(COUNTIF('Résultats des tournois'!$B45:'Résultats des tournois'!C45,"&lt;&gt;")&lt;=15,24,16))</f>
        <v>32</v>
      </c>
      <c r="D45" s="15">
        <f>IF(COUNTIF('Résultats des tournois'!$B45:'Résultats des tournois'!D45,"&lt;&gt;")&lt;=5,32,IF(COUNTIF('Résultats des tournois'!$B45:'Résultats des tournois'!D45,"&lt;&gt;")&lt;=15,24,16))</f>
        <v>32</v>
      </c>
      <c r="E45" s="15">
        <f>IF(COUNTIF('Résultats des tournois'!$B45:'Résultats des tournois'!E45,"&lt;&gt;")&lt;=5,32,IF(COUNTIF('Résultats des tournois'!$B45:'Résultats des tournois'!E45,"&lt;&gt;")&lt;=15,24,16))</f>
        <v>32</v>
      </c>
      <c r="F45" s="15">
        <f>IF(COUNTIF('Résultats des tournois'!$B45:'Résultats des tournois'!F45,"&lt;&gt;")&lt;=5,32,IF(COUNTIF('Résultats des tournois'!$B45:'Résultats des tournois'!F45,"&lt;&gt;")&lt;=15,24,16))</f>
        <v>32</v>
      </c>
      <c r="G45" s="15">
        <f>IF(COUNTIF('Résultats des tournois'!$B45:'Résultats des tournois'!G45,"&lt;&gt;")&lt;=5,32,IF(COUNTIF('Résultats des tournois'!$B45:'Résultats des tournois'!G45,"&lt;&gt;")&lt;=15,24,16))</f>
        <v>32</v>
      </c>
      <c r="H45" s="15">
        <f>IF(COUNTIF('Résultats des tournois'!$B45:'Résultats des tournois'!H45,"&lt;&gt;")&lt;=5,32,IF(COUNTIF('Résultats des tournois'!$B45:'Résultats des tournois'!H45,"&lt;&gt;")&lt;=15,24,16))</f>
        <v>32</v>
      </c>
      <c r="I45" s="15">
        <f>IF(COUNTIF('Résultats des tournois'!$B45:'Résultats des tournois'!I45,"&lt;&gt;")&lt;=5,32,IF(COUNTIF('Résultats des tournois'!$B45:'Résultats des tournois'!I45,"&lt;&gt;")&lt;=15,24,16))</f>
        <v>32</v>
      </c>
      <c r="J45" s="15">
        <f>IF(COUNTIF('Résultats des tournois'!$B45:'Résultats des tournois'!J45,"&lt;&gt;")&lt;=5,32,IF(COUNTIF('Résultats des tournois'!$B45:'Résultats des tournois'!J45,"&lt;&gt;")&lt;=15,24,16))</f>
        <v>32</v>
      </c>
      <c r="K45" s="15">
        <f>IF(COUNTIF('Résultats des tournois'!$B45:'Résultats des tournois'!K45,"&lt;&gt;")&lt;=5,32,IF(COUNTIF('Résultats des tournois'!$B45:'Résultats des tournois'!K45,"&lt;&gt;")&lt;=15,24,16))</f>
        <v>32</v>
      </c>
      <c r="L45" s="15">
        <f>IF(COUNTIF('Résultats des tournois'!$B45:'Résultats des tournois'!L45,"&lt;&gt;")&lt;=5,32,IF(COUNTIF('Résultats des tournois'!$B45:'Résultats des tournois'!L45,"&lt;&gt;")&lt;=15,24,16))</f>
        <v>32</v>
      </c>
      <c r="M45" s="15">
        <f>IF(COUNTIF('Résultats des tournois'!$B45:'Résultats des tournois'!M45,"&lt;&gt;")&lt;=5,32,IF(COUNTIF('Résultats des tournois'!$B45:'Résultats des tournois'!M45,"&lt;&gt;")&lt;=15,24,16))</f>
        <v>32</v>
      </c>
      <c r="N45" s="15">
        <f>IF(COUNTIF('Résultats des tournois'!$B45:'Résultats des tournois'!N45,"&lt;&gt;")&lt;=5,32,IF(COUNTIF('Résultats des tournois'!$B45:'Résultats des tournois'!N45,"&lt;&gt;")&lt;=15,24,16))</f>
        <v>32</v>
      </c>
      <c r="O45" s="15">
        <f>IF(COUNTIF('Résultats des tournois'!$B45:'Résultats des tournois'!O45,"&lt;&gt;")&lt;=5,32,IF(COUNTIF('Résultats des tournois'!$B45:'Résultats des tournois'!O45,"&lt;&gt;")&lt;=15,24,16))</f>
        <v>32</v>
      </c>
      <c r="P45" s="15">
        <f>IF(COUNTIF('Résultats des tournois'!$B45:'Résultats des tournois'!P45,"&lt;&gt;")&lt;=5,32,IF(COUNTIF('Résultats des tournois'!$B45:'Résultats des tournois'!P45,"&lt;&gt;")&lt;=15,24,16))</f>
        <v>32</v>
      </c>
      <c r="Q45" s="15">
        <f>IF(COUNTIF('Résultats des tournois'!$B45:'Résultats des tournois'!Q45,"&lt;&gt;")&lt;=5,32,IF(COUNTIF('Résultats des tournois'!$B45:'Résultats des tournois'!Q45,"&lt;&gt;")&lt;=15,24,16))</f>
        <v>32</v>
      </c>
      <c r="R45" s="15">
        <f>IF(COUNTIF('Résultats des tournois'!$B45:'Résultats des tournois'!R45,"&lt;&gt;")&lt;=5,32,IF(COUNTIF('Résultats des tournois'!$B45:'Résultats des tournois'!R45,"&lt;&gt;")&lt;=15,24,16))</f>
        <v>32</v>
      </c>
      <c r="S45" s="15">
        <f>IF(COUNTIF('Résultats des tournois'!$B45:'Résultats des tournois'!S45,"&lt;&gt;")&lt;=5,32,IF(COUNTIF('Résultats des tournois'!$B45:'Résultats des tournois'!S45,"&lt;&gt;")&lt;=15,24,16))</f>
        <v>32</v>
      </c>
      <c r="T45" s="15">
        <f>IF(COUNTIF('Résultats des tournois'!$B45:'Résultats des tournois'!T45,"&lt;&gt;")&lt;=5,32,IF(COUNTIF('Résultats des tournois'!$B45:'Résultats des tournois'!T45,"&lt;&gt;")&lt;=15,24,16))</f>
        <v>32</v>
      </c>
      <c r="U45" s="15">
        <f>IF(COUNTIF('Résultats des tournois'!$B45:'Résultats des tournois'!U45,"&lt;&gt;")&lt;=5,32,IF(COUNTIF('Résultats des tournois'!$B45:'Résultats des tournois'!U45,"&lt;&gt;")&lt;=15,24,16))</f>
        <v>32</v>
      </c>
      <c r="V45" s="15">
        <f>IF(COUNTIF('Résultats des tournois'!$B45:'Résultats des tournois'!V45,"&lt;&gt;")&lt;=5,32,IF(COUNTIF('Résultats des tournois'!$B45:'Résultats des tournois'!V45,"&lt;&gt;")&lt;=15,24,16))</f>
        <v>32</v>
      </c>
      <c r="W45" s="15">
        <f>IF(COUNTIF('Résultats des tournois'!$B45:'Résultats des tournois'!W45,"&lt;&gt;")&lt;=5,32,IF(COUNTIF('Résultats des tournois'!$B45:'Résultats des tournois'!W45,"&lt;&gt;")&lt;=15,24,16))</f>
        <v>32</v>
      </c>
      <c r="X45" s="15">
        <f>IF(COUNTIF('Résultats des tournois'!$B45:'Résultats des tournois'!X45,"&lt;&gt;")&lt;=5,32,IF(COUNTIF('Résultats des tournois'!$B45:'Résultats des tournois'!X45,"&lt;&gt;")&lt;=15,24,16))</f>
        <v>32</v>
      </c>
      <c r="Y45" s="15">
        <f>IF(COUNTIF('Résultats des tournois'!$B45:'Résultats des tournois'!Y45,"&lt;&gt;")&lt;=5,32,IF(COUNTIF('Résultats des tournois'!$B45:'Résultats des tournois'!Y45,"&lt;&gt;")&lt;=15,24,16))</f>
        <v>32</v>
      </c>
      <c r="Z45" s="15">
        <f>IF(COUNTIF('Résultats des tournois'!$B45:'Résultats des tournois'!Z45,"&lt;&gt;")&lt;=5,32,IF(COUNTIF('Résultats des tournois'!$B45:'Résultats des tournois'!Z45,"&lt;&gt;")&lt;=15,24,16))</f>
        <v>32</v>
      </c>
      <c r="AA45" s="15">
        <f>IF(COUNTIF('Résultats des tournois'!$B45:'Résultats des tournois'!AA45,"&lt;&gt;")&lt;=5,32,IF(COUNTIF('Résultats des tournois'!$B45:'Résultats des tournois'!AA45,"&lt;&gt;")&lt;=15,24,16))</f>
        <v>32</v>
      </c>
      <c r="AB45" s="15">
        <f>IF(COUNTIF('Résultats des tournois'!$B45:'Résultats des tournois'!AB45,"&lt;&gt;")&lt;=5,32,IF(COUNTIF('Résultats des tournois'!$B45:'Résultats des tournois'!AB45,"&lt;&gt;")&lt;=15,24,16))</f>
        <v>32</v>
      </c>
      <c r="AC45" s="15">
        <f>IF(COUNTIF('Résultats des tournois'!$B45:'Résultats des tournois'!AC45,"&lt;&gt;")&lt;=5,32,IF(COUNTIF('Résultats des tournois'!$B45:'Résultats des tournois'!AC45,"&lt;&gt;")&lt;=15,24,16))</f>
        <v>32</v>
      </c>
      <c r="AD45" s="15">
        <f>IF(COUNTIF('Résultats des tournois'!$B45:'Résultats des tournois'!AD45,"&lt;&gt;")&lt;=5,32,IF(COUNTIF('Résultats des tournois'!$B45:'Résultats des tournois'!AD45,"&lt;&gt;")&lt;=15,24,16))</f>
        <v>32</v>
      </c>
      <c r="AE45" s="15">
        <f>IF(COUNTIF('Résultats des tournois'!$B45:'Résultats des tournois'!AE45,"&lt;&gt;")&lt;=5,32,IF(COUNTIF('Résultats des tournois'!$B45:'Résultats des tournois'!AE45,"&lt;&gt;")&lt;=15,24,16))</f>
        <v>32</v>
      </c>
      <c r="AF45" s="15">
        <f>IF(COUNTIF('Résultats des tournois'!$B45:'Résultats des tournois'!AF45,"&lt;&gt;")&lt;=5,32,IF(COUNTIF('Résultats des tournois'!$B45:'Résultats des tournois'!AF45,"&lt;&gt;")&lt;=15,24,16))</f>
        <v>32</v>
      </c>
      <c r="AG45" s="15">
        <f>IF(COUNTIF('Résultats des tournois'!$B45:'Résultats des tournois'!AG45,"&lt;&gt;")&lt;=5,32,IF(COUNTIF('Résultats des tournois'!$B45:'Résultats des tournois'!AG45,"&lt;&gt;")&lt;=15,24,16))</f>
        <v>32</v>
      </c>
      <c r="AH45" s="15">
        <f>IF(COUNTIF('Résultats des tournois'!$B45:'Résultats des tournois'!AH45,"&lt;&gt;")&lt;=5,32,IF(COUNTIF('Résultats des tournois'!$B45:'Résultats des tournois'!AH45,"&lt;&gt;")&lt;=15,24,16))</f>
        <v>32</v>
      </c>
      <c r="AI45" s="15">
        <f>IF(COUNTIF('Résultats des tournois'!$B45:'Résultats des tournois'!AI45,"&lt;&gt;")&lt;=5,32,IF(COUNTIF('Résultats des tournois'!$B45:'Résultats des tournois'!AI45,"&lt;&gt;")&lt;=15,24,16))</f>
        <v>32</v>
      </c>
      <c r="AJ45" s="15">
        <f>IF(COUNTIF('Résultats des tournois'!$B45:'Résultats des tournois'!AJ45,"&lt;&gt;")&lt;=5,32,IF(COUNTIF('Résultats des tournois'!$B45:'Résultats des tournois'!AJ45,"&lt;&gt;")&lt;=15,24,16))</f>
        <v>32</v>
      </c>
      <c r="AK45" s="15">
        <f>IF(COUNTIF('Résultats des tournois'!$B45:'Résultats des tournois'!AK45,"&lt;&gt;")&lt;=5,32,IF(COUNTIF('Résultats des tournois'!$B45:'Résultats des tournois'!AK45,"&lt;&gt;")&lt;=15,24,16))</f>
        <v>32</v>
      </c>
      <c r="AL45" s="15">
        <f>IF(COUNTIF('Résultats des tournois'!$B45:'Résultats des tournois'!AL45,"&lt;&gt;")&lt;=5,32,IF(COUNTIF('Résultats des tournois'!$B45:'Résultats des tournois'!AL45,"&lt;&gt;")&lt;=15,24,16))</f>
        <v>32</v>
      </c>
      <c r="AM45" s="15">
        <f>IF(COUNTIF('Résultats des tournois'!$B45:'Résultats des tournois'!AM45,"&lt;&gt;")&lt;=5,32,IF(COUNTIF('Résultats des tournois'!$B45:'Résultats des tournois'!AM45,"&lt;&gt;")&lt;=15,24,16))</f>
        <v>32</v>
      </c>
      <c r="AN45" s="15">
        <f>IF(COUNTIF('Résultats des tournois'!$B45:'Résultats des tournois'!AN45,"&lt;&gt;")&lt;=5,32,IF(COUNTIF('Résultats des tournois'!$B45:'Résultats des tournois'!AN45,"&lt;&gt;")&lt;=15,24,16))</f>
        <v>32</v>
      </c>
      <c r="AO45" s="15">
        <f>IF(COUNTIF('Résultats des tournois'!$B45:'Résultats des tournois'!AO45,"&lt;&gt;")&lt;=5,32,IF(COUNTIF('Résultats des tournois'!$B45:'Résultats des tournois'!AO45,"&lt;&gt;")&lt;=15,24,16))</f>
        <v>32</v>
      </c>
      <c r="AP45" s="15">
        <f>IF(COUNTIF('Résultats des tournois'!$B45:'Résultats des tournois'!AP45,"&lt;&gt;")&lt;=5,32,IF(COUNTIF('Résultats des tournois'!$B45:'Résultats des tournois'!AP45,"&lt;&gt;")&lt;=15,24,16))</f>
        <v>32</v>
      </c>
      <c r="AQ45" s="15">
        <f>IF(COUNTIF('Résultats des tournois'!$B45:'Résultats des tournois'!AQ45,"&lt;&gt;")&lt;=5,32,IF(COUNTIF('Résultats des tournois'!$B45:'Résultats des tournois'!AQ45,"&lt;&gt;")&lt;=15,24,16))</f>
        <v>32</v>
      </c>
      <c r="AR45" s="15">
        <f>IF(COUNTIF('Résultats des tournois'!$B45:'Résultats des tournois'!AR45,"&lt;&gt;")&lt;=5,32,IF(COUNTIF('Résultats des tournois'!$B45:'Résultats des tournois'!AR45,"&lt;&gt;")&lt;=15,24,16))</f>
        <v>32</v>
      </c>
      <c r="AS45" s="15">
        <f>IF(COUNTIF('Résultats des tournois'!$B45:'Résultats des tournois'!AS45,"&lt;&gt;")&lt;=5,32,IF(COUNTIF('Résultats des tournois'!$B45:'Résultats des tournois'!AS45,"&lt;&gt;")&lt;=15,24,16))</f>
        <v>32</v>
      </c>
      <c r="AT45" s="15">
        <f>IF(COUNTIF('Résultats des tournois'!$B45:'Résultats des tournois'!AT45,"&lt;&gt;")&lt;=5,32,IF(COUNTIF('Résultats des tournois'!$B45:'Résultats des tournois'!AT45,"&lt;&gt;")&lt;=15,24,16))</f>
        <v>32</v>
      </c>
      <c r="AU45" s="15">
        <f>IF(COUNTIF('Résultats des tournois'!$B45:'Résultats des tournois'!AU45,"&lt;&gt;")&lt;=5,32,IF(COUNTIF('Résultats des tournois'!$B45:'Résultats des tournois'!AU45,"&lt;&gt;")&lt;=15,24,16))</f>
        <v>32</v>
      </c>
      <c r="AV45" s="15">
        <f>IF(COUNTIF('Résultats des tournois'!$B45:'Résultats des tournois'!AV45,"&lt;&gt;")&lt;=5,32,IF(COUNTIF('Résultats des tournois'!$B45:'Résultats des tournois'!AV45,"&lt;&gt;")&lt;=15,24,16))</f>
        <v>32</v>
      </c>
      <c r="AW45" s="15">
        <f>IF(COUNTIF('Résultats des tournois'!$B45:'Résultats des tournois'!AW45,"&lt;&gt;")&lt;=5,32,IF(COUNTIF('Résultats des tournois'!$B45:'Résultats des tournois'!AW45,"&lt;&gt;")&lt;=15,24,16))</f>
        <v>32</v>
      </c>
      <c r="AX45" s="15">
        <f>IF(COUNTIF('Résultats des tournois'!$B45:'Résultats des tournois'!AX45,"&lt;&gt;")&lt;=5,32,IF(COUNTIF('Résultats des tournois'!$B45:'Résultats des tournois'!AX45,"&lt;&gt;")&lt;=15,24,16))</f>
        <v>32</v>
      </c>
    </row>
    <row r="46" ht="14.25" customHeight="1">
      <c r="A46" s="15" t="str">
        <f>IF('Résultats des tournois'!A46="","",'Résultats des tournois'!A46)</f>
        <v/>
      </c>
      <c r="B46" s="15">
        <f>IF(COUNTIF('Résultats des tournois'!B46,"&lt;&gt;")&lt;=5,32,IF(COUNTIF('Résultats des tournois'!B46,"&lt;&gt;")&lt;=15,24,16))</f>
        <v>32</v>
      </c>
      <c r="C46" s="15">
        <f>IF(COUNTIF('Résultats des tournois'!$B46:'Résultats des tournois'!C46,"&lt;&gt;")&lt;=5,32,IF(COUNTIF('Résultats des tournois'!$B46:'Résultats des tournois'!C46,"&lt;&gt;")&lt;=15,24,16))</f>
        <v>32</v>
      </c>
      <c r="D46" s="15">
        <f>IF(COUNTIF('Résultats des tournois'!$B46:'Résultats des tournois'!D46,"&lt;&gt;")&lt;=5,32,IF(COUNTIF('Résultats des tournois'!$B46:'Résultats des tournois'!D46,"&lt;&gt;")&lt;=15,24,16))</f>
        <v>32</v>
      </c>
      <c r="E46" s="15">
        <f>IF(COUNTIF('Résultats des tournois'!$B46:'Résultats des tournois'!E46,"&lt;&gt;")&lt;=5,32,IF(COUNTIF('Résultats des tournois'!$B46:'Résultats des tournois'!E46,"&lt;&gt;")&lt;=15,24,16))</f>
        <v>32</v>
      </c>
      <c r="F46" s="15">
        <f>IF(COUNTIF('Résultats des tournois'!$B46:'Résultats des tournois'!F46,"&lt;&gt;")&lt;=5,32,IF(COUNTIF('Résultats des tournois'!$B46:'Résultats des tournois'!F46,"&lt;&gt;")&lt;=15,24,16))</f>
        <v>32</v>
      </c>
      <c r="G46" s="15">
        <f>IF(COUNTIF('Résultats des tournois'!$B46:'Résultats des tournois'!G46,"&lt;&gt;")&lt;=5,32,IF(COUNTIF('Résultats des tournois'!$B46:'Résultats des tournois'!G46,"&lt;&gt;")&lt;=15,24,16))</f>
        <v>32</v>
      </c>
      <c r="H46" s="15">
        <f>IF(COUNTIF('Résultats des tournois'!$B46:'Résultats des tournois'!H46,"&lt;&gt;")&lt;=5,32,IF(COUNTIF('Résultats des tournois'!$B46:'Résultats des tournois'!H46,"&lt;&gt;")&lt;=15,24,16))</f>
        <v>32</v>
      </c>
      <c r="I46" s="15">
        <f>IF(COUNTIF('Résultats des tournois'!$B46:'Résultats des tournois'!I46,"&lt;&gt;")&lt;=5,32,IF(COUNTIF('Résultats des tournois'!$B46:'Résultats des tournois'!I46,"&lt;&gt;")&lt;=15,24,16))</f>
        <v>32</v>
      </c>
      <c r="J46" s="15">
        <f>IF(COUNTIF('Résultats des tournois'!$B46:'Résultats des tournois'!J46,"&lt;&gt;")&lt;=5,32,IF(COUNTIF('Résultats des tournois'!$B46:'Résultats des tournois'!J46,"&lt;&gt;")&lt;=15,24,16))</f>
        <v>32</v>
      </c>
      <c r="K46" s="15">
        <f>IF(COUNTIF('Résultats des tournois'!$B46:'Résultats des tournois'!K46,"&lt;&gt;")&lt;=5,32,IF(COUNTIF('Résultats des tournois'!$B46:'Résultats des tournois'!K46,"&lt;&gt;")&lt;=15,24,16))</f>
        <v>32</v>
      </c>
      <c r="L46" s="15">
        <f>IF(COUNTIF('Résultats des tournois'!$B46:'Résultats des tournois'!L46,"&lt;&gt;")&lt;=5,32,IF(COUNTIF('Résultats des tournois'!$B46:'Résultats des tournois'!L46,"&lt;&gt;")&lt;=15,24,16))</f>
        <v>32</v>
      </c>
      <c r="M46" s="15">
        <f>IF(COUNTIF('Résultats des tournois'!$B46:'Résultats des tournois'!M46,"&lt;&gt;")&lt;=5,32,IF(COUNTIF('Résultats des tournois'!$B46:'Résultats des tournois'!M46,"&lt;&gt;")&lt;=15,24,16))</f>
        <v>32</v>
      </c>
      <c r="N46" s="15">
        <f>IF(COUNTIF('Résultats des tournois'!$B46:'Résultats des tournois'!N46,"&lt;&gt;")&lt;=5,32,IF(COUNTIF('Résultats des tournois'!$B46:'Résultats des tournois'!N46,"&lt;&gt;")&lt;=15,24,16))</f>
        <v>32</v>
      </c>
      <c r="O46" s="15">
        <f>IF(COUNTIF('Résultats des tournois'!$B46:'Résultats des tournois'!O46,"&lt;&gt;")&lt;=5,32,IF(COUNTIF('Résultats des tournois'!$B46:'Résultats des tournois'!O46,"&lt;&gt;")&lt;=15,24,16))</f>
        <v>32</v>
      </c>
      <c r="P46" s="15">
        <f>IF(COUNTIF('Résultats des tournois'!$B46:'Résultats des tournois'!P46,"&lt;&gt;")&lt;=5,32,IF(COUNTIF('Résultats des tournois'!$B46:'Résultats des tournois'!P46,"&lt;&gt;")&lt;=15,24,16))</f>
        <v>32</v>
      </c>
      <c r="Q46" s="15">
        <f>IF(COUNTIF('Résultats des tournois'!$B46:'Résultats des tournois'!Q46,"&lt;&gt;")&lt;=5,32,IF(COUNTIF('Résultats des tournois'!$B46:'Résultats des tournois'!Q46,"&lt;&gt;")&lt;=15,24,16))</f>
        <v>32</v>
      </c>
      <c r="R46" s="15">
        <f>IF(COUNTIF('Résultats des tournois'!$B46:'Résultats des tournois'!R46,"&lt;&gt;")&lt;=5,32,IF(COUNTIF('Résultats des tournois'!$B46:'Résultats des tournois'!R46,"&lt;&gt;")&lt;=15,24,16))</f>
        <v>32</v>
      </c>
      <c r="S46" s="15">
        <f>IF(COUNTIF('Résultats des tournois'!$B46:'Résultats des tournois'!S46,"&lt;&gt;")&lt;=5,32,IF(COUNTIF('Résultats des tournois'!$B46:'Résultats des tournois'!S46,"&lt;&gt;")&lt;=15,24,16))</f>
        <v>32</v>
      </c>
      <c r="T46" s="15">
        <f>IF(COUNTIF('Résultats des tournois'!$B46:'Résultats des tournois'!T46,"&lt;&gt;")&lt;=5,32,IF(COUNTIF('Résultats des tournois'!$B46:'Résultats des tournois'!T46,"&lt;&gt;")&lt;=15,24,16))</f>
        <v>32</v>
      </c>
      <c r="U46" s="15">
        <f>IF(COUNTIF('Résultats des tournois'!$B46:'Résultats des tournois'!U46,"&lt;&gt;")&lt;=5,32,IF(COUNTIF('Résultats des tournois'!$B46:'Résultats des tournois'!U46,"&lt;&gt;")&lt;=15,24,16))</f>
        <v>32</v>
      </c>
      <c r="V46" s="15">
        <f>IF(COUNTIF('Résultats des tournois'!$B46:'Résultats des tournois'!V46,"&lt;&gt;")&lt;=5,32,IF(COUNTIF('Résultats des tournois'!$B46:'Résultats des tournois'!V46,"&lt;&gt;")&lt;=15,24,16))</f>
        <v>32</v>
      </c>
      <c r="W46" s="15">
        <f>IF(COUNTIF('Résultats des tournois'!$B46:'Résultats des tournois'!W46,"&lt;&gt;")&lt;=5,32,IF(COUNTIF('Résultats des tournois'!$B46:'Résultats des tournois'!W46,"&lt;&gt;")&lt;=15,24,16))</f>
        <v>32</v>
      </c>
      <c r="X46" s="15">
        <f>IF(COUNTIF('Résultats des tournois'!$B46:'Résultats des tournois'!X46,"&lt;&gt;")&lt;=5,32,IF(COUNTIF('Résultats des tournois'!$B46:'Résultats des tournois'!X46,"&lt;&gt;")&lt;=15,24,16))</f>
        <v>32</v>
      </c>
      <c r="Y46" s="15">
        <f>IF(COUNTIF('Résultats des tournois'!$B46:'Résultats des tournois'!Y46,"&lt;&gt;")&lt;=5,32,IF(COUNTIF('Résultats des tournois'!$B46:'Résultats des tournois'!Y46,"&lt;&gt;")&lt;=15,24,16))</f>
        <v>32</v>
      </c>
      <c r="Z46" s="15">
        <f>IF(COUNTIF('Résultats des tournois'!$B46:'Résultats des tournois'!Z46,"&lt;&gt;")&lt;=5,32,IF(COUNTIF('Résultats des tournois'!$B46:'Résultats des tournois'!Z46,"&lt;&gt;")&lt;=15,24,16))</f>
        <v>32</v>
      </c>
      <c r="AA46" s="15">
        <f>IF(COUNTIF('Résultats des tournois'!$B46:'Résultats des tournois'!AA46,"&lt;&gt;")&lt;=5,32,IF(COUNTIF('Résultats des tournois'!$B46:'Résultats des tournois'!AA46,"&lt;&gt;")&lt;=15,24,16))</f>
        <v>32</v>
      </c>
      <c r="AB46" s="15">
        <f>IF(COUNTIF('Résultats des tournois'!$B46:'Résultats des tournois'!AB46,"&lt;&gt;")&lt;=5,32,IF(COUNTIF('Résultats des tournois'!$B46:'Résultats des tournois'!AB46,"&lt;&gt;")&lt;=15,24,16))</f>
        <v>32</v>
      </c>
      <c r="AC46" s="15">
        <f>IF(COUNTIF('Résultats des tournois'!$B46:'Résultats des tournois'!AC46,"&lt;&gt;")&lt;=5,32,IF(COUNTIF('Résultats des tournois'!$B46:'Résultats des tournois'!AC46,"&lt;&gt;")&lt;=15,24,16))</f>
        <v>32</v>
      </c>
      <c r="AD46" s="15">
        <f>IF(COUNTIF('Résultats des tournois'!$B46:'Résultats des tournois'!AD46,"&lt;&gt;")&lt;=5,32,IF(COUNTIF('Résultats des tournois'!$B46:'Résultats des tournois'!AD46,"&lt;&gt;")&lt;=15,24,16))</f>
        <v>32</v>
      </c>
      <c r="AE46" s="15">
        <f>IF(COUNTIF('Résultats des tournois'!$B46:'Résultats des tournois'!AE46,"&lt;&gt;")&lt;=5,32,IF(COUNTIF('Résultats des tournois'!$B46:'Résultats des tournois'!AE46,"&lt;&gt;")&lt;=15,24,16))</f>
        <v>32</v>
      </c>
      <c r="AF46" s="15">
        <f>IF(COUNTIF('Résultats des tournois'!$B46:'Résultats des tournois'!AF46,"&lt;&gt;")&lt;=5,32,IF(COUNTIF('Résultats des tournois'!$B46:'Résultats des tournois'!AF46,"&lt;&gt;")&lt;=15,24,16))</f>
        <v>32</v>
      </c>
      <c r="AG46" s="15">
        <f>IF(COUNTIF('Résultats des tournois'!$B46:'Résultats des tournois'!AG46,"&lt;&gt;")&lt;=5,32,IF(COUNTIF('Résultats des tournois'!$B46:'Résultats des tournois'!AG46,"&lt;&gt;")&lt;=15,24,16))</f>
        <v>32</v>
      </c>
      <c r="AH46" s="15">
        <f>IF(COUNTIF('Résultats des tournois'!$B46:'Résultats des tournois'!AH46,"&lt;&gt;")&lt;=5,32,IF(COUNTIF('Résultats des tournois'!$B46:'Résultats des tournois'!AH46,"&lt;&gt;")&lt;=15,24,16))</f>
        <v>32</v>
      </c>
      <c r="AI46" s="15">
        <f>IF(COUNTIF('Résultats des tournois'!$B46:'Résultats des tournois'!AI46,"&lt;&gt;")&lt;=5,32,IF(COUNTIF('Résultats des tournois'!$B46:'Résultats des tournois'!AI46,"&lt;&gt;")&lt;=15,24,16))</f>
        <v>32</v>
      </c>
      <c r="AJ46" s="15">
        <f>IF(COUNTIF('Résultats des tournois'!$B46:'Résultats des tournois'!AJ46,"&lt;&gt;")&lt;=5,32,IF(COUNTIF('Résultats des tournois'!$B46:'Résultats des tournois'!AJ46,"&lt;&gt;")&lt;=15,24,16))</f>
        <v>32</v>
      </c>
      <c r="AK46" s="15">
        <f>IF(COUNTIF('Résultats des tournois'!$B46:'Résultats des tournois'!AK46,"&lt;&gt;")&lt;=5,32,IF(COUNTIF('Résultats des tournois'!$B46:'Résultats des tournois'!AK46,"&lt;&gt;")&lt;=15,24,16))</f>
        <v>32</v>
      </c>
      <c r="AL46" s="15">
        <f>IF(COUNTIF('Résultats des tournois'!$B46:'Résultats des tournois'!AL46,"&lt;&gt;")&lt;=5,32,IF(COUNTIF('Résultats des tournois'!$B46:'Résultats des tournois'!AL46,"&lt;&gt;")&lt;=15,24,16))</f>
        <v>32</v>
      </c>
      <c r="AM46" s="15">
        <f>IF(COUNTIF('Résultats des tournois'!$B46:'Résultats des tournois'!AM46,"&lt;&gt;")&lt;=5,32,IF(COUNTIF('Résultats des tournois'!$B46:'Résultats des tournois'!AM46,"&lt;&gt;")&lt;=15,24,16))</f>
        <v>32</v>
      </c>
      <c r="AN46" s="15">
        <f>IF(COUNTIF('Résultats des tournois'!$B46:'Résultats des tournois'!AN46,"&lt;&gt;")&lt;=5,32,IF(COUNTIF('Résultats des tournois'!$B46:'Résultats des tournois'!AN46,"&lt;&gt;")&lt;=15,24,16))</f>
        <v>32</v>
      </c>
      <c r="AO46" s="15">
        <f>IF(COUNTIF('Résultats des tournois'!$B46:'Résultats des tournois'!AO46,"&lt;&gt;")&lt;=5,32,IF(COUNTIF('Résultats des tournois'!$B46:'Résultats des tournois'!AO46,"&lt;&gt;")&lt;=15,24,16))</f>
        <v>32</v>
      </c>
      <c r="AP46" s="15">
        <f>IF(COUNTIF('Résultats des tournois'!$B46:'Résultats des tournois'!AP46,"&lt;&gt;")&lt;=5,32,IF(COUNTIF('Résultats des tournois'!$B46:'Résultats des tournois'!AP46,"&lt;&gt;")&lt;=15,24,16))</f>
        <v>32</v>
      </c>
      <c r="AQ46" s="15">
        <f>IF(COUNTIF('Résultats des tournois'!$B46:'Résultats des tournois'!AQ46,"&lt;&gt;")&lt;=5,32,IF(COUNTIF('Résultats des tournois'!$B46:'Résultats des tournois'!AQ46,"&lt;&gt;")&lt;=15,24,16))</f>
        <v>32</v>
      </c>
      <c r="AR46" s="15">
        <f>IF(COUNTIF('Résultats des tournois'!$B46:'Résultats des tournois'!AR46,"&lt;&gt;")&lt;=5,32,IF(COUNTIF('Résultats des tournois'!$B46:'Résultats des tournois'!AR46,"&lt;&gt;")&lt;=15,24,16))</f>
        <v>32</v>
      </c>
      <c r="AS46" s="15">
        <f>IF(COUNTIF('Résultats des tournois'!$B46:'Résultats des tournois'!AS46,"&lt;&gt;")&lt;=5,32,IF(COUNTIF('Résultats des tournois'!$B46:'Résultats des tournois'!AS46,"&lt;&gt;")&lt;=15,24,16))</f>
        <v>32</v>
      </c>
      <c r="AT46" s="15">
        <f>IF(COUNTIF('Résultats des tournois'!$B46:'Résultats des tournois'!AT46,"&lt;&gt;")&lt;=5,32,IF(COUNTIF('Résultats des tournois'!$B46:'Résultats des tournois'!AT46,"&lt;&gt;")&lt;=15,24,16))</f>
        <v>32</v>
      </c>
      <c r="AU46" s="15">
        <f>IF(COUNTIF('Résultats des tournois'!$B46:'Résultats des tournois'!AU46,"&lt;&gt;")&lt;=5,32,IF(COUNTIF('Résultats des tournois'!$B46:'Résultats des tournois'!AU46,"&lt;&gt;")&lt;=15,24,16))</f>
        <v>32</v>
      </c>
      <c r="AV46" s="15">
        <f>IF(COUNTIF('Résultats des tournois'!$B46:'Résultats des tournois'!AV46,"&lt;&gt;")&lt;=5,32,IF(COUNTIF('Résultats des tournois'!$B46:'Résultats des tournois'!AV46,"&lt;&gt;")&lt;=15,24,16))</f>
        <v>32</v>
      </c>
      <c r="AW46" s="15">
        <f>IF(COUNTIF('Résultats des tournois'!$B46:'Résultats des tournois'!AW46,"&lt;&gt;")&lt;=5,32,IF(COUNTIF('Résultats des tournois'!$B46:'Résultats des tournois'!AW46,"&lt;&gt;")&lt;=15,24,16))</f>
        <v>32</v>
      </c>
      <c r="AX46" s="15">
        <f>IF(COUNTIF('Résultats des tournois'!$B46:'Résultats des tournois'!AX46,"&lt;&gt;")&lt;=5,32,IF(COUNTIF('Résultats des tournois'!$B46:'Résultats des tournois'!AX46,"&lt;&gt;")&lt;=15,24,16))</f>
        <v>32</v>
      </c>
    </row>
    <row r="47" ht="14.25" customHeight="1">
      <c r="A47" s="15" t="str">
        <f>IF('Résultats des tournois'!A47="","",'Résultats des tournois'!A47)</f>
        <v/>
      </c>
      <c r="B47" s="15">
        <f>IF(COUNTIF('Résultats des tournois'!B47,"&lt;&gt;")&lt;=5,32,IF(COUNTIF('Résultats des tournois'!B47,"&lt;&gt;")&lt;=15,24,16))</f>
        <v>32</v>
      </c>
      <c r="C47" s="15">
        <f>IF(COUNTIF('Résultats des tournois'!$B47:'Résultats des tournois'!C47,"&lt;&gt;")&lt;=5,32,IF(COUNTIF('Résultats des tournois'!$B47:'Résultats des tournois'!C47,"&lt;&gt;")&lt;=15,24,16))</f>
        <v>32</v>
      </c>
      <c r="D47" s="15">
        <f>IF(COUNTIF('Résultats des tournois'!$B47:'Résultats des tournois'!D47,"&lt;&gt;")&lt;=5,32,IF(COUNTIF('Résultats des tournois'!$B47:'Résultats des tournois'!D47,"&lt;&gt;")&lt;=15,24,16))</f>
        <v>32</v>
      </c>
      <c r="E47" s="15">
        <f>IF(COUNTIF('Résultats des tournois'!$B47:'Résultats des tournois'!E47,"&lt;&gt;")&lt;=5,32,IF(COUNTIF('Résultats des tournois'!$B47:'Résultats des tournois'!E47,"&lt;&gt;")&lt;=15,24,16))</f>
        <v>32</v>
      </c>
      <c r="F47" s="15">
        <f>IF(COUNTIF('Résultats des tournois'!$B47:'Résultats des tournois'!F47,"&lt;&gt;")&lt;=5,32,IF(COUNTIF('Résultats des tournois'!$B47:'Résultats des tournois'!F47,"&lt;&gt;")&lt;=15,24,16))</f>
        <v>32</v>
      </c>
      <c r="G47" s="15">
        <f>IF(COUNTIF('Résultats des tournois'!$B47:'Résultats des tournois'!G47,"&lt;&gt;")&lt;=5,32,IF(COUNTIF('Résultats des tournois'!$B47:'Résultats des tournois'!G47,"&lt;&gt;")&lt;=15,24,16))</f>
        <v>32</v>
      </c>
      <c r="H47" s="15">
        <f>IF(COUNTIF('Résultats des tournois'!$B47:'Résultats des tournois'!H47,"&lt;&gt;")&lt;=5,32,IF(COUNTIF('Résultats des tournois'!$B47:'Résultats des tournois'!H47,"&lt;&gt;")&lt;=15,24,16))</f>
        <v>32</v>
      </c>
      <c r="I47" s="15">
        <f>IF(COUNTIF('Résultats des tournois'!$B47:'Résultats des tournois'!I47,"&lt;&gt;")&lt;=5,32,IF(COUNTIF('Résultats des tournois'!$B47:'Résultats des tournois'!I47,"&lt;&gt;")&lt;=15,24,16))</f>
        <v>32</v>
      </c>
      <c r="J47" s="15">
        <f>IF(COUNTIF('Résultats des tournois'!$B47:'Résultats des tournois'!J47,"&lt;&gt;")&lt;=5,32,IF(COUNTIF('Résultats des tournois'!$B47:'Résultats des tournois'!J47,"&lt;&gt;")&lt;=15,24,16))</f>
        <v>32</v>
      </c>
      <c r="K47" s="15">
        <f>IF(COUNTIF('Résultats des tournois'!$B47:'Résultats des tournois'!K47,"&lt;&gt;")&lt;=5,32,IF(COUNTIF('Résultats des tournois'!$B47:'Résultats des tournois'!K47,"&lt;&gt;")&lt;=15,24,16))</f>
        <v>32</v>
      </c>
      <c r="L47" s="15">
        <f>IF(COUNTIF('Résultats des tournois'!$B47:'Résultats des tournois'!L47,"&lt;&gt;")&lt;=5,32,IF(COUNTIF('Résultats des tournois'!$B47:'Résultats des tournois'!L47,"&lt;&gt;")&lt;=15,24,16))</f>
        <v>32</v>
      </c>
      <c r="M47" s="15">
        <f>IF(COUNTIF('Résultats des tournois'!$B47:'Résultats des tournois'!M47,"&lt;&gt;")&lt;=5,32,IF(COUNTIF('Résultats des tournois'!$B47:'Résultats des tournois'!M47,"&lt;&gt;")&lt;=15,24,16))</f>
        <v>32</v>
      </c>
      <c r="N47" s="15">
        <f>IF(COUNTIF('Résultats des tournois'!$B47:'Résultats des tournois'!N47,"&lt;&gt;")&lt;=5,32,IF(COUNTIF('Résultats des tournois'!$B47:'Résultats des tournois'!N47,"&lt;&gt;")&lt;=15,24,16))</f>
        <v>32</v>
      </c>
      <c r="O47" s="15">
        <f>IF(COUNTIF('Résultats des tournois'!$B47:'Résultats des tournois'!O47,"&lt;&gt;")&lt;=5,32,IF(COUNTIF('Résultats des tournois'!$B47:'Résultats des tournois'!O47,"&lt;&gt;")&lt;=15,24,16))</f>
        <v>32</v>
      </c>
      <c r="P47" s="15">
        <f>IF(COUNTIF('Résultats des tournois'!$B47:'Résultats des tournois'!P47,"&lt;&gt;")&lt;=5,32,IF(COUNTIF('Résultats des tournois'!$B47:'Résultats des tournois'!P47,"&lt;&gt;")&lt;=15,24,16))</f>
        <v>32</v>
      </c>
      <c r="Q47" s="15">
        <f>IF(COUNTIF('Résultats des tournois'!$B47:'Résultats des tournois'!Q47,"&lt;&gt;")&lt;=5,32,IF(COUNTIF('Résultats des tournois'!$B47:'Résultats des tournois'!Q47,"&lt;&gt;")&lt;=15,24,16))</f>
        <v>32</v>
      </c>
      <c r="R47" s="15">
        <f>IF(COUNTIF('Résultats des tournois'!$B47:'Résultats des tournois'!R47,"&lt;&gt;")&lt;=5,32,IF(COUNTIF('Résultats des tournois'!$B47:'Résultats des tournois'!R47,"&lt;&gt;")&lt;=15,24,16))</f>
        <v>32</v>
      </c>
      <c r="S47" s="15">
        <f>IF(COUNTIF('Résultats des tournois'!$B47:'Résultats des tournois'!S47,"&lt;&gt;")&lt;=5,32,IF(COUNTIF('Résultats des tournois'!$B47:'Résultats des tournois'!S47,"&lt;&gt;")&lt;=15,24,16))</f>
        <v>32</v>
      </c>
      <c r="T47" s="15">
        <f>IF(COUNTIF('Résultats des tournois'!$B47:'Résultats des tournois'!T47,"&lt;&gt;")&lt;=5,32,IF(COUNTIF('Résultats des tournois'!$B47:'Résultats des tournois'!T47,"&lt;&gt;")&lt;=15,24,16))</f>
        <v>32</v>
      </c>
      <c r="U47" s="15">
        <f>IF(COUNTIF('Résultats des tournois'!$B47:'Résultats des tournois'!U47,"&lt;&gt;")&lt;=5,32,IF(COUNTIF('Résultats des tournois'!$B47:'Résultats des tournois'!U47,"&lt;&gt;")&lt;=15,24,16))</f>
        <v>32</v>
      </c>
      <c r="V47" s="15">
        <f>IF(COUNTIF('Résultats des tournois'!$B47:'Résultats des tournois'!V47,"&lt;&gt;")&lt;=5,32,IF(COUNTIF('Résultats des tournois'!$B47:'Résultats des tournois'!V47,"&lt;&gt;")&lt;=15,24,16))</f>
        <v>32</v>
      </c>
      <c r="W47" s="15">
        <f>IF(COUNTIF('Résultats des tournois'!$B47:'Résultats des tournois'!W47,"&lt;&gt;")&lt;=5,32,IF(COUNTIF('Résultats des tournois'!$B47:'Résultats des tournois'!W47,"&lt;&gt;")&lt;=15,24,16))</f>
        <v>32</v>
      </c>
      <c r="X47" s="15">
        <f>IF(COUNTIF('Résultats des tournois'!$B47:'Résultats des tournois'!X47,"&lt;&gt;")&lt;=5,32,IF(COUNTIF('Résultats des tournois'!$B47:'Résultats des tournois'!X47,"&lt;&gt;")&lt;=15,24,16))</f>
        <v>32</v>
      </c>
      <c r="Y47" s="15">
        <f>IF(COUNTIF('Résultats des tournois'!$B47:'Résultats des tournois'!Y47,"&lt;&gt;")&lt;=5,32,IF(COUNTIF('Résultats des tournois'!$B47:'Résultats des tournois'!Y47,"&lt;&gt;")&lt;=15,24,16))</f>
        <v>32</v>
      </c>
      <c r="Z47" s="15">
        <f>IF(COUNTIF('Résultats des tournois'!$B47:'Résultats des tournois'!Z47,"&lt;&gt;")&lt;=5,32,IF(COUNTIF('Résultats des tournois'!$B47:'Résultats des tournois'!Z47,"&lt;&gt;")&lt;=15,24,16))</f>
        <v>32</v>
      </c>
      <c r="AA47" s="15">
        <f>IF(COUNTIF('Résultats des tournois'!$B47:'Résultats des tournois'!AA47,"&lt;&gt;")&lt;=5,32,IF(COUNTIF('Résultats des tournois'!$B47:'Résultats des tournois'!AA47,"&lt;&gt;")&lt;=15,24,16))</f>
        <v>32</v>
      </c>
      <c r="AB47" s="15">
        <f>IF(COUNTIF('Résultats des tournois'!$B47:'Résultats des tournois'!AB47,"&lt;&gt;")&lt;=5,32,IF(COUNTIF('Résultats des tournois'!$B47:'Résultats des tournois'!AB47,"&lt;&gt;")&lt;=15,24,16))</f>
        <v>32</v>
      </c>
      <c r="AC47" s="15">
        <f>IF(COUNTIF('Résultats des tournois'!$B47:'Résultats des tournois'!AC47,"&lt;&gt;")&lt;=5,32,IF(COUNTIF('Résultats des tournois'!$B47:'Résultats des tournois'!AC47,"&lt;&gt;")&lt;=15,24,16))</f>
        <v>32</v>
      </c>
      <c r="AD47" s="15">
        <f>IF(COUNTIF('Résultats des tournois'!$B47:'Résultats des tournois'!AD47,"&lt;&gt;")&lt;=5,32,IF(COUNTIF('Résultats des tournois'!$B47:'Résultats des tournois'!AD47,"&lt;&gt;")&lt;=15,24,16))</f>
        <v>32</v>
      </c>
      <c r="AE47" s="15">
        <f>IF(COUNTIF('Résultats des tournois'!$B47:'Résultats des tournois'!AE47,"&lt;&gt;")&lt;=5,32,IF(COUNTIF('Résultats des tournois'!$B47:'Résultats des tournois'!AE47,"&lt;&gt;")&lt;=15,24,16))</f>
        <v>32</v>
      </c>
      <c r="AF47" s="15">
        <f>IF(COUNTIF('Résultats des tournois'!$B47:'Résultats des tournois'!AF47,"&lt;&gt;")&lt;=5,32,IF(COUNTIF('Résultats des tournois'!$B47:'Résultats des tournois'!AF47,"&lt;&gt;")&lt;=15,24,16))</f>
        <v>32</v>
      </c>
      <c r="AG47" s="15">
        <f>IF(COUNTIF('Résultats des tournois'!$B47:'Résultats des tournois'!AG47,"&lt;&gt;")&lt;=5,32,IF(COUNTIF('Résultats des tournois'!$B47:'Résultats des tournois'!AG47,"&lt;&gt;")&lt;=15,24,16))</f>
        <v>32</v>
      </c>
      <c r="AH47" s="15">
        <f>IF(COUNTIF('Résultats des tournois'!$B47:'Résultats des tournois'!AH47,"&lt;&gt;")&lt;=5,32,IF(COUNTIF('Résultats des tournois'!$B47:'Résultats des tournois'!AH47,"&lt;&gt;")&lt;=15,24,16))</f>
        <v>32</v>
      </c>
      <c r="AI47" s="15">
        <f>IF(COUNTIF('Résultats des tournois'!$B47:'Résultats des tournois'!AI47,"&lt;&gt;")&lt;=5,32,IF(COUNTIF('Résultats des tournois'!$B47:'Résultats des tournois'!AI47,"&lt;&gt;")&lt;=15,24,16))</f>
        <v>32</v>
      </c>
      <c r="AJ47" s="15">
        <f>IF(COUNTIF('Résultats des tournois'!$B47:'Résultats des tournois'!AJ47,"&lt;&gt;")&lt;=5,32,IF(COUNTIF('Résultats des tournois'!$B47:'Résultats des tournois'!AJ47,"&lt;&gt;")&lt;=15,24,16))</f>
        <v>32</v>
      </c>
      <c r="AK47" s="15">
        <f>IF(COUNTIF('Résultats des tournois'!$B47:'Résultats des tournois'!AK47,"&lt;&gt;")&lt;=5,32,IF(COUNTIF('Résultats des tournois'!$B47:'Résultats des tournois'!AK47,"&lt;&gt;")&lt;=15,24,16))</f>
        <v>32</v>
      </c>
      <c r="AL47" s="15">
        <f>IF(COUNTIF('Résultats des tournois'!$B47:'Résultats des tournois'!AL47,"&lt;&gt;")&lt;=5,32,IF(COUNTIF('Résultats des tournois'!$B47:'Résultats des tournois'!AL47,"&lt;&gt;")&lt;=15,24,16))</f>
        <v>32</v>
      </c>
      <c r="AM47" s="15">
        <f>IF(COUNTIF('Résultats des tournois'!$B47:'Résultats des tournois'!AM47,"&lt;&gt;")&lt;=5,32,IF(COUNTIF('Résultats des tournois'!$B47:'Résultats des tournois'!AM47,"&lt;&gt;")&lt;=15,24,16))</f>
        <v>32</v>
      </c>
      <c r="AN47" s="15">
        <f>IF(COUNTIF('Résultats des tournois'!$B47:'Résultats des tournois'!AN47,"&lt;&gt;")&lt;=5,32,IF(COUNTIF('Résultats des tournois'!$B47:'Résultats des tournois'!AN47,"&lt;&gt;")&lt;=15,24,16))</f>
        <v>32</v>
      </c>
      <c r="AO47" s="15">
        <f>IF(COUNTIF('Résultats des tournois'!$B47:'Résultats des tournois'!AO47,"&lt;&gt;")&lt;=5,32,IF(COUNTIF('Résultats des tournois'!$B47:'Résultats des tournois'!AO47,"&lt;&gt;")&lt;=15,24,16))</f>
        <v>32</v>
      </c>
      <c r="AP47" s="15">
        <f>IF(COUNTIF('Résultats des tournois'!$B47:'Résultats des tournois'!AP47,"&lt;&gt;")&lt;=5,32,IF(COUNTIF('Résultats des tournois'!$B47:'Résultats des tournois'!AP47,"&lt;&gt;")&lt;=15,24,16))</f>
        <v>32</v>
      </c>
      <c r="AQ47" s="15">
        <f>IF(COUNTIF('Résultats des tournois'!$B47:'Résultats des tournois'!AQ47,"&lt;&gt;")&lt;=5,32,IF(COUNTIF('Résultats des tournois'!$B47:'Résultats des tournois'!AQ47,"&lt;&gt;")&lt;=15,24,16))</f>
        <v>32</v>
      </c>
      <c r="AR47" s="15">
        <f>IF(COUNTIF('Résultats des tournois'!$B47:'Résultats des tournois'!AR47,"&lt;&gt;")&lt;=5,32,IF(COUNTIF('Résultats des tournois'!$B47:'Résultats des tournois'!AR47,"&lt;&gt;")&lt;=15,24,16))</f>
        <v>32</v>
      </c>
      <c r="AS47" s="15">
        <f>IF(COUNTIF('Résultats des tournois'!$B47:'Résultats des tournois'!AS47,"&lt;&gt;")&lt;=5,32,IF(COUNTIF('Résultats des tournois'!$B47:'Résultats des tournois'!AS47,"&lt;&gt;")&lt;=15,24,16))</f>
        <v>32</v>
      </c>
      <c r="AT47" s="15">
        <f>IF(COUNTIF('Résultats des tournois'!$B47:'Résultats des tournois'!AT47,"&lt;&gt;")&lt;=5,32,IF(COUNTIF('Résultats des tournois'!$B47:'Résultats des tournois'!AT47,"&lt;&gt;")&lt;=15,24,16))</f>
        <v>32</v>
      </c>
      <c r="AU47" s="15">
        <f>IF(COUNTIF('Résultats des tournois'!$B47:'Résultats des tournois'!AU47,"&lt;&gt;")&lt;=5,32,IF(COUNTIF('Résultats des tournois'!$B47:'Résultats des tournois'!AU47,"&lt;&gt;")&lt;=15,24,16))</f>
        <v>32</v>
      </c>
      <c r="AV47" s="15">
        <f>IF(COUNTIF('Résultats des tournois'!$B47:'Résultats des tournois'!AV47,"&lt;&gt;")&lt;=5,32,IF(COUNTIF('Résultats des tournois'!$B47:'Résultats des tournois'!AV47,"&lt;&gt;")&lt;=15,24,16))</f>
        <v>32</v>
      </c>
      <c r="AW47" s="15">
        <f>IF(COUNTIF('Résultats des tournois'!$B47:'Résultats des tournois'!AW47,"&lt;&gt;")&lt;=5,32,IF(COUNTIF('Résultats des tournois'!$B47:'Résultats des tournois'!AW47,"&lt;&gt;")&lt;=15,24,16))</f>
        <v>32</v>
      </c>
      <c r="AX47" s="15">
        <f>IF(COUNTIF('Résultats des tournois'!$B47:'Résultats des tournois'!AX47,"&lt;&gt;")&lt;=5,32,IF(COUNTIF('Résultats des tournois'!$B47:'Résultats des tournois'!AX47,"&lt;&gt;")&lt;=15,24,16))</f>
        <v>32</v>
      </c>
    </row>
    <row r="48" ht="14.25" customHeight="1">
      <c r="A48" s="15" t="str">
        <f>IF('Résultats des tournois'!A48="","",'Résultats des tournois'!A48)</f>
        <v/>
      </c>
      <c r="B48" s="15">
        <f>IF(COUNTIF('Résultats des tournois'!B48,"&lt;&gt;")&lt;=5,32,IF(COUNTIF('Résultats des tournois'!B48,"&lt;&gt;")&lt;=15,24,16))</f>
        <v>32</v>
      </c>
      <c r="C48" s="15">
        <f>IF(COUNTIF('Résultats des tournois'!$B48:'Résultats des tournois'!C48,"&lt;&gt;")&lt;=5,32,IF(COUNTIF('Résultats des tournois'!$B48:'Résultats des tournois'!C48,"&lt;&gt;")&lt;=15,24,16))</f>
        <v>32</v>
      </c>
      <c r="D48" s="15">
        <f>IF(COUNTIF('Résultats des tournois'!$B48:'Résultats des tournois'!D48,"&lt;&gt;")&lt;=5,32,IF(COUNTIF('Résultats des tournois'!$B48:'Résultats des tournois'!D48,"&lt;&gt;")&lt;=15,24,16))</f>
        <v>32</v>
      </c>
      <c r="E48" s="15">
        <f>IF(COUNTIF('Résultats des tournois'!$B48:'Résultats des tournois'!E48,"&lt;&gt;")&lt;=5,32,IF(COUNTIF('Résultats des tournois'!$B48:'Résultats des tournois'!E48,"&lt;&gt;")&lt;=15,24,16))</f>
        <v>32</v>
      </c>
      <c r="F48" s="15">
        <f>IF(COUNTIF('Résultats des tournois'!$B48:'Résultats des tournois'!F48,"&lt;&gt;")&lt;=5,32,IF(COUNTIF('Résultats des tournois'!$B48:'Résultats des tournois'!F48,"&lt;&gt;")&lt;=15,24,16))</f>
        <v>32</v>
      </c>
      <c r="G48" s="15">
        <f>IF(COUNTIF('Résultats des tournois'!$B48:'Résultats des tournois'!G48,"&lt;&gt;")&lt;=5,32,IF(COUNTIF('Résultats des tournois'!$B48:'Résultats des tournois'!G48,"&lt;&gt;")&lt;=15,24,16))</f>
        <v>32</v>
      </c>
      <c r="H48" s="15">
        <f>IF(COUNTIF('Résultats des tournois'!$B48:'Résultats des tournois'!H48,"&lt;&gt;")&lt;=5,32,IF(COUNTIF('Résultats des tournois'!$B48:'Résultats des tournois'!H48,"&lt;&gt;")&lt;=15,24,16))</f>
        <v>32</v>
      </c>
      <c r="I48" s="15">
        <f>IF(COUNTIF('Résultats des tournois'!$B48:'Résultats des tournois'!I48,"&lt;&gt;")&lt;=5,32,IF(COUNTIF('Résultats des tournois'!$B48:'Résultats des tournois'!I48,"&lt;&gt;")&lt;=15,24,16))</f>
        <v>32</v>
      </c>
      <c r="J48" s="15">
        <f>IF(COUNTIF('Résultats des tournois'!$B48:'Résultats des tournois'!J48,"&lt;&gt;")&lt;=5,32,IF(COUNTIF('Résultats des tournois'!$B48:'Résultats des tournois'!J48,"&lt;&gt;")&lt;=15,24,16))</f>
        <v>32</v>
      </c>
      <c r="K48" s="15">
        <f>IF(COUNTIF('Résultats des tournois'!$B48:'Résultats des tournois'!K48,"&lt;&gt;")&lt;=5,32,IF(COUNTIF('Résultats des tournois'!$B48:'Résultats des tournois'!K48,"&lt;&gt;")&lt;=15,24,16))</f>
        <v>32</v>
      </c>
      <c r="L48" s="15">
        <f>IF(COUNTIF('Résultats des tournois'!$B48:'Résultats des tournois'!L48,"&lt;&gt;")&lt;=5,32,IF(COUNTIF('Résultats des tournois'!$B48:'Résultats des tournois'!L48,"&lt;&gt;")&lt;=15,24,16))</f>
        <v>32</v>
      </c>
      <c r="M48" s="15">
        <f>IF(COUNTIF('Résultats des tournois'!$B48:'Résultats des tournois'!M48,"&lt;&gt;")&lt;=5,32,IF(COUNTIF('Résultats des tournois'!$B48:'Résultats des tournois'!M48,"&lt;&gt;")&lt;=15,24,16))</f>
        <v>32</v>
      </c>
      <c r="N48" s="15">
        <f>IF(COUNTIF('Résultats des tournois'!$B48:'Résultats des tournois'!N48,"&lt;&gt;")&lt;=5,32,IF(COUNTIF('Résultats des tournois'!$B48:'Résultats des tournois'!N48,"&lt;&gt;")&lt;=15,24,16))</f>
        <v>32</v>
      </c>
      <c r="O48" s="15">
        <f>IF(COUNTIF('Résultats des tournois'!$B48:'Résultats des tournois'!O48,"&lt;&gt;")&lt;=5,32,IF(COUNTIF('Résultats des tournois'!$B48:'Résultats des tournois'!O48,"&lt;&gt;")&lt;=15,24,16))</f>
        <v>32</v>
      </c>
      <c r="P48" s="15">
        <f>IF(COUNTIF('Résultats des tournois'!$B48:'Résultats des tournois'!P48,"&lt;&gt;")&lt;=5,32,IF(COUNTIF('Résultats des tournois'!$B48:'Résultats des tournois'!P48,"&lt;&gt;")&lt;=15,24,16))</f>
        <v>32</v>
      </c>
      <c r="Q48" s="15">
        <f>IF(COUNTIF('Résultats des tournois'!$B48:'Résultats des tournois'!Q48,"&lt;&gt;")&lt;=5,32,IF(COUNTIF('Résultats des tournois'!$B48:'Résultats des tournois'!Q48,"&lt;&gt;")&lt;=15,24,16))</f>
        <v>32</v>
      </c>
      <c r="R48" s="15">
        <f>IF(COUNTIF('Résultats des tournois'!$B48:'Résultats des tournois'!R48,"&lt;&gt;")&lt;=5,32,IF(COUNTIF('Résultats des tournois'!$B48:'Résultats des tournois'!R48,"&lt;&gt;")&lt;=15,24,16))</f>
        <v>32</v>
      </c>
      <c r="S48" s="15">
        <f>IF(COUNTIF('Résultats des tournois'!$B48:'Résultats des tournois'!S48,"&lt;&gt;")&lt;=5,32,IF(COUNTIF('Résultats des tournois'!$B48:'Résultats des tournois'!S48,"&lt;&gt;")&lt;=15,24,16))</f>
        <v>32</v>
      </c>
      <c r="T48" s="15">
        <f>IF(COUNTIF('Résultats des tournois'!$B48:'Résultats des tournois'!T48,"&lt;&gt;")&lt;=5,32,IF(COUNTIF('Résultats des tournois'!$B48:'Résultats des tournois'!T48,"&lt;&gt;")&lt;=15,24,16))</f>
        <v>32</v>
      </c>
      <c r="U48" s="15">
        <f>IF(COUNTIF('Résultats des tournois'!$B48:'Résultats des tournois'!U48,"&lt;&gt;")&lt;=5,32,IF(COUNTIF('Résultats des tournois'!$B48:'Résultats des tournois'!U48,"&lt;&gt;")&lt;=15,24,16))</f>
        <v>32</v>
      </c>
      <c r="V48" s="15">
        <f>IF(COUNTIF('Résultats des tournois'!$B48:'Résultats des tournois'!V48,"&lt;&gt;")&lt;=5,32,IF(COUNTIF('Résultats des tournois'!$B48:'Résultats des tournois'!V48,"&lt;&gt;")&lt;=15,24,16))</f>
        <v>32</v>
      </c>
      <c r="W48" s="15">
        <f>IF(COUNTIF('Résultats des tournois'!$B48:'Résultats des tournois'!W48,"&lt;&gt;")&lt;=5,32,IF(COUNTIF('Résultats des tournois'!$B48:'Résultats des tournois'!W48,"&lt;&gt;")&lt;=15,24,16))</f>
        <v>32</v>
      </c>
      <c r="X48" s="15">
        <f>IF(COUNTIF('Résultats des tournois'!$B48:'Résultats des tournois'!X48,"&lt;&gt;")&lt;=5,32,IF(COUNTIF('Résultats des tournois'!$B48:'Résultats des tournois'!X48,"&lt;&gt;")&lt;=15,24,16))</f>
        <v>32</v>
      </c>
      <c r="Y48" s="15">
        <f>IF(COUNTIF('Résultats des tournois'!$B48:'Résultats des tournois'!Y48,"&lt;&gt;")&lt;=5,32,IF(COUNTIF('Résultats des tournois'!$B48:'Résultats des tournois'!Y48,"&lt;&gt;")&lt;=15,24,16))</f>
        <v>32</v>
      </c>
      <c r="Z48" s="15">
        <f>IF(COUNTIF('Résultats des tournois'!$B48:'Résultats des tournois'!Z48,"&lt;&gt;")&lt;=5,32,IF(COUNTIF('Résultats des tournois'!$B48:'Résultats des tournois'!Z48,"&lt;&gt;")&lt;=15,24,16))</f>
        <v>32</v>
      </c>
      <c r="AA48" s="15">
        <f>IF(COUNTIF('Résultats des tournois'!$B48:'Résultats des tournois'!AA48,"&lt;&gt;")&lt;=5,32,IF(COUNTIF('Résultats des tournois'!$B48:'Résultats des tournois'!AA48,"&lt;&gt;")&lt;=15,24,16))</f>
        <v>32</v>
      </c>
      <c r="AB48" s="15">
        <f>IF(COUNTIF('Résultats des tournois'!$B48:'Résultats des tournois'!AB48,"&lt;&gt;")&lt;=5,32,IF(COUNTIF('Résultats des tournois'!$B48:'Résultats des tournois'!AB48,"&lt;&gt;")&lt;=15,24,16))</f>
        <v>32</v>
      </c>
      <c r="AC48" s="15">
        <f>IF(COUNTIF('Résultats des tournois'!$B48:'Résultats des tournois'!AC48,"&lt;&gt;")&lt;=5,32,IF(COUNTIF('Résultats des tournois'!$B48:'Résultats des tournois'!AC48,"&lt;&gt;")&lt;=15,24,16))</f>
        <v>32</v>
      </c>
      <c r="AD48" s="15">
        <f>IF(COUNTIF('Résultats des tournois'!$B48:'Résultats des tournois'!AD48,"&lt;&gt;")&lt;=5,32,IF(COUNTIF('Résultats des tournois'!$B48:'Résultats des tournois'!AD48,"&lt;&gt;")&lt;=15,24,16))</f>
        <v>32</v>
      </c>
      <c r="AE48" s="15">
        <f>IF(COUNTIF('Résultats des tournois'!$B48:'Résultats des tournois'!AE48,"&lt;&gt;")&lt;=5,32,IF(COUNTIF('Résultats des tournois'!$B48:'Résultats des tournois'!AE48,"&lt;&gt;")&lt;=15,24,16))</f>
        <v>32</v>
      </c>
      <c r="AF48" s="15">
        <f>IF(COUNTIF('Résultats des tournois'!$B48:'Résultats des tournois'!AF48,"&lt;&gt;")&lt;=5,32,IF(COUNTIF('Résultats des tournois'!$B48:'Résultats des tournois'!AF48,"&lt;&gt;")&lt;=15,24,16))</f>
        <v>32</v>
      </c>
      <c r="AG48" s="15">
        <f>IF(COUNTIF('Résultats des tournois'!$B48:'Résultats des tournois'!AG48,"&lt;&gt;")&lt;=5,32,IF(COUNTIF('Résultats des tournois'!$B48:'Résultats des tournois'!AG48,"&lt;&gt;")&lt;=15,24,16))</f>
        <v>32</v>
      </c>
      <c r="AH48" s="15">
        <f>IF(COUNTIF('Résultats des tournois'!$B48:'Résultats des tournois'!AH48,"&lt;&gt;")&lt;=5,32,IF(COUNTIF('Résultats des tournois'!$B48:'Résultats des tournois'!AH48,"&lt;&gt;")&lt;=15,24,16))</f>
        <v>32</v>
      </c>
      <c r="AI48" s="15">
        <f>IF(COUNTIF('Résultats des tournois'!$B48:'Résultats des tournois'!AI48,"&lt;&gt;")&lt;=5,32,IF(COUNTIF('Résultats des tournois'!$B48:'Résultats des tournois'!AI48,"&lt;&gt;")&lt;=15,24,16))</f>
        <v>32</v>
      </c>
      <c r="AJ48" s="15">
        <f>IF(COUNTIF('Résultats des tournois'!$B48:'Résultats des tournois'!AJ48,"&lt;&gt;")&lt;=5,32,IF(COUNTIF('Résultats des tournois'!$B48:'Résultats des tournois'!AJ48,"&lt;&gt;")&lt;=15,24,16))</f>
        <v>32</v>
      </c>
      <c r="AK48" s="15">
        <f>IF(COUNTIF('Résultats des tournois'!$B48:'Résultats des tournois'!AK48,"&lt;&gt;")&lt;=5,32,IF(COUNTIF('Résultats des tournois'!$B48:'Résultats des tournois'!AK48,"&lt;&gt;")&lt;=15,24,16))</f>
        <v>32</v>
      </c>
      <c r="AL48" s="15">
        <f>IF(COUNTIF('Résultats des tournois'!$B48:'Résultats des tournois'!AL48,"&lt;&gt;")&lt;=5,32,IF(COUNTIF('Résultats des tournois'!$B48:'Résultats des tournois'!AL48,"&lt;&gt;")&lt;=15,24,16))</f>
        <v>32</v>
      </c>
      <c r="AM48" s="15">
        <f>IF(COUNTIF('Résultats des tournois'!$B48:'Résultats des tournois'!AM48,"&lt;&gt;")&lt;=5,32,IF(COUNTIF('Résultats des tournois'!$B48:'Résultats des tournois'!AM48,"&lt;&gt;")&lt;=15,24,16))</f>
        <v>32</v>
      </c>
      <c r="AN48" s="15">
        <f>IF(COUNTIF('Résultats des tournois'!$B48:'Résultats des tournois'!AN48,"&lt;&gt;")&lt;=5,32,IF(COUNTIF('Résultats des tournois'!$B48:'Résultats des tournois'!AN48,"&lt;&gt;")&lt;=15,24,16))</f>
        <v>32</v>
      </c>
      <c r="AO48" s="15">
        <f>IF(COUNTIF('Résultats des tournois'!$B48:'Résultats des tournois'!AO48,"&lt;&gt;")&lt;=5,32,IF(COUNTIF('Résultats des tournois'!$B48:'Résultats des tournois'!AO48,"&lt;&gt;")&lt;=15,24,16))</f>
        <v>32</v>
      </c>
      <c r="AP48" s="15">
        <f>IF(COUNTIF('Résultats des tournois'!$B48:'Résultats des tournois'!AP48,"&lt;&gt;")&lt;=5,32,IF(COUNTIF('Résultats des tournois'!$B48:'Résultats des tournois'!AP48,"&lt;&gt;")&lt;=15,24,16))</f>
        <v>32</v>
      </c>
      <c r="AQ48" s="15">
        <f>IF(COUNTIF('Résultats des tournois'!$B48:'Résultats des tournois'!AQ48,"&lt;&gt;")&lt;=5,32,IF(COUNTIF('Résultats des tournois'!$B48:'Résultats des tournois'!AQ48,"&lt;&gt;")&lt;=15,24,16))</f>
        <v>32</v>
      </c>
      <c r="AR48" s="15">
        <f>IF(COUNTIF('Résultats des tournois'!$B48:'Résultats des tournois'!AR48,"&lt;&gt;")&lt;=5,32,IF(COUNTIF('Résultats des tournois'!$B48:'Résultats des tournois'!AR48,"&lt;&gt;")&lt;=15,24,16))</f>
        <v>32</v>
      </c>
      <c r="AS48" s="15">
        <f>IF(COUNTIF('Résultats des tournois'!$B48:'Résultats des tournois'!AS48,"&lt;&gt;")&lt;=5,32,IF(COUNTIF('Résultats des tournois'!$B48:'Résultats des tournois'!AS48,"&lt;&gt;")&lt;=15,24,16))</f>
        <v>32</v>
      </c>
      <c r="AT48" s="15">
        <f>IF(COUNTIF('Résultats des tournois'!$B48:'Résultats des tournois'!AT48,"&lt;&gt;")&lt;=5,32,IF(COUNTIF('Résultats des tournois'!$B48:'Résultats des tournois'!AT48,"&lt;&gt;")&lt;=15,24,16))</f>
        <v>32</v>
      </c>
      <c r="AU48" s="15">
        <f>IF(COUNTIF('Résultats des tournois'!$B48:'Résultats des tournois'!AU48,"&lt;&gt;")&lt;=5,32,IF(COUNTIF('Résultats des tournois'!$B48:'Résultats des tournois'!AU48,"&lt;&gt;")&lt;=15,24,16))</f>
        <v>32</v>
      </c>
      <c r="AV48" s="15">
        <f>IF(COUNTIF('Résultats des tournois'!$B48:'Résultats des tournois'!AV48,"&lt;&gt;")&lt;=5,32,IF(COUNTIF('Résultats des tournois'!$B48:'Résultats des tournois'!AV48,"&lt;&gt;")&lt;=15,24,16))</f>
        <v>32</v>
      </c>
      <c r="AW48" s="15">
        <f>IF(COUNTIF('Résultats des tournois'!$B48:'Résultats des tournois'!AW48,"&lt;&gt;")&lt;=5,32,IF(COUNTIF('Résultats des tournois'!$B48:'Résultats des tournois'!AW48,"&lt;&gt;")&lt;=15,24,16))</f>
        <v>32</v>
      </c>
      <c r="AX48" s="15">
        <f>IF(COUNTIF('Résultats des tournois'!$B48:'Résultats des tournois'!AX48,"&lt;&gt;")&lt;=5,32,IF(COUNTIF('Résultats des tournois'!$B48:'Résultats des tournois'!AX48,"&lt;&gt;")&lt;=15,24,16))</f>
        <v>32</v>
      </c>
    </row>
    <row r="49" ht="14.25" customHeight="1">
      <c r="A49" s="15" t="str">
        <f>IF('Résultats des tournois'!A49="","",'Résultats des tournois'!A49)</f>
        <v/>
      </c>
      <c r="B49" s="15">
        <f>IF(COUNTIF('Résultats des tournois'!B49,"&lt;&gt;")&lt;=5,32,IF(COUNTIF('Résultats des tournois'!B49,"&lt;&gt;")&lt;=15,24,16))</f>
        <v>32</v>
      </c>
      <c r="C49" s="15">
        <f>IF(COUNTIF('Résultats des tournois'!$B49:'Résultats des tournois'!C49,"&lt;&gt;")&lt;=5,32,IF(COUNTIF('Résultats des tournois'!$B49:'Résultats des tournois'!C49,"&lt;&gt;")&lt;=15,24,16))</f>
        <v>32</v>
      </c>
      <c r="D49" s="15">
        <f>IF(COUNTIF('Résultats des tournois'!$B49:'Résultats des tournois'!D49,"&lt;&gt;")&lt;=5,32,IF(COUNTIF('Résultats des tournois'!$B49:'Résultats des tournois'!D49,"&lt;&gt;")&lt;=15,24,16))</f>
        <v>32</v>
      </c>
      <c r="E49" s="15">
        <f>IF(COUNTIF('Résultats des tournois'!$B49:'Résultats des tournois'!E49,"&lt;&gt;")&lt;=5,32,IF(COUNTIF('Résultats des tournois'!$B49:'Résultats des tournois'!E49,"&lt;&gt;")&lt;=15,24,16))</f>
        <v>32</v>
      </c>
      <c r="F49" s="15">
        <f>IF(COUNTIF('Résultats des tournois'!$B49:'Résultats des tournois'!F49,"&lt;&gt;")&lt;=5,32,IF(COUNTIF('Résultats des tournois'!$B49:'Résultats des tournois'!F49,"&lt;&gt;")&lt;=15,24,16))</f>
        <v>32</v>
      </c>
      <c r="G49" s="15">
        <f>IF(COUNTIF('Résultats des tournois'!$B49:'Résultats des tournois'!G49,"&lt;&gt;")&lt;=5,32,IF(COUNTIF('Résultats des tournois'!$B49:'Résultats des tournois'!G49,"&lt;&gt;")&lt;=15,24,16))</f>
        <v>32</v>
      </c>
      <c r="H49" s="15">
        <f>IF(COUNTIF('Résultats des tournois'!$B49:'Résultats des tournois'!H49,"&lt;&gt;")&lt;=5,32,IF(COUNTIF('Résultats des tournois'!$B49:'Résultats des tournois'!H49,"&lt;&gt;")&lt;=15,24,16))</f>
        <v>32</v>
      </c>
      <c r="I49" s="15">
        <f>IF(COUNTIF('Résultats des tournois'!$B49:'Résultats des tournois'!I49,"&lt;&gt;")&lt;=5,32,IF(COUNTIF('Résultats des tournois'!$B49:'Résultats des tournois'!I49,"&lt;&gt;")&lt;=15,24,16))</f>
        <v>32</v>
      </c>
      <c r="J49" s="15">
        <f>IF(COUNTIF('Résultats des tournois'!$B49:'Résultats des tournois'!J49,"&lt;&gt;")&lt;=5,32,IF(COUNTIF('Résultats des tournois'!$B49:'Résultats des tournois'!J49,"&lt;&gt;")&lt;=15,24,16))</f>
        <v>32</v>
      </c>
      <c r="K49" s="15">
        <f>IF(COUNTIF('Résultats des tournois'!$B49:'Résultats des tournois'!K49,"&lt;&gt;")&lt;=5,32,IF(COUNTIF('Résultats des tournois'!$B49:'Résultats des tournois'!K49,"&lt;&gt;")&lt;=15,24,16))</f>
        <v>32</v>
      </c>
      <c r="L49" s="15">
        <f>IF(COUNTIF('Résultats des tournois'!$B49:'Résultats des tournois'!L49,"&lt;&gt;")&lt;=5,32,IF(COUNTIF('Résultats des tournois'!$B49:'Résultats des tournois'!L49,"&lt;&gt;")&lt;=15,24,16))</f>
        <v>32</v>
      </c>
      <c r="M49" s="15">
        <f>IF(COUNTIF('Résultats des tournois'!$B49:'Résultats des tournois'!M49,"&lt;&gt;")&lt;=5,32,IF(COUNTIF('Résultats des tournois'!$B49:'Résultats des tournois'!M49,"&lt;&gt;")&lt;=15,24,16))</f>
        <v>32</v>
      </c>
      <c r="N49" s="15">
        <f>IF(COUNTIF('Résultats des tournois'!$B49:'Résultats des tournois'!N49,"&lt;&gt;")&lt;=5,32,IF(COUNTIF('Résultats des tournois'!$B49:'Résultats des tournois'!N49,"&lt;&gt;")&lt;=15,24,16))</f>
        <v>32</v>
      </c>
      <c r="O49" s="15">
        <f>IF(COUNTIF('Résultats des tournois'!$B49:'Résultats des tournois'!O49,"&lt;&gt;")&lt;=5,32,IF(COUNTIF('Résultats des tournois'!$B49:'Résultats des tournois'!O49,"&lt;&gt;")&lt;=15,24,16))</f>
        <v>32</v>
      </c>
      <c r="P49" s="15">
        <f>IF(COUNTIF('Résultats des tournois'!$B49:'Résultats des tournois'!P49,"&lt;&gt;")&lt;=5,32,IF(COUNTIF('Résultats des tournois'!$B49:'Résultats des tournois'!P49,"&lt;&gt;")&lt;=15,24,16))</f>
        <v>32</v>
      </c>
      <c r="Q49" s="15">
        <f>IF(COUNTIF('Résultats des tournois'!$B49:'Résultats des tournois'!Q49,"&lt;&gt;")&lt;=5,32,IF(COUNTIF('Résultats des tournois'!$B49:'Résultats des tournois'!Q49,"&lt;&gt;")&lt;=15,24,16))</f>
        <v>32</v>
      </c>
      <c r="R49" s="15">
        <f>IF(COUNTIF('Résultats des tournois'!$B49:'Résultats des tournois'!R49,"&lt;&gt;")&lt;=5,32,IF(COUNTIF('Résultats des tournois'!$B49:'Résultats des tournois'!R49,"&lt;&gt;")&lt;=15,24,16))</f>
        <v>32</v>
      </c>
      <c r="S49" s="15">
        <f>IF(COUNTIF('Résultats des tournois'!$B49:'Résultats des tournois'!S49,"&lt;&gt;")&lt;=5,32,IF(COUNTIF('Résultats des tournois'!$B49:'Résultats des tournois'!S49,"&lt;&gt;")&lt;=15,24,16))</f>
        <v>32</v>
      </c>
      <c r="T49" s="15">
        <f>IF(COUNTIF('Résultats des tournois'!$B49:'Résultats des tournois'!T49,"&lt;&gt;")&lt;=5,32,IF(COUNTIF('Résultats des tournois'!$B49:'Résultats des tournois'!T49,"&lt;&gt;")&lt;=15,24,16))</f>
        <v>32</v>
      </c>
      <c r="U49" s="15">
        <f>IF(COUNTIF('Résultats des tournois'!$B49:'Résultats des tournois'!U49,"&lt;&gt;")&lt;=5,32,IF(COUNTIF('Résultats des tournois'!$B49:'Résultats des tournois'!U49,"&lt;&gt;")&lt;=15,24,16))</f>
        <v>32</v>
      </c>
      <c r="V49" s="15">
        <f>IF(COUNTIF('Résultats des tournois'!$B49:'Résultats des tournois'!V49,"&lt;&gt;")&lt;=5,32,IF(COUNTIF('Résultats des tournois'!$B49:'Résultats des tournois'!V49,"&lt;&gt;")&lt;=15,24,16))</f>
        <v>32</v>
      </c>
      <c r="W49" s="15">
        <f>IF(COUNTIF('Résultats des tournois'!$B49:'Résultats des tournois'!W49,"&lt;&gt;")&lt;=5,32,IF(COUNTIF('Résultats des tournois'!$B49:'Résultats des tournois'!W49,"&lt;&gt;")&lt;=15,24,16))</f>
        <v>32</v>
      </c>
      <c r="X49" s="15">
        <f>IF(COUNTIF('Résultats des tournois'!$B49:'Résultats des tournois'!X49,"&lt;&gt;")&lt;=5,32,IF(COUNTIF('Résultats des tournois'!$B49:'Résultats des tournois'!X49,"&lt;&gt;")&lt;=15,24,16))</f>
        <v>32</v>
      </c>
      <c r="Y49" s="15">
        <f>IF(COUNTIF('Résultats des tournois'!$B49:'Résultats des tournois'!Y49,"&lt;&gt;")&lt;=5,32,IF(COUNTIF('Résultats des tournois'!$B49:'Résultats des tournois'!Y49,"&lt;&gt;")&lt;=15,24,16))</f>
        <v>32</v>
      </c>
      <c r="Z49" s="15">
        <f>IF(COUNTIF('Résultats des tournois'!$B49:'Résultats des tournois'!Z49,"&lt;&gt;")&lt;=5,32,IF(COUNTIF('Résultats des tournois'!$B49:'Résultats des tournois'!Z49,"&lt;&gt;")&lt;=15,24,16))</f>
        <v>32</v>
      </c>
      <c r="AA49" s="15">
        <f>IF(COUNTIF('Résultats des tournois'!$B49:'Résultats des tournois'!AA49,"&lt;&gt;")&lt;=5,32,IF(COUNTIF('Résultats des tournois'!$B49:'Résultats des tournois'!AA49,"&lt;&gt;")&lt;=15,24,16))</f>
        <v>32</v>
      </c>
      <c r="AB49" s="15">
        <f>IF(COUNTIF('Résultats des tournois'!$B49:'Résultats des tournois'!AB49,"&lt;&gt;")&lt;=5,32,IF(COUNTIF('Résultats des tournois'!$B49:'Résultats des tournois'!AB49,"&lt;&gt;")&lt;=15,24,16))</f>
        <v>32</v>
      </c>
      <c r="AC49" s="15">
        <f>IF(COUNTIF('Résultats des tournois'!$B49:'Résultats des tournois'!AC49,"&lt;&gt;")&lt;=5,32,IF(COUNTIF('Résultats des tournois'!$B49:'Résultats des tournois'!AC49,"&lt;&gt;")&lt;=15,24,16))</f>
        <v>32</v>
      </c>
      <c r="AD49" s="15">
        <f>IF(COUNTIF('Résultats des tournois'!$B49:'Résultats des tournois'!AD49,"&lt;&gt;")&lt;=5,32,IF(COUNTIF('Résultats des tournois'!$B49:'Résultats des tournois'!AD49,"&lt;&gt;")&lt;=15,24,16))</f>
        <v>32</v>
      </c>
      <c r="AE49" s="15">
        <f>IF(COUNTIF('Résultats des tournois'!$B49:'Résultats des tournois'!AE49,"&lt;&gt;")&lt;=5,32,IF(COUNTIF('Résultats des tournois'!$B49:'Résultats des tournois'!AE49,"&lt;&gt;")&lt;=15,24,16))</f>
        <v>32</v>
      </c>
      <c r="AF49" s="15">
        <f>IF(COUNTIF('Résultats des tournois'!$B49:'Résultats des tournois'!AF49,"&lt;&gt;")&lt;=5,32,IF(COUNTIF('Résultats des tournois'!$B49:'Résultats des tournois'!AF49,"&lt;&gt;")&lt;=15,24,16))</f>
        <v>32</v>
      </c>
      <c r="AG49" s="15">
        <f>IF(COUNTIF('Résultats des tournois'!$B49:'Résultats des tournois'!AG49,"&lt;&gt;")&lt;=5,32,IF(COUNTIF('Résultats des tournois'!$B49:'Résultats des tournois'!AG49,"&lt;&gt;")&lt;=15,24,16))</f>
        <v>32</v>
      </c>
      <c r="AH49" s="15">
        <f>IF(COUNTIF('Résultats des tournois'!$B49:'Résultats des tournois'!AH49,"&lt;&gt;")&lt;=5,32,IF(COUNTIF('Résultats des tournois'!$B49:'Résultats des tournois'!AH49,"&lt;&gt;")&lt;=15,24,16))</f>
        <v>32</v>
      </c>
      <c r="AI49" s="15">
        <f>IF(COUNTIF('Résultats des tournois'!$B49:'Résultats des tournois'!AI49,"&lt;&gt;")&lt;=5,32,IF(COUNTIF('Résultats des tournois'!$B49:'Résultats des tournois'!AI49,"&lt;&gt;")&lt;=15,24,16))</f>
        <v>32</v>
      </c>
      <c r="AJ49" s="15">
        <f>IF(COUNTIF('Résultats des tournois'!$B49:'Résultats des tournois'!AJ49,"&lt;&gt;")&lt;=5,32,IF(COUNTIF('Résultats des tournois'!$B49:'Résultats des tournois'!AJ49,"&lt;&gt;")&lt;=15,24,16))</f>
        <v>32</v>
      </c>
      <c r="AK49" s="15">
        <f>IF(COUNTIF('Résultats des tournois'!$B49:'Résultats des tournois'!AK49,"&lt;&gt;")&lt;=5,32,IF(COUNTIF('Résultats des tournois'!$B49:'Résultats des tournois'!AK49,"&lt;&gt;")&lt;=15,24,16))</f>
        <v>32</v>
      </c>
      <c r="AL49" s="15">
        <f>IF(COUNTIF('Résultats des tournois'!$B49:'Résultats des tournois'!AL49,"&lt;&gt;")&lt;=5,32,IF(COUNTIF('Résultats des tournois'!$B49:'Résultats des tournois'!AL49,"&lt;&gt;")&lt;=15,24,16))</f>
        <v>32</v>
      </c>
      <c r="AM49" s="15">
        <f>IF(COUNTIF('Résultats des tournois'!$B49:'Résultats des tournois'!AM49,"&lt;&gt;")&lt;=5,32,IF(COUNTIF('Résultats des tournois'!$B49:'Résultats des tournois'!AM49,"&lt;&gt;")&lt;=15,24,16))</f>
        <v>32</v>
      </c>
      <c r="AN49" s="15">
        <f>IF(COUNTIF('Résultats des tournois'!$B49:'Résultats des tournois'!AN49,"&lt;&gt;")&lt;=5,32,IF(COUNTIF('Résultats des tournois'!$B49:'Résultats des tournois'!AN49,"&lt;&gt;")&lt;=15,24,16))</f>
        <v>32</v>
      </c>
      <c r="AO49" s="15">
        <f>IF(COUNTIF('Résultats des tournois'!$B49:'Résultats des tournois'!AO49,"&lt;&gt;")&lt;=5,32,IF(COUNTIF('Résultats des tournois'!$B49:'Résultats des tournois'!AO49,"&lt;&gt;")&lt;=15,24,16))</f>
        <v>32</v>
      </c>
      <c r="AP49" s="15">
        <f>IF(COUNTIF('Résultats des tournois'!$B49:'Résultats des tournois'!AP49,"&lt;&gt;")&lt;=5,32,IF(COUNTIF('Résultats des tournois'!$B49:'Résultats des tournois'!AP49,"&lt;&gt;")&lt;=15,24,16))</f>
        <v>32</v>
      </c>
      <c r="AQ49" s="15">
        <f>IF(COUNTIF('Résultats des tournois'!$B49:'Résultats des tournois'!AQ49,"&lt;&gt;")&lt;=5,32,IF(COUNTIF('Résultats des tournois'!$B49:'Résultats des tournois'!AQ49,"&lt;&gt;")&lt;=15,24,16))</f>
        <v>32</v>
      </c>
      <c r="AR49" s="15">
        <f>IF(COUNTIF('Résultats des tournois'!$B49:'Résultats des tournois'!AR49,"&lt;&gt;")&lt;=5,32,IF(COUNTIF('Résultats des tournois'!$B49:'Résultats des tournois'!AR49,"&lt;&gt;")&lt;=15,24,16))</f>
        <v>32</v>
      </c>
      <c r="AS49" s="15">
        <f>IF(COUNTIF('Résultats des tournois'!$B49:'Résultats des tournois'!AS49,"&lt;&gt;")&lt;=5,32,IF(COUNTIF('Résultats des tournois'!$B49:'Résultats des tournois'!AS49,"&lt;&gt;")&lt;=15,24,16))</f>
        <v>32</v>
      </c>
      <c r="AT49" s="15">
        <f>IF(COUNTIF('Résultats des tournois'!$B49:'Résultats des tournois'!AT49,"&lt;&gt;")&lt;=5,32,IF(COUNTIF('Résultats des tournois'!$B49:'Résultats des tournois'!AT49,"&lt;&gt;")&lt;=15,24,16))</f>
        <v>32</v>
      </c>
      <c r="AU49" s="15">
        <f>IF(COUNTIF('Résultats des tournois'!$B49:'Résultats des tournois'!AU49,"&lt;&gt;")&lt;=5,32,IF(COUNTIF('Résultats des tournois'!$B49:'Résultats des tournois'!AU49,"&lt;&gt;")&lt;=15,24,16))</f>
        <v>32</v>
      </c>
      <c r="AV49" s="15">
        <f>IF(COUNTIF('Résultats des tournois'!$B49:'Résultats des tournois'!AV49,"&lt;&gt;")&lt;=5,32,IF(COUNTIF('Résultats des tournois'!$B49:'Résultats des tournois'!AV49,"&lt;&gt;")&lt;=15,24,16))</f>
        <v>32</v>
      </c>
      <c r="AW49" s="15">
        <f>IF(COUNTIF('Résultats des tournois'!$B49:'Résultats des tournois'!AW49,"&lt;&gt;")&lt;=5,32,IF(COUNTIF('Résultats des tournois'!$B49:'Résultats des tournois'!AW49,"&lt;&gt;")&lt;=15,24,16))</f>
        <v>32</v>
      </c>
      <c r="AX49" s="15">
        <f>IF(COUNTIF('Résultats des tournois'!$B49:'Résultats des tournois'!AX49,"&lt;&gt;")&lt;=5,32,IF(COUNTIF('Résultats des tournois'!$B49:'Résultats des tournois'!AX49,"&lt;&gt;")&lt;=15,24,16))</f>
        <v>32</v>
      </c>
    </row>
    <row r="50" ht="14.25" customHeight="1">
      <c r="A50" s="15" t="str">
        <f>IF('Résultats des tournois'!A50="","",'Résultats des tournois'!A50)</f>
        <v/>
      </c>
      <c r="B50" s="15">
        <f>IF(COUNTIF('Résultats des tournois'!B50,"&lt;&gt;")&lt;=5,32,IF(COUNTIF('Résultats des tournois'!B50,"&lt;&gt;")&lt;=15,24,16))</f>
        <v>32</v>
      </c>
      <c r="C50" s="15">
        <f>IF(COUNTIF('Résultats des tournois'!$B50:'Résultats des tournois'!C50,"&lt;&gt;")&lt;=5,32,IF(COUNTIF('Résultats des tournois'!$B50:'Résultats des tournois'!C50,"&lt;&gt;")&lt;=15,24,16))</f>
        <v>32</v>
      </c>
      <c r="D50" s="15">
        <f>IF(COUNTIF('Résultats des tournois'!$B50:'Résultats des tournois'!D50,"&lt;&gt;")&lt;=5,32,IF(COUNTIF('Résultats des tournois'!$B50:'Résultats des tournois'!D50,"&lt;&gt;")&lt;=15,24,16))</f>
        <v>32</v>
      </c>
      <c r="E50" s="15">
        <f>IF(COUNTIF('Résultats des tournois'!$B50:'Résultats des tournois'!E50,"&lt;&gt;")&lt;=5,32,IF(COUNTIF('Résultats des tournois'!$B50:'Résultats des tournois'!E50,"&lt;&gt;")&lt;=15,24,16))</f>
        <v>32</v>
      </c>
      <c r="F50" s="15">
        <f>IF(COUNTIF('Résultats des tournois'!$B50:'Résultats des tournois'!F50,"&lt;&gt;")&lt;=5,32,IF(COUNTIF('Résultats des tournois'!$B50:'Résultats des tournois'!F50,"&lt;&gt;")&lt;=15,24,16))</f>
        <v>32</v>
      </c>
      <c r="G50" s="15">
        <f>IF(COUNTIF('Résultats des tournois'!$B50:'Résultats des tournois'!G50,"&lt;&gt;")&lt;=5,32,IF(COUNTIF('Résultats des tournois'!$B50:'Résultats des tournois'!G50,"&lt;&gt;")&lt;=15,24,16))</f>
        <v>32</v>
      </c>
      <c r="H50" s="15">
        <f>IF(COUNTIF('Résultats des tournois'!$B50:'Résultats des tournois'!H50,"&lt;&gt;")&lt;=5,32,IF(COUNTIF('Résultats des tournois'!$B50:'Résultats des tournois'!H50,"&lt;&gt;")&lt;=15,24,16))</f>
        <v>32</v>
      </c>
      <c r="I50" s="15">
        <f>IF(COUNTIF('Résultats des tournois'!$B50:'Résultats des tournois'!I50,"&lt;&gt;")&lt;=5,32,IF(COUNTIF('Résultats des tournois'!$B50:'Résultats des tournois'!I50,"&lt;&gt;")&lt;=15,24,16))</f>
        <v>32</v>
      </c>
      <c r="J50" s="15">
        <f>IF(COUNTIF('Résultats des tournois'!$B50:'Résultats des tournois'!J50,"&lt;&gt;")&lt;=5,32,IF(COUNTIF('Résultats des tournois'!$B50:'Résultats des tournois'!J50,"&lt;&gt;")&lt;=15,24,16))</f>
        <v>32</v>
      </c>
      <c r="K50" s="15">
        <f>IF(COUNTIF('Résultats des tournois'!$B50:'Résultats des tournois'!K50,"&lt;&gt;")&lt;=5,32,IF(COUNTIF('Résultats des tournois'!$B50:'Résultats des tournois'!K50,"&lt;&gt;")&lt;=15,24,16))</f>
        <v>32</v>
      </c>
      <c r="L50" s="15">
        <f>IF(COUNTIF('Résultats des tournois'!$B50:'Résultats des tournois'!L50,"&lt;&gt;")&lt;=5,32,IF(COUNTIF('Résultats des tournois'!$B50:'Résultats des tournois'!L50,"&lt;&gt;")&lt;=15,24,16))</f>
        <v>32</v>
      </c>
      <c r="M50" s="15">
        <f>IF(COUNTIF('Résultats des tournois'!$B50:'Résultats des tournois'!M50,"&lt;&gt;")&lt;=5,32,IF(COUNTIF('Résultats des tournois'!$B50:'Résultats des tournois'!M50,"&lt;&gt;")&lt;=15,24,16))</f>
        <v>32</v>
      </c>
      <c r="N50" s="15">
        <f>IF(COUNTIF('Résultats des tournois'!$B50:'Résultats des tournois'!N50,"&lt;&gt;")&lt;=5,32,IF(COUNTIF('Résultats des tournois'!$B50:'Résultats des tournois'!N50,"&lt;&gt;")&lt;=15,24,16))</f>
        <v>32</v>
      </c>
      <c r="O50" s="15">
        <f>IF(COUNTIF('Résultats des tournois'!$B50:'Résultats des tournois'!O50,"&lt;&gt;")&lt;=5,32,IF(COUNTIF('Résultats des tournois'!$B50:'Résultats des tournois'!O50,"&lt;&gt;")&lt;=15,24,16))</f>
        <v>32</v>
      </c>
      <c r="P50" s="15">
        <f>IF(COUNTIF('Résultats des tournois'!$B50:'Résultats des tournois'!P50,"&lt;&gt;")&lt;=5,32,IF(COUNTIF('Résultats des tournois'!$B50:'Résultats des tournois'!P50,"&lt;&gt;")&lt;=15,24,16))</f>
        <v>32</v>
      </c>
      <c r="Q50" s="15">
        <f>IF(COUNTIF('Résultats des tournois'!$B50:'Résultats des tournois'!Q50,"&lt;&gt;")&lt;=5,32,IF(COUNTIF('Résultats des tournois'!$B50:'Résultats des tournois'!Q50,"&lt;&gt;")&lt;=15,24,16))</f>
        <v>32</v>
      </c>
      <c r="R50" s="15">
        <f>IF(COUNTIF('Résultats des tournois'!$B50:'Résultats des tournois'!R50,"&lt;&gt;")&lt;=5,32,IF(COUNTIF('Résultats des tournois'!$B50:'Résultats des tournois'!R50,"&lt;&gt;")&lt;=15,24,16))</f>
        <v>32</v>
      </c>
      <c r="S50" s="15">
        <f>IF(COUNTIF('Résultats des tournois'!$B50:'Résultats des tournois'!S50,"&lt;&gt;")&lt;=5,32,IF(COUNTIF('Résultats des tournois'!$B50:'Résultats des tournois'!S50,"&lt;&gt;")&lt;=15,24,16))</f>
        <v>32</v>
      </c>
      <c r="T50" s="15">
        <f>IF(COUNTIF('Résultats des tournois'!$B50:'Résultats des tournois'!T50,"&lt;&gt;")&lt;=5,32,IF(COUNTIF('Résultats des tournois'!$B50:'Résultats des tournois'!T50,"&lt;&gt;")&lt;=15,24,16))</f>
        <v>32</v>
      </c>
      <c r="U50" s="15">
        <f>IF(COUNTIF('Résultats des tournois'!$B50:'Résultats des tournois'!U50,"&lt;&gt;")&lt;=5,32,IF(COUNTIF('Résultats des tournois'!$B50:'Résultats des tournois'!U50,"&lt;&gt;")&lt;=15,24,16))</f>
        <v>32</v>
      </c>
      <c r="V50" s="15">
        <f>IF(COUNTIF('Résultats des tournois'!$B50:'Résultats des tournois'!V50,"&lt;&gt;")&lt;=5,32,IF(COUNTIF('Résultats des tournois'!$B50:'Résultats des tournois'!V50,"&lt;&gt;")&lt;=15,24,16))</f>
        <v>32</v>
      </c>
      <c r="W50" s="15">
        <f>IF(COUNTIF('Résultats des tournois'!$B50:'Résultats des tournois'!W50,"&lt;&gt;")&lt;=5,32,IF(COUNTIF('Résultats des tournois'!$B50:'Résultats des tournois'!W50,"&lt;&gt;")&lt;=15,24,16))</f>
        <v>32</v>
      </c>
      <c r="X50" s="15">
        <f>IF(COUNTIF('Résultats des tournois'!$B50:'Résultats des tournois'!X50,"&lt;&gt;")&lt;=5,32,IF(COUNTIF('Résultats des tournois'!$B50:'Résultats des tournois'!X50,"&lt;&gt;")&lt;=15,24,16))</f>
        <v>32</v>
      </c>
      <c r="Y50" s="15">
        <f>IF(COUNTIF('Résultats des tournois'!$B50:'Résultats des tournois'!Y50,"&lt;&gt;")&lt;=5,32,IF(COUNTIF('Résultats des tournois'!$B50:'Résultats des tournois'!Y50,"&lt;&gt;")&lt;=15,24,16))</f>
        <v>32</v>
      </c>
      <c r="Z50" s="15">
        <f>IF(COUNTIF('Résultats des tournois'!$B50:'Résultats des tournois'!Z50,"&lt;&gt;")&lt;=5,32,IF(COUNTIF('Résultats des tournois'!$B50:'Résultats des tournois'!Z50,"&lt;&gt;")&lt;=15,24,16))</f>
        <v>32</v>
      </c>
      <c r="AA50" s="15">
        <f>IF(COUNTIF('Résultats des tournois'!$B50:'Résultats des tournois'!AA50,"&lt;&gt;")&lt;=5,32,IF(COUNTIF('Résultats des tournois'!$B50:'Résultats des tournois'!AA50,"&lt;&gt;")&lt;=15,24,16))</f>
        <v>32</v>
      </c>
      <c r="AB50" s="15">
        <f>IF(COUNTIF('Résultats des tournois'!$B50:'Résultats des tournois'!AB50,"&lt;&gt;")&lt;=5,32,IF(COUNTIF('Résultats des tournois'!$B50:'Résultats des tournois'!AB50,"&lt;&gt;")&lt;=15,24,16))</f>
        <v>32</v>
      </c>
      <c r="AC50" s="15">
        <f>IF(COUNTIF('Résultats des tournois'!$B50:'Résultats des tournois'!AC50,"&lt;&gt;")&lt;=5,32,IF(COUNTIF('Résultats des tournois'!$B50:'Résultats des tournois'!AC50,"&lt;&gt;")&lt;=15,24,16))</f>
        <v>32</v>
      </c>
      <c r="AD50" s="15">
        <f>IF(COUNTIF('Résultats des tournois'!$B50:'Résultats des tournois'!AD50,"&lt;&gt;")&lt;=5,32,IF(COUNTIF('Résultats des tournois'!$B50:'Résultats des tournois'!AD50,"&lt;&gt;")&lt;=15,24,16))</f>
        <v>32</v>
      </c>
      <c r="AE50" s="15">
        <f>IF(COUNTIF('Résultats des tournois'!$B50:'Résultats des tournois'!AE50,"&lt;&gt;")&lt;=5,32,IF(COUNTIF('Résultats des tournois'!$B50:'Résultats des tournois'!AE50,"&lt;&gt;")&lt;=15,24,16))</f>
        <v>32</v>
      </c>
      <c r="AF50" s="15">
        <f>IF(COUNTIF('Résultats des tournois'!$B50:'Résultats des tournois'!AF50,"&lt;&gt;")&lt;=5,32,IF(COUNTIF('Résultats des tournois'!$B50:'Résultats des tournois'!AF50,"&lt;&gt;")&lt;=15,24,16))</f>
        <v>32</v>
      </c>
      <c r="AG50" s="15">
        <f>IF(COUNTIF('Résultats des tournois'!$B50:'Résultats des tournois'!AG50,"&lt;&gt;")&lt;=5,32,IF(COUNTIF('Résultats des tournois'!$B50:'Résultats des tournois'!AG50,"&lt;&gt;")&lt;=15,24,16))</f>
        <v>32</v>
      </c>
      <c r="AH50" s="15">
        <f>IF(COUNTIF('Résultats des tournois'!$B50:'Résultats des tournois'!AH50,"&lt;&gt;")&lt;=5,32,IF(COUNTIF('Résultats des tournois'!$B50:'Résultats des tournois'!AH50,"&lt;&gt;")&lt;=15,24,16))</f>
        <v>32</v>
      </c>
      <c r="AI50" s="15">
        <f>IF(COUNTIF('Résultats des tournois'!$B50:'Résultats des tournois'!AI50,"&lt;&gt;")&lt;=5,32,IF(COUNTIF('Résultats des tournois'!$B50:'Résultats des tournois'!AI50,"&lt;&gt;")&lt;=15,24,16))</f>
        <v>32</v>
      </c>
      <c r="AJ50" s="15">
        <f>IF(COUNTIF('Résultats des tournois'!$B50:'Résultats des tournois'!AJ50,"&lt;&gt;")&lt;=5,32,IF(COUNTIF('Résultats des tournois'!$B50:'Résultats des tournois'!AJ50,"&lt;&gt;")&lt;=15,24,16))</f>
        <v>32</v>
      </c>
      <c r="AK50" s="15">
        <f>IF(COUNTIF('Résultats des tournois'!$B50:'Résultats des tournois'!AK50,"&lt;&gt;")&lt;=5,32,IF(COUNTIF('Résultats des tournois'!$B50:'Résultats des tournois'!AK50,"&lt;&gt;")&lt;=15,24,16))</f>
        <v>32</v>
      </c>
      <c r="AL50" s="15">
        <f>IF(COUNTIF('Résultats des tournois'!$B50:'Résultats des tournois'!AL50,"&lt;&gt;")&lt;=5,32,IF(COUNTIF('Résultats des tournois'!$B50:'Résultats des tournois'!AL50,"&lt;&gt;")&lt;=15,24,16))</f>
        <v>32</v>
      </c>
      <c r="AM50" s="15">
        <f>IF(COUNTIF('Résultats des tournois'!$B50:'Résultats des tournois'!AM50,"&lt;&gt;")&lt;=5,32,IF(COUNTIF('Résultats des tournois'!$B50:'Résultats des tournois'!AM50,"&lt;&gt;")&lt;=15,24,16))</f>
        <v>32</v>
      </c>
      <c r="AN50" s="15">
        <f>IF(COUNTIF('Résultats des tournois'!$B50:'Résultats des tournois'!AN50,"&lt;&gt;")&lt;=5,32,IF(COUNTIF('Résultats des tournois'!$B50:'Résultats des tournois'!AN50,"&lt;&gt;")&lt;=15,24,16))</f>
        <v>32</v>
      </c>
      <c r="AO50" s="15">
        <f>IF(COUNTIF('Résultats des tournois'!$B50:'Résultats des tournois'!AO50,"&lt;&gt;")&lt;=5,32,IF(COUNTIF('Résultats des tournois'!$B50:'Résultats des tournois'!AO50,"&lt;&gt;")&lt;=15,24,16))</f>
        <v>32</v>
      </c>
      <c r="AP50" s="15">
        <f>IF(COUNTIF('Résultats des tournois'!$B50:'Résultats des tournois'!AP50,"&lt;&gt;")&lt;=5,32,IF(COUNTIF('Résultats des tournois'!$B50:'Résultats des tournois'!AP50,"&lt;&gt;")&lt;=15,24,16))</f>
        <v>32</v>
      </c>
      <c r="AQ50" s="15">
        <f>IF(COUNTIF('Résultats des tournois'!$B50:'Résultats des tournois'!AQ50,"&lt;&gt;")&lt;=5,32,IF(COUNTIF('Résultats des tournois'!$B50:'Résultats des tournois'!AQ50,"&lt;&gt;")&lt;=15,24,16))</f>
        <v>32</v>
      </c>
      <c r="AR50" s="15">
        <f>IF(COUNTIF('Résultats des tournois'!$B50:'Résultats des tournois'!AR50,"&lt;&gt;")&lt;=5,32,IF(COUNTIF('Résultats des tournois'!$B50:'Résultats des tournois'!AR50,"&lt;&gt;")&lt;=15,24,16))</f>
        <v>32</v>
      </c>
      <c r="AS50" s="15">
        <f>IF(COUNTIF('Résultats des tournois'!$B50:'Résultats des tournois'!AS50,"&lt;&gt;")&lt;=5,32,IF(COUNTIF('Résultats des tournois'!$B50:'Résultats des tournois'!AS50,"&lt;&gt;")&lt;=15,24,16))</f>
        <v>32</v>
      </c>
      <c r="AT50" s="15">
        <f>IF(COUNTIF('Résultats des tournois'!$B50:'Résultats des tournois'!AT50,"&lt;&gt;")&lt;=5,32,IF(COUNTIF('Résultats des tournois'!$B50:'Résultats des tournois'!AT50,"&lt;&gt;")&lt;=15,24,16))</f>
        <v>32</v>
      </c>
      <c r="AU50" s="15">
        <f>IF(COUNTIF('Résultats des tournois'!$B50:'Résultats des tournois'!AU50,"&lt;&gt;")&lt;=5,32,IF(COUNTIF('Résultats des tournois'!$B50:'Résultats des tournois'!AU50,"&lt;&gt;")&lt;=15,24,16))</f>
        <v>32</v>
      </c>
      <c r="AV50" s="15">
        <f>IF(COUNTIF('Résultats des tournois'!$B50:'Résultats des tournois'!AV50,"&lt;&gt;")&lt;=5,32,IF(COUNTIF('Résultats des tournois'!$B50:'Résultats des tournois'!AV50,"&lt;&gt;")&lt;=15,24,16))</f>
        <v>32</v>
      </c>
      <c r="AW50" s="15">
        <f>IF(COUNTIF('Résultats des tournois'!$B50:'Résultats des tournois'!AW50,"&lt;&gt;")&lt;=5,32,IF(COUNTIF('Résultats des tournois'!$B50:'Résultats des tournois'!AW50,"&lt;&gt;")&lt;=15,24,16))</f>
        <v>32</v>
      </c>
      <c r="AX50" s="15">
        <f>IF(COUNTIF('Résultats des tournois'!$B50:'Résultats des tournois'!AX50,"&lt;&gt;")&lt;=5,32,IF(COUNTIF('Résultats des tournois'!$B50:'Résultats des tournois'!AX50,"&lt;&gt;")&lt;=15,24,16))</f>
        <v>32</v>
      </c>
    </row>
    <row r="51" ht="14.25" customHeight="1">
      <c r="A51" s="15" t="str">
        <f>IF('Résultats des tournois'!A51="","",'Résultats des tournois'!A51)</f>
        <v/>
      </c>
      <c r="B51" s="15">
        <f>IF(COUNTIF('Résultats des tournois'!B51,"&lt;&gt;")&lt;=5,32,IF(COUNTIF('Résultats des tournois'!B51,"&lt;&gt;")&lt;=15,24,16))</f>
        <v>32</v>
      </c>
      <c r="C51" s="15">
        <f>IF(COUNTIF('Résultats des tournois'!$B51:'Résultats des tournois'!C51,"&lt;&gt;")&lt;=5,32,IF(COUNTIF('Résultats des tournois'!$B51:'Résultats des tournois'!C51,"&lt;&gt;")&lt;=15,24,16))</f>
        <v>32</v>
      </c>
      <c r="D51" s="15">
        <f>IF(COUNTIF('Résultats des tournois'!$B51:'Résultats des tournois'!D51,"&lt;&gt;")&lt;=5,32,IF(COUNTIF('Résultats des tournois'!$B51:'Résultats des tournois'!D51,"&lt;&gt;")&lt;=15,24,16))</f>
        <v>32</v>
      </c>
      <c r="E51" s="15">
        <f>IF(COUNTIF('Résultats des tournois'!$B51:'Résultats des tournois'!E51,"&lt;&gt;")&lt;=5,32,IF(COUNTIF('Résultats des tournois'!$B51:'Résultats des tournois'!E51,"&lt;&gt;")&lt;=15,24,16))</f>
        <v>32</v>
      </c>
      <c r="F51" s="15">
        <f>IF(COUNTIF('Résultats des tournois'!$B51:'Résultats des tournois'!F51,"&lt;&gt;")&lt;=5,32,IF(COUNTIF('Résultats des tournois'!$B51:'Résultats des tournois'!F51,"&lt;&gt;")&lt;=15,24,16))</f>
        <v>32</v>
      </c>
      <c r="G51" s="15">
        <f>IF(COUNTIF('Résultats des tournois'!$B51:'Résultats des tournois'!G51,"&lt;&gt;")&lt;=5,32,IF(COUNTIF('Résultats des tournois'!$B51:'Résultats des tournois'!G51,"&lt;&gt;")&lt;=15,24,16))</f>
        <v>32</v>
      </c>
      <c r="H51" s="15">
        <f>IF(COUNTIF('Résultats des tournois'!$B51:'Résultats des tournois'!H51,"&lt;&gt;")&lt;=5,32,IF(COUNTIF('Résultats des tournois'!$B51:'Résultats des tournois'!H51,"&lt;&gt;")&lt;=15,24,16))</f>
        <v>32</v>
      </c>
      <c r="I51" s="15">
        <f>IF(COUNTIF('Résultats des tournois'!$B51:'Résultats des tournois'!I51,"&lt;&gt;")&lt;=5,32,IF(COUNTIF('Résultats des tournois'!$B51:'Résultats des tournois'!I51,"&lt;&gt;")&lt;=15,24,16))</f>
        <v>32</v>
      </c>
      <c r="J51" s="15">
        <f>IF(COUNTIF('Résultats des tournois'!$B51:'Résultats des tournois'!J51,"&lt;&gt;")&lt;=5,32,IF(COUNTIF('Résultats des tournois'!$B51:'Résultats des tournois'!J51,"&lt;&gt;")&lt;=15,24,16))</f>
        <v>32</v>
      </c>
      <c r="K51" s="15">
        <f>IF(COUNTIF('Résultats des tournois'!$B51:'Résultats des tournois'!K51,"&lt;&gt;")&lt;=5,32,IF(COUNTIF('Résultats des tournois'!$B51:'Résultats des tournois'!K51,"&lt;&gt;")&lt;=15,24,16))</f>
        <v>32</v>
      </c>
      <c r="L51" s="15">
        <f>IF(COUNTIF('Résultats des tournois'!$B51:'Résultats des tournois'!L51,"&lt;&gt;")&lt;=5,32,IF(COUNTIF('Résultats des tournois'!$B51:'Résultats des tournois'!L51,"&lt;&gt;")&lt;=15,24,16))</f>
        <v>32</v>
      </c>
      <c r="M51" s="15">
        <f>IF(COUNTIF('Résultats des tournois'!$B51:'Résultats des tournois'!M51,"&lt;&gt;")&lt;=5,32,IF(COUNTIF('Résultats des tournois'!$B51:'Résultats des tournois'!M51,"&lt;&gt;")&lt;=15,24,16))</f>
        <v>32</v>
      </c>
      <c r="N51" s="15">
        <f>IF(COUNTIF('Résultats des tournois'!$B51:'Résultats des tournois'!N51,"&lt;&gt;")&lt;=5,32,IF(COUNTIF('Résultats des tournois'!$B51:'Résultats des tournois'!N51,"&lt;&gt;")&lt;=15,24,16))</f>
        <v>32</v>
      </c>
      <c r="O51" s="15">
        <f>IF(COUNTIF('Résultats des tournois'!$B51:'Résultats des tournois'!O51,"&lt;&gt;")&lt;=5,32,IF(COUNTIF('Résultats des tournois'!$B51:'Résultats des tournois'!O51,"&lt;&gt;")&lt;=15,24,16))</f>
        <v>32</v>
      </c>
      <c r="P51" s="15">
        <f>IF(COUNTIF('Résultats des tournois'!$B51:'Résultats des tournois'!P51,"&lt;&gt;")&lt;=5,32,IF(COUNTIF('Résultats des tournois'!$B51:'Résultats des tournois'!P51,"&lt;&gt;")&lt;=15,24,16))</f>
        <v>32</v>
      </c>
      <c r="Q51" s="15">
        <f>IF(COUNTIF('Résultats des tournois'!$B51:'Résultats des tournois'!Q51,"&lt;&gt;")&lt;=5,32,IF(COUNTIF('Résultats des tournois'!$B51:'Résultats des tournois'!Q51,"&lt;&gt;")&lt;=15,24,16))</f>
        <v>32</v>
      </c>
      <c r="R51" s="15">
        <f>IF(COUNTIF('Résultats des tournois'!$B51:'Résultats des tournois'!R51,"&lt;&gt;")&lt;=5,32,IF(COUNTIF('Résultats des tournois'!$B51:'Résultats des tournois'!R51,"&lt;&gt;")&lt;=15,24,16))</f>
        <v>32</v>
      </c>
      <c r="S51" s="15">
        <f>IF(COUNTIF('Résultats des tournois'!$B51:'Résultats des tournois'!S51,"&lt;&gt;")&lt;=5,32,IF(COUNTIF('Résultats des tournois'!$B51:'Résultats des tournois'!S51,"&lt;&gt;")&lt;=15,24,16))</f>
        <v>32</v>
      </c>
      <c r="T51" s="15">
        <f>IF(COUNTIF('Résultats des tournois'!$B51:'Résultats des tournois'!T51,"&lt;&gt;")&lt;=5,32,IF(COUNTIF('Résultats des tournois'!$B51:'Résultats des tournois'!T51,"&lt;&gt;")&lt;=15,24,16))</f>
        <v>32</v>
      </c>
      <c r="U51" s="15">
        <f>IF(COUNTIF('Résultats des tournois'!$B51:'Résultats des tournois'!U51,"&lt;&gt;")&lt;=5,32,IF(COUNTIF('Résultats des tournois'!$B51:'Résultats des tournois'!U51,"&lt;&gt;")&lt;=15,24,16))</f>
        <v>32</v>
      </c>
      <c r="V51" s="15">
        <f>IF(COUNTIF('Résultats des tournois'!$B51:'Résultats des tournois'!V51,"&lt;&gt;")&lt;=5,32,IF(COUNTIF('Résultats des tournois'!$B51:'Résultats des tournois'!V51,"&lt;&gt;")&lt;=15,24,16))</f>
        <v>32</v>
      </c>
      <c r="W51" s="15">
        <f>IF(COUNTIF('Résultats des tournois'!$B51:'Résultats des tournois'!W51,"&lt;&gt;")&lt;=5,32,IF(COUNTIF('Résultats des tournois'!$B51:'Résultats des tournois'!W51,"&lt;&gt;")&lt;=15,24,16))</f>
        <v>32</v>
      </c>
      <c r="X51" s="15">
        <f>IF(COUNTIF('Résultats des tournois'!$B51:'Résultats des tournois'!X51,"&lt;&gt;")&lt;=5,32,IF(COUNTIF('Résultats des tournois'!$B51:'Résultats des tournois'!X51,"&lt;&gt;")&lt;=15,24,16))</f>
        <v>32</v>
      </c>
      <c r="Y51" s="15">
        <f>IF(COUNTIF('Résultats des tournois'!$B51:'Résultats des tournois'!Y51,"&lt;&gt;")&lt;=5,32,IF(COUNTIF('Résultats des tournois'!$B51:'Résultats des tournois'!Y51,"&lt;&gt;")&lt;=15,24,16))</f>
        <v>32</v>
      </c>
      <c r="Z51" s="15">
        <f>IF(COUNTIF('Résultats des tournois'!$B51:'Résultats des tournois'!Z51,"&lt;&gt;")&lt;=5,32,IF(COUNTIF('Résultats des tournois'!$B51:'Résultats des tournois'!Z51,"&lt;&gt;")&lt;=15,24,16))</f>
        <v>32</v>
      </c>
      <c r="AA51" s="15">
        <f>IF(COUNTIF('Résultats des tournois'!$B51:'Résultats des tournois'!AA51,"&lt;&gt;")&lt;=5,32,IF(COUNTIF('Résultats des tournois'!$B51:'Résultats des tournois'!AA51,"&lt;&gt;")&lt;=15,24,16))</f>
        <v>32</v>
      </c>
      <c r="AB51" s="15">
        <f>IF(COUNTIF('Résultats des tournois'!$B51:'Résultats des tournois'!AB51,"&lt;&gt;")&lt;=5,32,IF(COUNTIF('Résultats des tournois'!$B51:'Résultats des tournois'!AB51,"&lt;&gt;")&lt;=15,24,16))</f>
        <v>32</v>
      </c>
      <c r="AC51" s="15">
        <f>IF(COUNTIF('Résultats des tournois'!$B51:'Résultats des tournois'!AC51,"&lt;&gt;")&lt;=5,32,IF(COUNTIF('Résultats des tournois'!$B51:'Résultats des tournois'!AC51,"&lt;&gt;")&lt;=15,24,16))</f>
        <v>32</v>
      </c>
      <c r="AD51" s="15">
        <f>IF(COUNTIF('Résultats des tournois'!$B51:'Résultats des tournois'!AD51,"&lt;&gt;")&lt;=5,32,IF(COUNTIF('Résultats des tournois'!$B51:'Résultats des tournois'!AD51,"&lt;&gt;")&lt;=15,24,16))</f>
        <v>32</v>
      </c>
      <c r="AE51" s="15">
        <f>IF(COUNTIF('Résultats des tournois'!$B51:'Résultats des tournois'!AE51,"&lt;&gt;")&lt;=5,32,IF(COUNTIF('Résultats des tournois'!$B51:'Résultats des tournois'!AE51,"&lt;&gt;")&lt;=15,24,16))</f>
        <v>32</v>
      </c>
      <c r="AF51" s="15">
        <f>IF(COUNTIF('Résultats des tournois'!$B51:'Résultats des tournois'!AF51,"&lt;&gt;")&lt;=5,32,IF(COUNTIF('Résultats des tournois'!$B51:'Résultats des tournois'!AF51,"&lt;&gt;")&lt;=15,24,16))</f>
        <v>32</v>
      </c>
      <c r="AG51" s="15">
        <f>IF(COUNTIF('Résultats des tournois'!$B51:'Résultats des tournois'!AG51,"&lt;&gt;")&lt;=5,32,IF(COUNTIF('Résultats des tournois'!$B51:'Résultats des tournois'!AG51,"&lt;&gt;")&lt;=15,24,16))</f>
        <v>32</v>
      </c>
      <c r="AH51" s="15">
        <f>IF(COUNTIF('Résultats des tournois'!$B51:'Résultats des tournois'!AH51,"&lt;&gt;")&lt;=5,32,IF(COUNTIF('Résultats des tournois'!$B51:'Résultats des tournois'!AH51,"&lt;&gt;")&lt;=15,24,16))</f>
        <v>32</v>
      </c>
      <c r="AI51" s="15">
        <f>IF(COUNTIF('Résultats des tournois'!$B51:'Résultats des tournois'!AI51,"&lt;&gt;")&lt;=5,32,IF(COUNTIF('Résultats des tournois'!$B51:'Résultats des tournois'!AI51,"&lt;&gt;")&lt;=15,24,16))</f>
        <v>32</v>
      </c>
      <c r="AJ51" s="15">
        <f>IF(COUNTIF('Résultats des tournois'!$B51:'Résultats des tournois'!AJ51,"&lt;&gt;")&lt;=5,32,IF(COUNTIF('Résultats des tournois'!$B51:'Résultats des tournois'!AJ51,"&lt;&gt;")&lt;=15,24,16))</f>
        <v>32</v>
      </c>
      <c r="AK51" s="15">
        <f>IF(COUNTIF('Résultats des tournois'!$B51:'Résultats des tournois'!AK51,"&lt;&gt;")&lt;=5,32,IF(COUNTIF('Résultats des tournois'!$B51:'Résultats des tournois'!AK51,"&lt;&gt;")&lt;=15,24,16))</f>
        <v>32</v>
      </c>
      <c r="AL51" s="15">
        <f>IF(COUNTIF('Résultats des tournois'!$B51:'Résultats des tournois'!AL51,"&lt;&gt;")&lt;=5,32,IF(COUNTIF('Résultats des tournois'!$B51:'Résultats des tournois'!AL51,"&lt;&gt;")&lt;=15,24,16))</f>
        <v>32</v>
      </c>
      <c r="AM51" s="15">
        <f>IF(COUNTIF('Résultats des tournois'!$B51:'Résultats des tournois'!AM51,"&lt;&gt;")&lt;=5,32,IF(COUNTIF('Résultats des tournois'!$B51:'Résultats des tournois'!AM51,"&lt;&gt;")&lt;=15,24,16))</f>
        <v>32</v>
      </c>
      <c r="AN51" s="15">
        <f>IF(COUNTIF('Résultats des tournois'!$B51:'Résultats des tournois'!AN51,"&lt;&gt;")&lt;=5,32,IF(COUNTIF('Résultats des tournois'!$B51:'Résultats des tournois'!AN51,"&lt;&gt;")&lt;=15,24,16))</f>
        <v>32</v>
      </c>
      <c r="AO51" s="15">
        <f>IF(COUNTIF('Résultats des tournois'!$B51:'Résultats des tournois'!AO51,"&lt;&gt;")&lt;=5,32,IF(COUNTIF('Résultats des tournois'!$B51:'Résultats des tournois'!AO51,"&lt;&gt;")&lt;=15,24,16))</f>
        <v>32</v>
      </c>
      <c r="AP51" s="15">
        <f>IF(COUNTIF('Résultats des tournois'!$B51:'Résultats des tournois'!AP51,"&lt;&gt;")&lt;=5,32,IF(COUNTIF('Résultats des tournois'!$B51:'Résultats des tournois'!AP51,"&lt;&gt;")&lt;=15,24,16))</f>
        <v>32</v>
      </c>
      <c r="AQ51" s="15">
        <f>IF(COUNTIF('Résultats des tournois'!$B51:'Résultats des tournois'!AQ51,"&lt;&gt;")&lt;=5,32,IF(COUNTIF('Résultats des tournois'!$B51:'Résultats des tournois'!AQ51,"&lt;&gt;")&lt;=15,24,16))</f>
        <v>32</v>
      </c>
      <c r="AR51" s="15">
        <f>IF(COUNTIF('Résultats des tournois'!$B51:'Résultats des tournois'!AR51,"&lt;&gt;")&lt;=5,32,IF(COUNTIF('Résultats des tournois'!$B51:'Résultats des tournois'!AR51,"&lt;&gt;")&lt;=15,24,16))</f>
        <v>32</v>
      </c>
      <c r="AS51" s="15">
        <f>IF(COUNTIF('Résultats des tournois'!$B51:'Résultats des tournois'!AS51,"&lt;&gt;")&lt;=5,32,IF(COUNTIF('Résultats des tournois'!$B51:'Résultats des tournois'!AS51,"&lt;&gt;")&lt;=15,24,16))</f>
        <v>32</v>
      </c>
      <c r="AT51" s="15">
        <f>IF(COUNTIF('Résultats des tournois'!$B51:'Résultats des tournois'!AT51,"&lt;&gt;")&lt;=5,32,IF(COUNTIF('Résultats des tournois'!$B51:'Résultats des tournois'!AT51,"&lt;&gt;")&lt;=15,24,16))</f>
        <v>32</v>
      </c>
      <c r="AU51" s="15">
        <f>IF(COUNTIF('Résultats des tournois'!$B51:'Résultats des tournois'!AU51,"&lt;&gt;")&lt;=5,32,IF(COUNTIF('Résultats des tournois'!$B51:'Résultats des tournois'!AU51,"&lt;&gt;")&lt;=15,24,16))</f>
        <v>32</v>
      </c>
      <c r="AV51" s="15">
        <f>IF(COUNTIF('Résultats des tournois'!$B51:'Résultats des tournois'!AV51,"&lt;&gt;")&lt;=5,32,IF(COUNTIF('Résultats des tournois'!$B51:'Résultats des tournois'!AV51,"&lt;&gt;")&lt;=15,24,16))</f>
        <v>32</v>
      </c>
      <c r="AW51" s="15">
        <f>IF(COUNTIF('Résultats des tournois'!$B51:'Résultats des tournois'!AW51,"&lt;&gt;")&lt;=5,32,IF(COUNTIF('Résultats des tournois'!$B51:'Résultats des tournois'!AW51,"&lt;&gt;")&lt;=15,24,16))</f>
        <v>32</v>
      </c>
      <c r="AX51" s="15">
        <f>IF(COUNTIF('Résultats des tournois'!$B51:'Résultats des tournois'!AX51,"&lt;&gt;")&lt;=5,32,IF(COUNTIF('Résultats des tournois'!$B51:'Résultats des tournois'!AX51,"&lt;&gt;")&lt;=15,24,16))</f>
        <v>32</v>
      </c>
    </row>
    <row r="52" ht="14.25" customHeight="1">
      <c r="A52" s="15" t="str">
        <f>IF('Résultats des tournois'!A52="","",'Résultats des tournois'!A52)</f>
        <v/>
      </c>
      <c r="B52" s="15">
        <f>IF(COUNTIF('Résultats des tournois'!B52,"&lt;&gt;")&lt;=5,32,IF(COUNTIF('Résultats des tournois'!B52,"&lt;&gt;")&lt;=15,24,16))</f>
        <v>32</v>
      </c>
      <c r="C52" s="15">
        <f>IF(COUNTIF('Résultats des tournois'!$B52:'Résultats des tournois'!C52,"&lt;&gt;")&lt;=5,32,IF(COUNTIF('Résultats des tournois'!$B52:'Résultats des tournois'!C52,"&lt;&gt;")&lt;=15,24,16))</f>
        <v>32</v>
      </c>
      <c r="D52" s="15">
        <f>IF(COUNTIF('Résultats des tournois'!$B52:'Résultats des tournois'!D52,"&lt;&gt;")&lt;=5,32,IF(COUNTIF('Résultats des tournois'!$B52:'Résultats des tournois'!D52,"&lt;&gt;")&lt;=15,24,16))</f>
        <v>32</v>
      </c>
      <c r="E52" s="15">
        <f>IF(COUNTIF('Résultats des tournois'!$B52:'Résultats des tournois'!E52,"&lt;&gt;")&lt;=5,32,IF(COUNTIF('Résultats des tournois'!$B52:'Résultats des tournois'!E52,"&lt;&gt;")&lt;=15,24,16))</f>
        <v>32</v>
      </c>
      <c r="F52" s="15">
        <f>IF(COUNTIF('Résultats des tournois'!$B52:'Résultats des tournois'!F52,"&lt;&gt;")&lt;=5,32,IF(COUNTIF('Résultats des tournois'!$B52:'Résultats des tournois'!F52,"&lt;&gt;")&lt;=15,24,16))</f>
        <v>32</v>
      </c>
      <c r="G52" s="15">
        <f>IF(COUNTIF('Résultats des tournois'!$B52:'Résultats des tournois'!G52,"&lt;&gt;")&lt;=5,32,IF(COUNTIF('Résultats des tournois'!$B52:'Résultats des tournois'!G52,"&lt;&gt;")&lt;=15,24,16))</f>
        <v>32</v>
      </c>
      <c r="H52" s="15">
        <f>IF(COUNTIF('Résultats des tournois'!$B52:'Résultats des tournois'!H52,"&lt;&gt;")&lt;=5,32,IF(COUNTIF('Résultats des tournois'!$B52:'Résultats des tournois'!H52,"&lt;&gt;")&lt;=15,24,16))</f>
        <v>32</v>
      </c>
      <c r="I52" s="15">
        <f>IF(COUNTIF('Résultats des tournois'!$B52:'Résultats des tournois'!I52,"&lt;&gt;")&lt;=5,32,IF(COUNTIF('Résultats des tournois'!$B52:'Résultats des tournois'!I52,"&lt;&gt;")&lt;=15,24,16))</f>
        <v>32</v>
      </c>
      <c r="J52" s="15">
        <f>IF(COUNTIF('Résultats des tournois'!$B52:'Résultats des tournois'!J52,"&lt;&gt;")&lt;=5,32,IF(COUNTIF('Résultats des tournois'!$B52:'Résultats des tournois'!J52,"&lt;&gt;")&lt;=15,24,16))</f>
        <v>32</v>
      </c>
      <c r="K52" s="15">
        <f>IF(COUNTIF('Résultats des tournois'!$B52:'Résultats des tournois'!K52,"&lt;&gt;")&lt;=5,32,IF(COUNTIF('Résultats des tournois'!$B52:'Résultats des tournois'!K52,"&lt;&gt;")&lt;=15,24,16))</f>
        <v>32</v>
      </c>
      <c r="L52" s="15">
        <f>IF(COUNTIF('Résultats des tournois'!$B52:'Résultats des tournois'!L52,"&lt;&gt;")&lt;=5,32,IF(COUNTIF('Résultats des tournois'!$B52:'Résultats des tournois'!L52,"&lt;&gt;")&lt;=15,24,16))</f>
        <v>32</v>
      </c>
      <c r="M52" s="15">
        <f>IF(COUNTIF('Résultats des tournois'!$B52:'Résultats des tournois'!M52,"&lt;&gt;")&lt;=5,32,IF(COUNTIF('Résultats des tournois'!$B52:'Résultats des tournois'!M52,"&lt;&gt;")&lt;=15,24,16))</f>
        <v>32</v>
      </c>
      <c r="N52" s="15">
        <f>IF(COUNTIF('Résultats des tournois'!$B52:'Résultats des tournois'!N52,"&lt;&gt;")&lt;=5,32,IF(COUNTIF('Résultats des tournois'!$B52:'Résultats des tournois'!N52,"&lt;&gt;")&lt;=15,24,16))</f>
        <v>32</v>
      </c>
      <c r="O52" s="15">
        <f>IF(COUNTIF('Résultats des tournois'!$B52:'Résultats des tournois'!O52,"&lt;&gt;")&lt;=5,32,IF(COUNTIF('Résultats des tournois'!$B52:'Résultats des tournois'!O52,"&lt;&gt;")&lt;=15,24,16))</f>
        <v>32</v>
      </c>
      <c r="P52" s="15">
        <f>IF(COUNTIF('Résultats des tournois'!$B52:'Résultats des tournois'!P52,"&lt;&gt;")&lt;=5,32,IF(COUNTIF('Résultats des tournois'!$B52:'Résultats des tournois'!P52,"&lt;&gt;")&lt;=15,24,16))</f>
        <v>32</v>
      </c>
      <c r="Q52" s="15">
        <f>IF(COUNTIF('Résultats des tournois'!$B52:'Résultats des tournois'!Q52,"&lt;&gt;")&lt;=5,32,IF(COUNTIF('Résultats des tournois'!$B52:'Résultats des tournois'!Q52,"&lt;&gt;")&lt;=15,24,16))</f>
        <v>32</v>
      </c>
      <c r="R52" s="15">
        <f>IF(COUNTIF('Résultats des tournois'!$B52:'Résultats des tournois'!R52,"&lt;&gt;")&lt;=5,32,IF(COUNTIF('Résultats des tournois'!$B52:'Résultats des tournois'!R52,"&lt;&gt;")&lt;=15,24,16))</f>
        <v>32</v>
      </c>
      <c r="S52" s="15">
        <f>IF(COUNTIF('Résultats des tournois'!$B52:'Résultats des tournois'!S52,"&lt;&gt;")&lt;=5,32,IF(COUNTIF('Résultats des tournois'!$B52:'Résultats des tournois'!S52,"&lt;&gt;")&lt;=15,24,16))</f>
        <v>32</v>
      </c>
      <c r="T52" s="15">
        <f>IF(COUNTIF('Résultats des tournois'!$B52:'Résultats des tournois'!T52,"&lt;&gt;")&lt;=5,32,IF(COUNTIF('Résultats des tournois'!$B52:'Résultats des tournois'!T52,"&lt;&gt;")&lt;=15,24,16))</f>
        <v>32</v>
      </c>
      <c r="U52" s="15">
        <f>IF(COUNTIF('Résultats des tournois'!$B52:'Résultats des tournois'!U52,"&lt;&gt;")&lt;=5,32,IF(COUNTIF('Résultats des tournois'!$B52:'Résultats des tournois'!U52,"&lt;&gt;")&lt;=15,24,16))</f>
        <v>32</v>
      </c>
      <c r="V52" s="15">
        <f>IF(COUNTIF('Résultats des tournois'!$B52:'Résultats des tournois'!V52,"&lt;&gt;")&lt;=5,32,IF(COUNTIF('Résultats des tournois'!$B52:'Résultats des tournois'!V52,"&lt;&gt;")&lt;=15,24,16))</f>
        <v>32</v>
      </c>
      <c r="W52" s="15">
        <f>IF(COUNTIF('Résultats des tournois'!$B52:'Résultats des tournois'!W52,"&lt;&gt;")&lt;=5,32,IF(COUNTIF('Résultats des tournois'!$B52:'Résultats des tournois'!W52,"&lt;&gt;")&lt;=15,24,16))</f>
        <v>32</v>
      </c>
      <c r="X52" s="15">
        <f>IF(COUNTIF('Résultats des tournois'!$B52:'Résultats des tournois'!X52,"&lt;&gt;")&lt;=5,32,IF(COUNTIF('Résultats des tournois'!$B52:'Résultats des tournois'!X52,"&lt;&gt;")&lt;=15,24,16))</f>
        <v>32</v>
      </c>
      <c r="Y52" s="15">
        <f>IF(COUNTIF('Résultats des tournois'!$B52:'Résultats des tournois'!Y52,"&lt;&gt;")&lt;=5,32,IF(COUNTIF('Résultats des tournois'!$B52:'Résultats des tournois'!Y52,"&lt;&gt;")&lt;=15,24,16))</f>
        <v>32</v>
      </c>
      <c r="Z52" s="15">
        <f>IF(COUNTIF('Résultats des tournois'!$B52:'Résultats des tournois'!Z52,"&lt;&gt;")&lt;=5,32,IF(COUNTIF('Résultats des tournois'!$B52:'Résultats des tournois'!Z52,"&lt;&gt;")&lt;=15,24,16))</f>
        <v>32</v>
      </c>
      <c r="AA52" s="15">
        <f>IF(COUNTIF('Résultats des tournois'!$B52:'Résultats des tournois'!AA52,"&lt;&gt;")&lt;=5,32,IF(COUNTIF('Résultats des tournois'!$B52:'Résultats des tournois'!AA52,"&lt;&gt;")&lt;=15,24,16))</f>
        <v>32</v>
      </c>
      <c r="AB52" s="15">
        <f>IF(COUNTIF('Résultats des tournois'!$B52:'Résultats des tournois'!AB52,"&lt;&gt;")&lt;=5,32,IF(COUNTIF('Résultats des tournois'!$B52:'Résultats des tournois'!AB52,"&lt;&gt;")&lt;=15,24,16))</f>
        <v>32</v>
      </c>
      <c r="AC52" s="15">
        <f>IF(COUNTIF('Résultats des tournois'!$B52:'Résultats des tournois'!AC52,"&lt;&gt;")&lt;=5,32,IF(COUNTIF('Résultats des tournois'!$B52:'Résultats des tournois'!AC52,"&lt;&gt;")&lt;=15,24,16))</f>
        <v>32</v>
      </c>
      <c r="AD52" s="15">
        <f>IF(COUNTIF('Résultats des tournois'!$B52:'Résultats des tournois'!AD52,"&lt;&gt;")&lt;=5,32,IF(COUNTIF('Résultats des tournois'!$B52:'Résultats des tournois'!AD52,"&lt;&gt;")&lt;=15,24,16))</f>
        <v>32</v>
      </c>
      <c r="AE52" s="15">
        <f>IF(COUNTIF('Résultats des tournois'!$B52:'Résultats des tournois'!AE52,"&lt;&gt;")&lt;=5,32,IF(COUNTIF('Résultats des tournois'!$B52:'Résultats des tournois'!AE52,"&lt;&gt;")&lt;=15,24,16))</f>
        <v>32</v>
      </c>
      <c r="AF52" s="15">
        <f>IF(COUNTIF('Résultats des tournois'!$B52:'Résultats des tournois'!AF52,"&lt;&gt;")&lt;=5,32,IF(COUNTIF('Résultats des tournois'!$B52:'Résultats des tournois'!AF52,"&lt;&gt;")&lt;=15,24,16))</f>
        <v>32</v>
      </c>
      <c r="AG52" s="15">
        <f>IF(COUNTIF('Résultats des tournois'!$B52:'Résultats des tournois'!AG52,"&lt;&gt;")&lt;=5,32,IF(COUNTIF('Résultats des tournois'!$B52:'Résultats des tournois'!AG52,"&lt;&gt;")&lt;=15,24,16))</f>
        <v>32</v>
      </c>
      <c r="AH52" s="15">
        <f>IF(COUNTIF('Résultats des tournois'!$B52:'Résultats des tournois'!AH52,"&lt;&gt;")&lt;=5,32,IF(COUNTIF('Résultats des tournois'!$B52:'Résultats des tournois'!AH52,"&lt;&gt;")&lt;=15,24,16))</f>
        <v>32</v>
      </c>
      <c r="AI52" s="15">
        <f>IF(COUNTIF('Résultats des tournois'!$B52:'Résultats des tournois'!AI52,"&lt;&gt;")&lt;=5,32,IF(COUNTIF('Résultats des tournois'!$B52:'Résultats des tournois'!AI52,"&lt;&gt;")&lt;=15,24,16))</f>
        <v>32</v>
      </c>
      <c r="AJ52" s="15">
        <f>IF(COUNTIF('Résultats des tournois'!$B52:'Résultats des tournois'!AJ52,"&lt;&gt;")&lt;=5,32,IF(COUNTIF('Résultats des tournois'!$B52:'Résultats des tournois'!AJ52,"&lt;&gt;")&lt;=15,24,16))</f>
        <v>32</v>
      </c>
      <c r="AK52" s="15">
        <f>IF(COUNTIF('Résultats des tournois'!$B52:'Résultats des tournois'!AK52,"&lt;&gt;")&lt;=5,32,IF(COUNTIF('Résultats des tournois'!$B52:'Résultats des tournois'!AK52,"&lt;&gt;")&lt;=15,24,16))</f>
        <v>32</v>
      </c>
      <c r="AL52" s="15">
        <f>IF(COUNTIF('Résultats des tournois'!$B52:'Résultats des tournois'!AL52,"&lt;&gt;")&lt;=5,32,IF(COUNTIF('Résultats des tournois'!$B52:'Résultats des tournois'!AL52,"&lt;&gt;")&lt;=15,24,16))</f>
        <v>32</v>
      </c>
      <c r="AM52" s="15">
        <f>IF(COUNTIF('Résultats des tournois'!$B52:'Résultats des tournois'!AM52,"&lt;&gt;")&lt;=5,32,IF(COUNTIF('Résultats des tournois'!$B52:'Résultats des tournois'!AM52,"&lt;&gt;")&lt;=15,24,16))</f>
        <v>32</v>
      </c>
      <c r="AN52" s="15">
        <f>IF(COUNTIF('Résultats des tournois'!$B52:'Résultats des tournois'!AN52,"&lt;&gt;")&lt;=5,32,IF(COUNTIF('Résultats des tournois'!$B52:'Résultats des tournois'!AN52,"&lt;&gt;")&lt;=15,24,16))</f>
        <v>32</v>
      </c>
      <c r="AO52" s="15">
        <f>IF(COUNTIF('Résultats des tournois'!$B52:'Résultats des tournois'!AO52,"&lt;&gt;")&lt;=5,32,IF(COUNTIF('Résultats des tournois'!$B52:'Résultats des tournois'!AO52,"&lt;&gt;")&lt;=15,24,16))</f>
        <v>32</v>
      </c>
      <c r="AP52" s="15">
        <f>IF(COUNTIF('Résultats des tournois'!$B52:'Résultats des tournois'!AP52,"&lt;&gt;")&lt;=5,32,IF(COUNTIF('Résultats des tournois'!$B52:'Résultats des tournois'!AP52,"&lt;&gt;")&lt;=15,24,16))</f>
        <v>32</v>
      </c>
      <c r="AQ52" s="15">
        <f>IF(COUNTIF('Résultats des tournois'!$B52:'Résultats des tournois'!AQ52,"&lt;&gt;")&lt;=5,32,IF(COUNTIF('Résultats des tournois'!$B52:'Résultats des tournois'!AQ52,"&lt;&gt;")&lt;=15,24,16))</f>
        <v>32</v>
      </c>
      <c r="AR52" s="15">
        <f>IF(COUNTIF('Résultats des tournois'!$B52:'Résultats des tournois'!AR52,"&lt;&gt;")&lt;=5,32,IF(COUNTIF('Résultats des tournois'!$B52:'Résultats des tournois'!AR52,"&lt;&gt;")&lt;=15,24,16))</f>
        <v>32</v>
      </c>
      <c r="AS52" s="15">
        <f>IF(COUNTIF('Résultats des tournois'!$B52:'Résultats des tournois'!AS52,"&lt;&gt;")&lt;=5,32,IF(COUNTIF('Résultats des tournois'!$B52:'Résultats des tournois'!AS52,"&lt;&gt;")&lt;=15,24,16))</f>
        <v>32</v>
      </c>
      <c r="AT52" s="15">
        <f>IF(COUNTIF('Résultats des tournois'!$B52:'Résultats des tournois'!AT52,"&lt;&gt;")&lt;=5,32,IF(COUNTIF('Résultats des tournois'!$B52:'Résultats des tournois'!AT52,"&lt;&gt;")&lt;=15,24,16))</f>
        <v>32</v>
      </c>
      <c r="AU52" s="15">
        <f>IF(COUNTIF('Résultats des tournois'!$B52:'Résultats des tournois'!AU52,"&lt;&gt;")&lt;=5,32,IF(COUNTIF('Résultats des tournois'!$B52:'Résultats des tournois'!AU52,"&lt;&gt;")&lt;=15,24,16))</f>
        <v>32</v>
      </c>
      <c r="AV52" s="15">
        <f>IF(COUNTIF('Résultats des tournois'!$B52:'Résultats des tournois'!AV52,"&lt;&gt;")&lt;=5,32,IF(COUNTIF('Résultats des tournois'!$B52:'Résultats des tournois'!AV52,"&lt;&gt;")&lt;=15,24,16))</f>
        <v>32</v>
      </c>
      <c r="AW52" s="15">
        <f>IF(COUNTIF('Résultats des tournois'!$B52:'Résultats des tournois'!AW52,"&lt;&gt;")&lt;=5,32,IF(COUNTIF('Résultats des tournois'!$B52:'Résultats des tournois'!AW52,"&lt;&gt;")&lt;=15,24,16))</f>
        <v>32</v>
      </c>
      <c r="AX52" s="15">
        <f>IF(COUNTIF('Résultats des tournois'!$B52:'Résultats des tournois'!AX52,"&lt;&gt;")&lt;=5,32,IF(COUNTIF('Résultats des tournois'!$B52:'Résultats des tournois'!AX52,"&lt;&gt;")&lt;=15,24,16))</f>
        <v>32</v>
      </c>
    </row>
    <row r="53" ht="14.25" customHeight="1">
      <c r="A53" s="15" t="str">
        <f>IF('Résultats des tournois'!A53="","",'Résultats des tournois'!A53)</f>
        <v/>
      </c>
      <c r="B53" s="15">
        <f>IF(COUNTIF('Résultats des tournois'!B53,"&lt;&gt;")&lt;=5,32,IF(COUNTIF('Résultats des tournois'!B53,"&lt;&gt;")&lt;=15,24,16))</f>
        <v>32</v>
      </c>
      <c r="C53" s="15">
        <f>IF(COUNTIF('Résultats des tournois'!$B53:'Résultats des tournois'!C53,"&lt;&gt;")&lt;=5,32,IF(COUNTIF('Résultats des tournois'!$B53:'Résultats des tournois'!C53,"&lt;&gt;")&lt;=15,24,16))</f>
        <v>32</v>
      </c>
      <c r="D53" s="15">
        <f>IF(COUNTIF('Résultats des tournois'!$B53:'Résultats des tournois'!D53,"&lt;&gt;")&lt;=5,32,IF(COUNTIF('Résultats des tournois'!$B53:'Résultats des tournois'!D53,"&lt;&gt;")&lt;=15,24,16))</f>
        <v>32</v>
      </c>
      <c r="E53" s="15">
        <f>IF(COUNTIF('Résultats des tournois'!$B53:'Résultats des tournois'!E53,"&lt;&gt;")&lt;=5,32,IF(COUNTIF('Résultats des tournois'!$B53:'Résultats des tournois'!E53,"&lt;&gt;")&lt;=15,24,16))</f>
        <v>32</v>
      </c>
      <c r="F53" s="15">
        <f>IF(COUNTIF('Résultats des tournois'!$B53:'Résultats des tournois'!F53,"&lt;&gt;")&lt;=5,32,IF(COUNTIF('Résultats des tournois'!$B53:'Résultats des tournois'!F53,"&lt;&gt;")&lt;=15,24,16))</f>
        <v>32</v>
      </c>
      <c r="G53" s="15">
        <f>IF(COUNTIF('Résultats des tournois'!$B53:'Résultats des tournois'!G53,"&lt;&gt;")&lt;=5,32,IF(COUNTIF('Résultats des tournois'!$B53:'Résultats des tournois'!G53,"&lt;&gt;")&lt;=15,24,16))</f>
        <v>32</v>
      </c>
      <c r="H53" s="15">
        <f>IF(COUNTIF('Résultats des tournois'!$B53:'Résultats des tournois'!H53,"&lt;&gt;")&lt;=5,32,IF(COUNTIF('Résultats des tournois'!$B53:'Résultats des tournois'!H53,"&lt;&gt;")&lt;=15,24,16))</f>
        <v>32</v>
      </c>
      <c r="I53" s="15">
        <f>IF(COUNTIF('Résultats des tournois'!$B53:'Résultats des tournois'!I53,"&lt;&gt;")&lt;=5,32,IF(COUNTIF('Résultats des tournois'!$B53:'Résultats des tournois'!I53,"&lt;&gt;")&lt;=15,24,16))</f>
        <v>32</v>
      </c>
      <c r="J53" s="15">
        <f>IF(COUNTIF('Résultats des tournois'!$B53:'Résultats des tournois'!J53,"&lt;&gt;")&lt;=5,32,IF(COUNTIF('Résultats des tournois'!$B53:'Résultats des tournois'!J53,"&lt;&gt;")&lt;=15,24,16))</f>
        <v>32</v>
      </c>
      <c r="K53" s="15">
        <f>IF(COUNTIF('Résultats des tournois'!$B53:'Résultats des tournois'!K53,"&lt;&gt;")&lt;=5,32,IF(COUNTIF('Résultats des tournois'!$B53:'Résultats des tournois'!K53,"&lt;&gt;")&lt;=15,24,16))</f>
        <v>32</v>
      </c>
      <c r="L53" s="15">
        <f>IF(COUNTIF('Résultats des tournois'!$B53:'Résultats des tournois'!L53,"&lt;&gt;")&lt;=5,32,IF(COUNTIF('Résultats des tournois'!$B53:'Résultats des tournois'!L53,"&lt;&gt;")&lt;=15,24,16))</f>
        <v>32</v>
      </c>
      <c r="M53" s="15">
        <f>IF(COUNTIF('Résultats des tournois'!$B53:'Résultats des tournois'!M53,"&lt;&gt;")&lt;=5,32,IF(COUNTIF('Résultats des tournois'!$B53:'Résultats des tournois'!M53,"&lt;&gt;")&lt;=15,24,16))</f>
        <v>32</v>
      </c>
      <c r="N53" s="15">
        <f>IF(COUNTIF('Résultats des tournois'!$B53:'Résultats des tournois'!N53,"&lt;&gt;")&lt;=5,32,IF(COUNTIF('Résultats des tournois'!$B53:'Résultats des tournois'!N53,"&lt;&gt;")&lt;=15,24,16))</f>
        <v>32</v>
      </c>
      <c r="O53" s="15">
        <f>IF(COUNTIF('Résultats des tournois'!$B53:'Résultats des tournois'!O53,"&lt;&gt;")&lt;=5,32,IF(COUNTIF('Résultats des tournois'!$B53:'Résultats des tournois'!O53,"&lt;&gt;")&lt;=15,24,16))</f>
        <v>32</v>
      </c>
      <c r="P53" s="15">
        <f>IF(COUNTIF('Résultats des tournois'!$B53:'Résultats des tournois'!P53,"&lt;&gt;")&lt;=5,32,IF(COUNTIF('Résultats des tournois'!$B53:'Résultats des tournois'!P53,"&lt;&gt;")&lt;=15,24,16))</f>
        <v>32</v>
      </c>
      <c r="Q53" s="15">
        <f>IF(COUNTIF('Résultats des tournois'!$B53:'Résultats des tournois'!Q53,"&lt;&gt;")&lt;=5,32,IF(COUNTIF('Résultats des tournois'!$B53:'Résultats des tournois'!Q53,"&lt;&gt;")&lt;=15,24,16))</f>
        <v>32</v>
      </c>
      <c r="R53" s="15">
        <f>IF(COUNTIF('Résultats des tournois'!$B53:'Résultats des tournois'!R53,"&lt;&gt;")&lt;=5,32,IF(COUNTIF('Résultats des tournois'!$B53:'Résultats des tournois'!R53,"&lt;&gt;")&lt;=15,24,16))</f>
        <v>32</v>
      </c>
      <c r="S53" s="15">
        <f>IF(COUNTIF('Résultats des tournois'!$B53:'Résultats des tournois'!S53,"&lt;&gt;")&lt;=5,32,IF(COUNTIF('Résultats des tournois'!$B53:'Résultats des tournois'!S53,"&lt;&gt;")&lt;=15,24,16))</f>
        <v>32</v>
      </c>
      <c r="T53" s="15">
        <f>IF(COUNTIF('Résultats des tournois'!$B53:'Résultats des tournois'!T53,"&lt;&gt;")&lt;=5,32,IF(COUNTIF('Résultats des tournois'!$B53:'Résultats des tournois'!T53,"&lt;&gt;")&lt;=15,24,16))</f>
        <v>32</v>
      </c>
      <c r="U53" s="15">
        <f>IF(COUNTIF('Résultats des tournois'!$B53:'Résultats des tournois'!U53,"&lt;&gt;")&lt;=5,32,IF(COUNTIF('Résultats des tournois'!$B53:'Résultats des tournois'!U53,"&lt;&gt;")&lt;=15,24,16))</f>
        <v>32</v>
      </c>
      <c r="V53" s="15">
        <f>IF(COUNTIF('Résultats des tournois'!$B53:'Résultats des tournois'!V53,"&lt;&gt;")&lt;=5,32,IF(COUNTIF('Résultats des tournois'!$B53:'Résultats des tournois'!V53,"&lt;&gt;")&lt;=15,24,16))</f>
        <v>32</v>
      </c>
      <c r="W53" s="15">
        <f>IF(COUNTIF('Résultats des tournois'!$B53:'Résultats des tournois'!W53,"&lt;&gt;")&lt;=5,32,IF(COUNTIF('Résultats des tournois'!$B53:'Résultats des tournois'!W53,"&lt;&gt;")&lt;=15,24,16))</f>
        <v>32</v>
      </c>
      <c r="X53" s="15">
        <f>IF(COUNTIF('Résultats des tournois'!$B53:'Résultats des tournois'!X53,"&lt;&gt;")&lt;=5,32,IF(COUNTIF('Résultats des tournois'!$B53:'Résultats des tournois'!X53,"&lt;&gt;")&lt;=15,24,16))</f>
        <v>32</v>
      </c>
      <c r="Y53" s="15">
        <f>IF(COUNTIF('Résultats des tournois'!$B53:'Résultats des tournois'!Y53,"&lt;&gt;")&lt;=5,32,IF(COUNTIF('Résultats des tournois'!$B53:'Résultats des tournois'!Y53,"&lt;&gt;")&lt;=15,24,16))</f>
        <v>32</v>
      </c>
      <c r="Z53" s="15">
        <f>IF(COUNTIF('Résultats des tournois'!$B53:'Résultats des tournois'!Z53,"&lt;&gt;")&lt;=5,32,IF(COUNTIF('Résultats des tournois'!$B53:'Résultats des tournois'!Z53,"&lt;&gt;")&lt;=15,24,16))</f>
        <v>32</v>
      </c>
      <c r="AA53" s="15">
        <f>IF(COUNTIF('Résultats des tournois'!$B53:'Résultats des tournois'!AA53,"&lt;&gt;")&lt;=5,32,IF(COUNTIF('Résultats des tournois'!$B53:'Résultats des tournois'!AA53,"&lt;&gt;")&lt;=15,24,16))</f>
        <v>32</v>
      </c>
      <c r="AB53" s="15">
        <f>IF(COUNTIF('Résultats des tournois'!$B53:'Résultats des tournois'!AB53,"&lt;&gt;")&lt;=5,32,IF(COUNTIF('Résultats des tournois'!$B53:'Résultats des tournois'!AB53,"&lt;&gt;")&lt;=15,24,16))</f>
        <v>32</v>
      </c>
      <c r="AC53" s="15">
        <f>IF(COUNTIF('Résultats des tournois'!$B53:'Résultats des tournois'!AC53,"&lt;&gt;")&lt;=5,32,IF(COUNTIF('Résultats des tournois'!$B53:'Résultats des tournois'!AC53,"&lt;&gt;")&lt;=15,24,16))</f>
        <v>32</v>
      </c>
      <c r="AD53" s="15">
        <f>IF(COUNTIF('Résultats des tournois'!$B53:'Résultats des tournois'!AD53,"&lt;&gt;")&lt;=5,32,IF(COUNTIF('Résultats des tournois'!$B53:'Résultats des tournois'!AD53,"&lt;&gt;")&lt;=15,24,16))</f>
        <v>32</v>
      </c>
      <c r="AE53" s="15">
        <f>IF(COUNTIF('Résultats des tournois'!$B53:'Résultats des tournois'!AE53,"&lt;&gt;")&lt;=5,32,IF(COUNTIF('Résultats des tournois'!$B53:'Résultats des tournois'!AE53,"&lt;&gt;")&lt;=15,24,16))</f>
        <v>32</v>
      </c>
      <c r="AF53" s="15">
        <f>IF(COUNTIF('Résultats des tournois'!$B53:'Résultats des tournois'!AF53,"&lt;&gt;")&lt;=5,32,IF(COUNTIF('Résultats des tournois'!$B53:'Résultats des tournois'!AF53,"&lt;&gt;")&lt;=15,24,16))</f>
        <v>32</v>
      </c>
      <c r="AG53" s="15">
        <f>IF(COUNTIF('Résultats des tournois'!$B53:'Résultats des tournois'!AG53,"&lt;&gt;")&lt;=5,32,IF(COUNTIF('Résultats des tournois'!$B53:'Résultats des tournois'!AG53,"&lt;&gt;")&lt;=15,24,16))</f>
        <v>32</v>
      </c>
      <c r="AH53" s="15">
        <f>IF(COUNTIF('Résultats des tournois'!$B53:'Résultats des tournois'!AH53,"&lt;&gt;")&lt;=5,32,IF(COUNTIF('Résultats des tournois'!$B53:'Résultats des tournois'!AH53,"&lt;&gt;")&lt;=15,24,16))</f>
        <v>32</v>
      </c>
      <c r="AI53" s="15">
        <f>IF(COUNTIF('Résultats des tournois'!$B53:'Résultats des tournois'!AI53,"&lt;&gt;")&lt;=5,32,IF(COUNTIF('Résultats des tournois'!$B53:'Résultats des tournois'!AI53,"&lt;&gt;")&lt;=15,24,16))</f>
        <v>32</v>
      </c>
      <c r="AJ53" s="15">
        <f>IF(COUNTIF('Résultats des tournois'!$B53:'Résultats des tournois'!AJ53,"&lt;&gt;")&lt;=5,32,IF(COUNTIF('Résultats des tournois'!$B53:'Résultats des tournois'!AJ53,"&lt;&gt;")&lt;=15,24,16))</f>
        <v>32</v>
      </c>
      <c r="AK53" s="15">
        <f>IF(COUNTIF('Résultats des tournois'!$B53:'Résultats des tournois'!AK53,"&lt;&gt;")&lt;=5,32,IF(COUNTIF('Résultats des tournois'!$B53:'Résultats des tournois'!AK53,"&lt;&gt;")&lt;=15,24,16))</f>
        <v>32</v>
      </c>
      <c r="AL53" s="15">
        <f>IF(COUNTIF('Résultats des tournois'!$B53:'Résultats des tournois'!AL53,"&lt;&gt;")&lt;=5,32,IF(COUNTIF('Résultats des tournois'!$B53:'Résultats des tournois'!AL53,"&lt;&gt;")&lt;=15,24,16))</f>
        <v>32</v>
      </c>
      <c r="AM53" s="15">
        <f>IF(COUNTIF('Résultats des tournois'!$B53:'Résultats des tournois'!AM53,"&lt;&gt;")&lt;=5,32,IF(COUNTIF('Résultats des tournois'!$B53:'Résultats des tournois'!AM53,"&lt;&gt;")&lt;=15,24,16))</f>
        <v>32</v>
      </c>
      <c r="AN53" s="15">
        <f>IF(COUNTIF('Résultats des tournois'!$B53:'Résultats des tournois'!AN53,"&lt;&gt;")&lt;=5,32,IF(COUNTIF('Résultats des tournois'!$B53:'Résultats des tournois'!AN53,"&lt;&gt;")&lt;=15,24,16))</f>
        <v>32</v>
      </c>
      <c r="AO53" s="15">
        <f>IF(COUNTIF('Résultats des tournois'!$B53:'Résultats des tournois'!AO53,"&lt;&gt;")&lt;=5,32,IF(COUNTIF('Résultats des tournois'!$B53:'Résultats des tournois'!AO53,"&lt;&gt;")&lt;=15,24,16))</f>
        <v>32</v>
      </c>
      <c r="AP53" s="15">
        <f>IF(COUNTIF('Résultats des tournois'!$B53:'Résultats des tournois'!AP53,"&lt;&gt;")&lt;=5,32,IF(COUNTIF('Résultats des tournois'!$B53:'Résultats des tournois'!AP53,"&lt;&gt;")&lt;=15,24,16))</f>
        <v>32</v>
      </c>
      <c r="AQ53" s="15">
        <f>IF(COUNTIF('Résultats des tournois'!$B53:'Résultats des tournois'!AQ53,"&lt;&gt;")&lt;=5,32,IF(COUNTIF('Résultats des tournois'!$B53:'Résultats des tournois'!AQ53,"&lt;&gt;")&lt;=15,24,16))</f>
        <v>32</v>
      </c>
      <c r="AR53" s="15">
        <f>IF(COUNTIF('Résultats des tournois'!$B53:'Résultats des tournois'!AR53,"&lt;&gt;")&lt;=5,32,IF(COUNTIF('Résultats des tournois'!$B53:'Résultats des tournois'!AR53,"&lt;&gt;")&lt;=15,24,16))</f>
        <v>32</v>
      </c>
      <c r="AS53" s="15">
        <f>IF(COUNTIF('Résultats des tournois'!$B53:'Résultats des tournois'!AS53,"&lt;&gt;")&lt;=5,32,IF(COUNTIF('Résultats des tournois'!$B53:'Résultats des tournois'!AS53,"&lt;&gt;")&lt;=15,24,16))</f>
        <v>32</v>
      </c>
      <c r="AT53" s="15">
        <f>IF(COUNTIF('Résultats des tournois'!$B53:'Résultats des tournois'!AT53,"&lt;&gt;")&lt;=5,32,IF(COUNTIF('Résultats des tournois'!$B53:'Résultats des tournois'!AT53,"&lt;&gt;")&lt;=15,24,16))</f>
        <v>32</v>
      </c>
      <c r="AU53" s="15">
        <f>IF(COUNTIF('Résultats des tournois'!$B53:'Résultats des tournois'!AU53,"&lt;&gt;")&lt;=5,32,IF(COUNTIF('Résultats des tournois'!$B53:'Résultats des tournois'!AU53,"&lt;&gt;")&lt;=15,24,16))</f>
        <v>32</v>
      </c>
      <c r="AV53" s="15">
        <f>IF(COUNTIF('Résultats des tournois'!$B53:'Résultats des tournois'!AV53,"&lt;&gt;")&lt;=5,32,IF(COUNTIF('Résultats des tournois'!$B53:'Résultats des tournois'!AV53,"&lt;&gt;")&lt;=15,24,16))</f>
        <v>32</v>
      </c>
      <c r="AW53" s="15">
        <f>IF(COUNTIF('Résultats des tournois'!$B53:'Résultats des tournois'!AW53,"&lt;&gt;")&lt;=5,32,IF(COUNTIF('Résultats des tournois'!$B53:'Résultats des tournois'!AW53,"&lt;&gt;")&lt;=15,24,16))</f>
        <v>32</v>
      </c>
      <c r="AX53" s="15">
        <f>IF(COUNTIF('Résultats des tournois'!$B53:'Résultats des tournois'!AX53,"&lt;&gt;")&lt;=5,32,IF(COUNTIF('Résultats des tournois'!$B53:'Résultats des tournois'!AX53,"&lt;&gt;")&lt;=15,24,16))</f>
        <v>32</v>
      </c>
    </row>
    <row r="54" ht="14.25" customHeight="1">
      <c r="A54" s="15" t="str">
        <f>IF('Résultats des tournois'!A54="","",'Résultats des tournois'!A54)</f>
        <v/>
      </c>
      <c r="B54" s="15">
        <f>IF(COUNTIF('Résultats des tournois'!B54,"&lt;&gt;")&lt;=5,32,IF(COUNTIF('Résultats des tournois'!B54,"&lt;&gt;")&lt;=15,24,16))</f>
        <v>32</v>
      </c>
      <c r="C54" s="15">
        <f>IF(COUNTIF('Résultats des tournois'!$B54:'Résultats des tournois'!C54,"&lt;&gt;")&lt;=5,32,IF(COUNTIF('Résultats des tournois'!$B54:'Résultats des tournois'!C54,"&lt;&gt;")&lt;=15,24,16))</f>
        <v>32</v>
      </c>
      <c r="D54" s="15">
        <f>IF(COUNTIF('Résultats des tournois'!$B54:'Résultats des tournois'!D54,"&lt;&gt;")&lt;=5,32,IF(COUNTIF('Résultats des tournois'!$B54:'Résultats des tournois'!D54,"&lt;&gt;")&lt;=15,24,16))</f>
        <v>32</v>
      </c>
      <c r="E54" s="15">
        <f>IF(COUNTIF('Résultats des tournois'!$B54:'Résultats des tournois'!E54,"&lt;&gt;")&lt;=5,32,IF(COUNTIF('Résultats des tournois'!$B54:'Résultats des tournois'!E54,"&lt;&gt;")&lt;=15,24,16))</f>
        <v>32</v>
      </c>
      <c r="F54" s="15">
        <f>IF(COUNTIF('Résultats des tournois'!$B54:'Résultats des tournois'!F54,"&lt;&gt;")&lt;=5,32,IF(COUNTIF('Résultats des tournois'!$B54:'Résultats des tournois'!F54,"&lt;&gt;")&lt;=15,24,16))</f>
        <v>32</v>
      </c>
      <c r="G54" s="15">
        <f>IF(COUNTIF('Résultats des tournois'!$B54:'Résultats des tournois'!G54,"&lt;&gt;")&lt;=5,32,IF(COUNTIF('Résultats des tournois'!$B54:'Résultats des tournois'!G54,"&lt;&gt;")&lt;=15,24,16))</f>
        <v>32</v>
      </c>
      <c r="H54" s="15">
        <f>IF(COUNTIF('Résultats des tournois'!$B54:'Résultats des tournois'!H54,"&lt;&gt;")&lt;=5,32,IF(COUNTIF('Résultats des tournois'!$B54:'Résultats des tournois'!H54,"&lt;&gt;")&lt;=15,24,16))</f>
        <v>32</v>
      </c>
      <c r="I54" s="15">
        <f>IF(COUNTIF('Résultats des tournois'!$B54:'Résultats des tournois'!I54,"&lt;&gt;")&lt;=5,32,IF(COUNTIF('Résultats des tournois'!$B54:'Résultats des tournois'!I54,"&lt;&gt;")&lt;=15,24,16))</f>
        <v>32</v>
      </c>
      <c r="J54" s="15">
        <f>IF(COUNTIF('Résultats des tournois'!$B54:'Résultats des tournois'!J54,"&lt;&gt;")&lt;=5,32,IF(COUNTIF('Résultats des tournois'!$B54:'Résultats des tournois'!J54,"&lt;&gt;")&lt;=15,24,16))</f>
        <v>32</v>
      </c>
      <c r="K54" s="15">
        <f>IF(COUNTIF('Résultats des tournois'!$B54:'Résultats des tournois'!K54,"&lt;&gt;")&lt;=5,32,IF(COUNTIF('Résultats des tournois'!$B54:'Résultats des tournois'!K54,"&lt;&gt;")&lt;=15,24,16))</f>
        <v>32</v>
      </c>
      <c r="L54" s="15">
        <f>IF(COUNTIF('Résultats des tournois'!$B54:'Résultats des tournois'!L54,"&lt;&gt;")&lt;=5,32,IF(COUNTIF('Résultats des tournois'!$B54:'Résultats des tournois'!L54,"&lt;&gt;")&lt;=15,24,16))</f>
        <v>32</v>
      </c>
      <c r="M54" s="15">
        <f>IF(COUNTIF('Résultats des tournois'!$B54:'Résultats des tournois'!M54,"&lt;&gt;")&lt;=5,32,IF(COUNTIF('Résultats des tournois'!$B54:'Résultats des tournois'!M54,"&lt;&gt;")&lt;=15,24,16))</f>
        <v>32</v>
      </c>
      <c r="N54" s="15">
        <f>IF(COUNTIF('Résultats des tournois'!$B54:'Résultats des tournois'!N54,"&lt;&gt;")&lt;=5,32,IF(COUNTIF('Résultats des tournois'!$B54:'Résultats des tournois'!N54,"&lt;&gt;")&lt;=15,24,16))</f>
        <v>32</v>
      </c>
      <c r="O54" s="15">
        <f>IF(COUNTIF('Résultats des tournois'!$B54:'Résultats des tournois'!O54,"&lt;&gt;")&lt;=5,32,IF(COUNTIF('Résultats des tournois'!$B54:'Résultats des tournois'!O54,"&lt;&gt;")&lt;=15,24,16))</f>
        <v>32</v>
      </c>
      <c r="P54" s="15">
        <f>IF(COUNTIF('Résultats des tournois'!$B54:'Résultats des tournois'!P54,"&lt;&gt;")&lt;=5,32,IF(COUNTIF('Résultats des tournois'!$B54:'Résultats des tournois'!P54,"&lt;&gt;")&lt;=15,24,16))</f>
        <v>32</v>
      </c>
      <c r="Q54" s="15">
        <f>IF(COUNTIF('Résultats des tournois'!$B54:'Résultats des tournois'!Q54,"&lt;&gt;")&lt;=5,32,IF(COUNTIF('Résultats des tournois'!$B54:'Résultats des tournois'!Q54,"&lt;&gt;")&lt;=15,24,16))</f>
        <v>32</v>
      </c>
      <c r="R54" s="15">
        <f>IF(COUNTIF('Résultats des tournois'!$B54:'Résultats des tournois'!R54,"&lt;&gt;")&lt;=5,32,IF(COUNTIF('Résultats des tournois'!$B54:'Résultats des tournois'!R54,"&lt;&gt;")&lt;=15,24,16))</f>
        <v>32</v>
      </c>
      <c r="S54" s="15">
        <f>IF(COUNTIF('Résultats des tournois'!$B54:'Résultats des tournois'!S54,"&lt;&gt;")&lt;=5,32,IF(COUNTIF('Résultats des tournois'!$B54:'Résultats des tournois'!S54,"&lt;&gt;")&lt;=15,24,16))</f>
        <v>32</v>
      </c>
      <c r="T54" s="15">
        <f>IF(COUNTIF('Résultats des tournois'!$B54:'Résultats des tournois'!T54,"&lt;&gt;")&lt;=5,32,IF(COUNTIF('Résultats des tournois'!$B54:'Résultats des tournois'!T54,"&lt;&gt;")&lt;=15,24,16))</f>
        <v>32</v>
      </c>
      <c r="U54" s="15">
        <f>IF(COUNTIF('Résultats des tournois'!$B54:'Résultats des tournois'!U54,"&lt;&gt;")&lt;=5,32,IF(COUNTIF('Résultats des tournois'!$B54:'Résultats des tournois'!U54,"&lt;&gt;")&lt;=15,24,16))</f>
        <v>32</v>
      </c>
      <c r="V54" s="15">
        <f>IF(COUNTIF('Résultats des tournois'!$B54:'Résultats des tournois'!V54,"&lt;&gt;")&lt;=5,32,IF(COUNTIF('Résultats des tournois'!$B54:'Résultats des tournois'!V54,"&lt;&gt;")&lt;=15,24,16))</f>
        <v>32</v>
      </c>
      <c r="W54" s="15">
        <f>IF(COUNTIF('Résultats des tournois'!$B54:'Résultats des tournois'!W54,"&lt;&gt;")&lt;=5,32,IF(COUNTIF('Résultats des tournois'!$B54:'Résultats des tournois'!W54,"&lt;&gt;")&lt;=15,24,16))</f>
        <v>32</v>
      </c>
      <c r="X54" s="15">
        <f>IF(COUNTIF('Résultats des tournois'!$B54:'Résultats des tournois'!X54,"&lt;&gt;")&lt;=5,32,IF(COUNTIF('Résultats des tournois'!$B54:'Résultats des tournois'!X54,"&lt;&gt;")&lt;=15,24,16))</f>
        <v>32</v>
      </c>
      <c r="Y54" s="15">
        <f>IF(COUNTIF('Résultats des tournois'!$B54:'Résultats des tournois'!Y54,"&lt;&gt;")&lt;=5,32,IF(COUNTIF('Résultats des tournois'!$B54:'Résultats des tournois'!Y54,"&lt;&gt;")&lt;=15,24,16))</f>
        <v>32</v>
      </c>
      <c r="Z54" s="15">
        <f>IF(COUNTIF('Résultats des tournois'!$B54:'Résultats des tournois'!Z54,"&lt;&gt;")&lt;=5,32,IF(COUNTIF('Résultats des tournois'!$B54:'Résultats des tournois'!Z54,"&lt;&gt;")&lt;=15,24,16))</f>
        <v>32</v>
      </c>
      <c r="AA54" s="15">
        <f>IF(COUNTIF('Résultats des tournois'!$B54:'Résultats des tournois'!AA54,"&lt;&gt;")&lt;=5,32,IF(COUNTIF('Résultats des tournois'!$B54:'Résultats des tournois'!AA54,"&lt;&gt;")&lt;=15,24,16))</f>
        <v>32</v>
      </c>
      <c r="AB54" s="15">
        <f>IF(COUNTIF('Résultats des tournois'!$B54:'Résultats des tournois'!AB54,"&lt;&gt;")&lt;=5,32,IF(COUNTIF('Résultats des tournois'!$B54:'Résultats des tournois'!AB54,"&lt;&gt;")&lt;=15,24,16))</f>
        <v>32</v>
      </c>
      <c r="AC54" s="15">
        <f>IF(COUNTIF('Résultats des tournois'!$B54:'Résultats des tournois'!AC54,"&lt;&gt;")&lt;=5,32,IF(COUNTIF('Résultats des tournois'!$B54:'Résultats des tournois'!AC54,"&lt;&gt;")&lt;=15,24,16))</f>
        <v>32</v>
      </c>
      <c r="AD54" s="15">
        <f>IF(COUNTIF('Résultats des tournois'!$B54:'Résultats des tournois'!AD54,"&lt;&gt;")&lt;=5,32,IF(COUNTIF('Résultats des tournois'!$B54:'Résultats des tournois'!AD54,"&lt;&gt;")&lt;=15,24,16))</f>
        <v>32</v>
      </c>
      <c r="AE54" s="15">
        <f>IF(COUNTIF('Résultats des tournois'!$B54:'Résultats des tournois'!AE54,"&lt;&gt;")&lt;=5,32,IF(COUNTIF('Résultats des tournois'!$B54:'Résultats des tournois'!AE54,"&lt;&gt;")&lt;=15,24,16))</f>
        <v>32</v>
      </c>
      <c r="AF54" s="15">
        <f>IF(COUNTIF('Résultats des tournois'!$B54:'Résultats des tournois'!AF54,"&lt;&gt;")&lt;=5,32,IF(COUNTIF('Résultats des tournois'!$B54:'Résultats des tournois'!AF54,"&lt;&gt;")&lt;=15,24,16))</f>
        <v>32</v>
      </c>
      <c r="AG54" s="15">
        <f>IF(COUNTIF('Résultats des tournois'!$B54:'Résultats des tournois'!AG54,"&lt;&gt;")&lt;=5,32,IF(COUNTIF('Résultats des tournois'!$B54:'Résultats des tournois'!AG54,"&lt;&gt;")&lt;=15,24,16))</f>
        <v>32</v>
      </c>
      <c r="AH54" s="15">
        <f>IF(COUNTIF('Résultats des tournois'!$B54:'Résultats des tournois'!AH54,"&lt;&gt;")&lt;=5,32,IF(COUNTIF('Résultats des tournois'!$B54:'Résultats des tournois'!AH54,"&lt;&gt;")&lt;=15,24,16))</f>
        <v>32</v>
      </c>
      <c r="AI54" s="15">
        <f>IF(COUNTIF('Résultats des tournois'!$B54:'Résultats des tournois'!AI54,"&lt;&gt;")&lt;=5,32,IF(COUNTIF('Résultats des tournois'!$B54:'Résultats des tournois'!AI54,"&lt;&gt;")&lt;=15,24,16))</f>
        <v>32</v>
      </c>
      <c r="AJ54" s="15">
        <f>IF(COUNTIF('Résultats des tournois'!$B54:'Résultats des tournois'!AJ54,"&lt;&gt;")&lt;=5,32,IF(COUNTIF('Résultats des tournois'!$B54:'Résultats des tournois'!AJ54,"&lt;&gt;")&lt;=15,24,16))</f>
        <v>32</v>
      </c>
      <c r="AK54" s="15">
        <f>IF(COUNTIF('Résultats des tournois'!$B54:'Résultats des tournois'!AK54,"&lt;&gt;")&lt;=5,32,IF(COUNTIF('Résultats des tournois'!$B54:'Résultats des tournois'!AK54,"&lt;&gt;")&lt;=15,24,16))</f>
        <v>32</v>
      </c>
      <c r="AL54" s="15">
        <f>IF(COUNTIF('Résultats des tournois'!$B54:'Résultats des tournois'!AL54,"&lt;&gt;")&lt;=5,32,IF(COUNTIF('Résultats des tournois'!$B54:'Résultats des tournois'!AL54,"&lt;&gt;")&lt;=15,24,16))</f>
        <v>32</v>
      </c>
      <c r="AM54" s="15">
        <f>IF(COUNTIF('Résultats des tournois'!$B54:'Résultats des tournois'!AM54,"&lt;&gt;")&lt;=5,32,IF(COUNTIF('Résultats des tournois'!$B54:'Résultats des tournois'!AM54,"&lt;&gt;")&lt;=15,24,16))</f>
        <v>32</v>
      </c>
      <c r="AN54" s="15">
        <f>IF(COUNTIF('Résultats des tournois'!$B54:'Résultats des tournois'!AN54,"&lt;&gt;")&lt;=5,32,IF(COUNTIF('Résultats des tournois'!$B54:'Résultats des tournois'!AN54,"&lt;&gt;")&lt;=15,24,16))</f>
        <v>32</v>
      </c>
      <c r="AO54" s="15">
        <f>IF(COUNTIF('Résultats des tournois'!$B54:'Résultats des tournois'!AO54,"&lt;&gt;")&lt;=5,32,IF(COUNTIF('Résultats des tournois'!$B54:'Résultats des tournois'!AO54,"&lt;&gt;")&lt;=15,24,16))</f>
        <v>32</v>
      </c>
      <c r="AP54" s="15">
        <f>IF(COUNTIF('Résultats des tournois'!$B54:'Résultats des tournois'!AP54,"&lt;&gt;")&lt;=5,32,IF(COUNTIF('Résultats des tournois'!$B54:'Résultats des tournois'!AP54,"&lt;&gt;")&lt;=15,24,16))</f>
        <v>32</v>
      </c>
      <c r="AQ54" s="15">
        <f>IF(COUNTIF('Résultats des tournois'!$B54:'Résultats des tournois'!AQ54,"&lt;&gt;")&lt;=5,32,IF(COUNTIF('Résultats des tournois'!$B54:'Résultats des tournois'!AQ54,"&lt;&gt;")&lt;=15,24,16))</f>
        <v>32</v>
      </c>
      <c r="AR54" s="15">
        <f>IF(COUNTIF('Résultats des tournois'!$B54:'Résultats des tournois'!AR54,"&lt;&gt;")&lt;=5,32,IF(COUNTIF('Résultats des tournois'!$B54:'Résultats des tournois'!AR54,"&lt;&gt;")&lt;=15,24,16))</f>
        <v>32</v>
      </c>
      <c r="AS54" s="15">
        <f>IF(COUNTIF('Résultats des tournois'!$B54:'Résultats des tournois'!AS54,"&lt;&gt;")&lt;=5,32,IF(COUNTIF('Résultats des tournois'!$B54:'Résultats des tournois'!AS54,"&lt;&gt;")&lt;=15,24,16))</f>
        <v>32</v>
      </c>
      <c r="AT54" s="15">
        <f>IF(COUNTIF('Résultats des tournois'!$B54:'Résultats des tournois'!AT54,"&lt;&gt;")&lt;=5,32,IF(COUNTIF('Résultats des tournois'!$B54:'Résultats des tournois'!AT54,"&lt;&gt;")&lt;=15,24,16))</f>
        <v>32</v>
      </c>
      <c r="AU54" s="15">
        <f>IF(COUNTIF('Résultats des tournois'!$B54:'Résultats des tournois'!AU54,"&lt;&gt;")&lt;=5,32,IF(COUNTIF('Résultats des tournois'!$B54:'Résultats des tournois'!AU54,"&lt;&gt;")&lt;=15,24,16))</f>
        <v>32</v>
      </c>
      <c r="AV54" s="15">
        <f>IF(COUNTIF('Résultats des tournois'!$B54:'Résultats des tournois'!AV54,"&lt;&gt;")&lt;=5,32,IF(COUNTIF('Résultats des tournois'!$B54:'Résultats des tournois'!AV54,"&lt;&gt;")&lt;=15,24,16))</f>
        <v>32</v>
      </c>
      <c r="AW54" s="15">
        <f>IF(COUNTIF('Résultats des tournois'!$B54:'Résultats des tournois'!AW54,"&lt;&gt;")&lt;=5,32,IF(COUNTIF('Résultats des tournois'!$B54:'Résultats des tournois'!AW54,"&lt;&gt;")&lt;=15,24,16))</f>
        <v>32</v>
      </c>
      <c r="AX54" s="15">
        <f>IF(COUNTIF('Résultats des tournois'!$B54:'Résultats des tournois'!AX54,"&lt;&gt;")&lt;=5,32,IF(COUNTIF('Résultats des tournois'!$B54:'Résultats des tournois'!AX54,"&lt;&gt;")&lt;=15,24,16))</f>
        <v>32</v>
      </c>
    </row>
    <row r="55" ht="14.25" customHeight="1">
      <c r="A55" s="15" t="str">
        <f>IF('Résultats des tournois'!A55="","",'Résultats des tournois'!A55)</f>
        <v/>
      </c>
      <c r="B55" s="15">
        <f>IF(COUNTIF('Résultats des tournois'!B55,"&lt;&gt;")&lt;=5,32,IF(COUNTIF('Résultats des tournois'!B55,"&lt;&gt;")&lt;=15,24,16))</f>
        <v>32</v>
      </c>
      <c r="C55" s="15">
        <f>IF(COUNTIF('Résultats des tournois'!$B55:'Résultats des tournois'!C55,"&lt;&gt;")&lt;=5,32,IF(COUNTIF('Résultats des tournois'!$B55:'Résultats des tournois'!C55,"&lt;&gt;")&lt;=15,24,16))</f>
        <v>32</v>
      </c>
      <c r="D55" s="15">
        <f>IF(COUNTIF('Résultats des tournois'!$B55:'Résultats des tournois'!D55,"&lt;&gt;")&lt;=5,32,IF(COUNTIF('Résultats des tournois'!$B55:'Résultats des tournois'!D55,"&lt;&gt;")&lt;=15,24,16))</f>
        <v>32</v>
      </c>
      <c r="E55" s="15">
        <f>IF(COUNTIF('Résultats des tournois'!$B55:'Résultats des tournois'!E55,"&lt;&gt;")&lt;=5,32,IF(COUNTIF('Résultats des tournois'!$B55:'Résultats des tournois'!E55,"&lt;&gt;")&lt;=15,24,16))</f>
        <v>32</v>
      </c>
      <c r="F55" s="15">
        <f>IF(COUNTIF('Résultats des tournois'!$B55:'Résultats des tournois'!F55,"&lt;&gt;")&lt;=5,32,IF(COUNTIF('Résultats des tournois'!$B55:'Résultats des tournois'!F55,"&lt;&gt;")&lt;=15,24,16))</f>
        <v>32</v>
      </c>
      <c r="G55" s="15">
        <f>IF(COUNTIF('Résultats des tournois'!$B55:'Résultats des tournois'!G55,"&lt;&gt;")&lt;=5,32,IF(COUNTIF('Résultats des tournois'!$B55:'Résultats des tournois'!G55,"&lt;&gt;")&lt;=15,24,16))</f>
        <v>32</v>
      </c>
      <c r="H55" s="15">
        <f>IF(COUNTIF('Résultats des tournois'!$B55:'Résultats des tournois'!H55,"&lt;&gt;")&lt;=5,32,IF(COUNTIF('Résultats des tournois'!$B55:'Résultats des tournois'!H55,"&lt;&gt;")&lt;=15,24,16))</f>
        <v>32</v>
      </c>
      <c r="I55" s="15">
        <f>IF(COUNTIF('Résultats des tournois'!$B55:'Résultats des tournois'!I55,"&lt;&gt;")&lt;=5,32,IF(COUNTIF('Résultats des tournois'!$B55:'Résultats des tournois'!I55,"&lt;&gt;")&lt;=15,24,16))</f>
        <v>32</v>
      </c>
      <c r="J55" s="15">
        <f>IF(COUNTIF('Résultats des tournois'!$B55:'Résultats des tournois'!J55,"&lt;&gt;")&lt;=5,32,IF(COUNTIF('Résultats des tournois'!$B55:'Résultats des tournois'!J55,"&lt;&gt;")&lt;=15,24,16))</f>
        <v>32</v>
      </c>
      <c r="K55" s="15">
        <f>IF(COUNTIF('Résultats des tournois'!$B55:'Résultats des tournois'!K55,"&lt;&gt;")&lt;=5,32,IF(COUNTIF('Résultats des tournois'!$B55:'Résultats des tournois'!K55,"&lt;&gt;")&lt;=15,24,16))</f>
        <v>32</v>
      </c>
      <c r="L55" s="15">
        <f>IF(COUNTIF('Résultats des tournois'!$B55:'Résultats des tournois'!L55,"&lt;&gt;")&lt;=5,32,IF(COUNTIF('Résultats des tournois'!$B55:'Résultats des tournois'!L55,"&lt;&gt;")&lt;=15,24,16))</f>
        <v>32</v>
      </c>
      <c r="M55" s="15">
        <f>IF(COUNTIF('Résultats des tournois'!$B55:'Résultats des tournois'!M55,"&lt;&gt;")&lt;=5,32,IF(COUNTIF('Résultats des tournois'!$B55:'Résultats des tournois'!M55,"&lt;&gt;")&lt;=15,24,16))</f>
        <v>32</v>
      </c>
      <c r="N55" s="15">
        <f>IF(COUNTIF('Résultats des tournois'!$B55:'Résultats des tournois'!N55,"&lt;&gt;")&lt;=5,32,IF(COUNTIF('Résultats des tournois'!$B55:'Résultats des tournois'!N55,"&lt;&gt;")&lt;=15,24,16))</f>
        <v>32</v>
      </c>
      <c r="O55" s="15">
        <f>IF(COUNTIF('Résultats des tournois'!$B55:'Résultats des tournois'!O55,"&lt;&gt;")&lt;=5,32,IF(COUNTIF('Résultats des tournois'!$B55:'Résultats des tournois'!O55,"&lt;&gt;")&lt;=15,24,16))</f>
        <v>32</v>
      </c>
      <c r="P55" s="15">
        <f>IF(COUNTIF('Résultats des tournois'!$B55:'Résultats des tournois'!P55,"&lt;&gt;")&lt;=5,32,IF(COUNTIF('Résultats des tournois'!$B55:'Résultats des tournois'!P55,"&lt;&gt;")&lt;=15,24,16))</f>
        <v>32</v>
      </c>
      <c r="Q55" s="15">
        <f>IF(COUNTIF('Résultats des tournois'!$B55:'Résultats des tournois'!Q55,"&lt;&gt;")&lt;=5,32,IF(COUNTIF('Résultats des tournois'!$B55:'Résultats des tournois'!Q55,"&lt;&gt;")&lt;=15,24,16))</f>
        <v>32</v>
      </c>
      <c r="R55" s="15">
        <f>IF(COUNTIF('Résultats des tournois'!$B55:'Résultats des tournois'!R55,"&lt;&gt;")&lt;=5,32,IF(COUNTIF('Résultats des tournois'!$B55:'Résultats des tournois'!R55,"&lt;&gt;")&lt;=15,24,16))</f>
        <v>32</v>
      </c>
      <c r="S55" s="15">
        <f>IF(COUNTIF('Résultats des tournois'!$B55:'Résultats des tournois'!S55,"&lt;&gt;")&lt;=5,32,IF(COUNTIF('Résultats des tournois'!$B55:'Résultats des tournois'!S55,"&lt;&gt;")&lt;=15,24,16))</f>
        <v>32</v>
      </c>
      <c r="T55" s="15">
        <f>IF(COUNTIF('Résultats des tournois'!$B55:'Résultats des tournois'!T55,"&lt;&gt;")&lt;=5,32,IF(COUNTIF('Résultats des tournois'!$B55:'Résultats des tournois'!T55,"&lt;&gt;")&lt;=15,24,16))</f>
        <v>32</v>
      </c>
      <c r="U55" s="15">
        <f>IF(COUNTIF('Résultats des tournois'!$B55:'Résultats des tournois'!U55,"&lt;&gt;")&lt;=5,32,IF(COUNTIF('Résultats des tournois'!$B55:'Résultats des tournois'!U55,"&lt;&gt;")&lt;=15,24,16))</f>
        <v>32</v>
      </c>
      <c r="V55" s="15">
        <f>IF(COUNTIF('Résultats des tournois'!$B55:'Résultats des tournois'!V55,"&lt;&gt;")&lt;=5,32,IF(COUNTIF('Résultats des tournois'!$B55:'Résultats des tournois'!V55,"&lt;&gt;")&lt;=15,24,16))</f>
        <v>32</v>
      </c>
      <c r="W55" s="15">
        <f>IF(COUNTIF('Résultats des tournois'!$B55:'Résultats des tournois'!W55,"&lt;&gt;")&lt;=5,32,IF(COUNTIF('Résultats des tournois'!$B55:'Résultats des tournois'!W55,"&lt;&gt;")&lt;=15,24,16))</f>
        <v>32</v>
      </c>
      <c r="X55" s="15">
        <f>IF(COUNTIF('Résultats des tournois'!$B55:'Résultats des tournois'!X55,"&lt;&gt;")&lt;=5,32,IF(COUNTIF('Résultats des tournois'!$B55:'Résultats des tournois'!X55,"&lt;&gt;")&lt;=15,24,16))</f>
        <v>32</v>
      </c>
      <c r="Y55" s="15">
        <f>IF(COUNTIF('Résultats des tournois'!$B55:'Résultats des tournois'!Y55,"&lt;&gt;")&lt;=5,32,IF(COUNTIF('Résultats des tournois'!$B55:'Résultats des tournois'!Y55,"&lt;&gt;")&lt;=15,24,16))</f>
        <v>32</v>
      </c>
      <c r="Z55" s="15">
        <f>IF(COUNTIF('Résultats des tournois'!$B55:'Résultats des tournois'!Z55,"&lt;&gt;")&lt;=5,32,IF(COUNTIF('Résultats des tournois'!$B55:'Résultats des tournois'!Z55,"&lt;&gt;")&lt;=15,24,16))</f>
        <v>32</v>
      </c>
      <c r="AA55" s="15">
        <f>IF(COUNTIF('Résultats des tournois'!$B55:'Résultats des tournois'!AA55,"&lt;&gt;")&lt;=5,32,IF(COUNTIF('Résultats des tournois'!$B55:'Résultats des tournois'!AA55,"&lt;&gt;")&lt;=15,24,16))</f>
        <v>32</v>
      </c>
      <c r="AB55" s="15">
        <f>IF(COUNTIF('Résultats des tournois'!$B55:'Résultats des tournois'!AB55,"&lt;&gt;")&lt;=5,32,IF(COUNTIF('Résultats des tournois'!$B55:'Résultats des tournois'!AB55,"&lt;&gt;")&lt;=15,24,16))</f>
        <v>32</v>
      </c>
      <c r="AC55" s="15">
        <f>IF(COUNTIF('Résultats des tournois'!$B55:'Résultats des tournois'!AC55,"&lt;&gt;")&lt;=5,32,IF(COUNTIF('Résultats des tournois'!$B55:'Résultats des tournois'!AC55,"&lt;&gt;")&lt;=15,24,16))</f>
        <v>32</v>
      </c>
      <c r="AD55" s="15">
        <f>IF(COUNTIF('Résultats des tournois'!$B55:'Résultats des tournois'!AD55,"&lt;&gt;")&lt;=5,32,IF(COUNTIF('Résultats des tournois'!$B55:'Résultats des tournois'!AD55,"&lt;&gt;")&lt;=15,24,16))</f>
        <v>32</v>
      </c>
      <c r="AE55" s="15">
        <f>IF(COUNTIF('Résultats des tournois'!$B55:'Résultats des tournois'!AE55,"&lt;&gt;")&lt;=5,32,IF(COUNTIF('Résultats des tournois'!$B55:'Résultats des tournois'!AE55,"&lt;&gt;")&lt;=15,24,16))</f>
        <v>32</v>
      </c>
      <c r="AF55" s="15">
        <f>IF(COUNTIF('Résultats des tournois'!$B55:'Résultats des tournois'!AF55,"&lt;&gt;")&lt;=5,32,IF(COUNTIF('Résultats des tournois'!$B55:'Résultats des tournois'!AF55,"&lt;&gt;")&lt;=15,24,16))</f>
        <v>32</v>
      </c>
      <c r="AG55" s="15">
        <f>IF(COUNTIF('Résultats des tournois'!$B55:'Résultats des tournois'!AG55,"&lt;&gt;")&lt;=5,32,IF(COUNTIF('Résultats des tournois'!$B55:'Résultats des tournois'!AG55,"&lt;&gt;")&lt;=15,24,16))</f>
        <v>32</v>
      </c>
      <c r="AH55" s="15">
        <f>IF(COUNTIF('Résultats des tournois'!$B55:'Résultats des tournois'!AH55,"&lt;&gt;")&lt;=5,32,IF(COUNTIF('Résultats des tournois'!$B55:'Résultats des tournois'!AH55,"&lt;&gt;")&lt;=15,24,16))</f>
        <v>32</v>
      </c>
      <c r="AI55" s="15">
        <f>IF(COUNTIF('Résultats des tournois'!$B55:'Résultats des tournois'!AI55,"&lt;&gt;")&lt;=5,32,IF(COUNTIF('Résultats des tournois'!$B55:'Résultats des tournois'!AI55,"&lt;&gt;")&lt;=15,24,16))</f>
        <v>32</v>
      </c>
      <c r="AJ55" s="15">
        <f>IF(COUNTIF('Résultats des tournois'!$B55:'Résultats des tournois'!AJ55,"&lt;&gt;")&lt;=5,32,IF(COUNTIF('Résultats des tournois'!$B55:'Résultats des tournois'!AJ55,"&lt;&gt;")&lt;=15,24,16))</f>
        <v>32</v>
      </c>
      <c r="AK55" s="15">
        <f>IF(COUNTIF('Résultats des tournois'!$B55:'Résultats des tournois'!AK55,"&lt;&gt;")&lt;=5,32,IF(COUNTIF('Résultats des tournois'!$B55:'Résultats des tournois'!AK55,"&lt;&gt;")&lt;=15,24,16))</f>
        <v>32</v>
      </c>
      <c r="AL55" s="15">
        <f>IF(COUNTIF('Résultats des tournois'!$B55:'Résultats des tournois'!AL55,"&lt;&gt;")&lt;=5,32,IF(COUNTIF('Résultats des tournois'!$B55:'Résultats des tournois'!AL55,"&lt;&gt;")&lt;=15,24,16))</f>
        <v>32</v>
      </c>
      <c r="AM55" s="15">
        <f>IF(COUNTIF('Résultats des tournois'!$B55:'Résultats des tournois'!AM55,"&lt;&gt;")&lt;=5,32,IF(COUNTIF('Résultats des tournois'!$B55:'Résultats des tournois'!AM55,"&lt;&gt;")&lt;=15,24,16))</f>
        <v>32</v>
      </c>
      <c r="AN55" s="15">
        <f>IF(COUNTIF('Résultats des tournois'!$B55:'Résultats des tournois'!AN55,"&lt;&gt;")&lt;=5,32,IF(COUNTIF('Résultats des tournois'!$B55:'Résultats des tournois'!AN55,"&lt;&gt;")&lt;=15,24,16))</f>
        <v>32</v>
      </c>
      <c r="AO55" s="15">
        <f>IF(COUNTIF('Résultats des tournois'!$B55:'Résultats des tournois'!AO55,"&lt;&gt;")&lt;=5,32,IF(COUNTIF('Résultats des tournois'!$B55:'Résultats des tournois'!AO55,"&lt;&gt;")&lt;=15,24,16))</f>
        <v>32</v>
      </c>
      <c r="AP55" s="15">
        <f>IF(COUNTIF('Résultats des tournois'!$B55:'Résultats des tournois'!AP55,"&lt;&gt;")&lt;=5,32,IF(COUNTIF('Résultats des tournois'!$B55:'Résultats des tournois'!AP55,"&lt;&gt;")&lt;=15,24,16))</f>
        <v>32</v>
      </c>
      <c r="AQ55" s="15">
        <f>IF(COUNTIF('Résultats des tournois'!$B55:'Résultats des tournois'!AQ55,"&lt;&gt;")&lt;=5,32,IF(COUNTIF('Résultats des tournois'!$B55:'Résultats des tournois'!AQ55,"&lt;&gt;")&lt;=15,24,16))</f>
        <v>32</v>
      </c>
      <c r="AR55" s="15">
        <f>IF(COUNTIF('Résultats des tournois'!$B55:'Résultats des tournois'!AR55,"&lt;&gt;")&lt;=5,32,IF(COUNTIF('Résultats des tournois'!$B55:'Résultats des tournois'!AR55,"&lt;&gt;")&lt;=15,24,16))</f>
        <v>32</v>
      </c>
      <c r="AS55" s="15">
        <f>IF(COUNTIF('Résultats des tournois'!$B55:'Résultats des tournois'!AS55,"&lt;&gt;")&lt;=5,32,IF(COUNTIF('Résultats des tournois'!$B55:'Résultats des tournois'!AS55,"&lt;&gt;")&lt;=15,24,16))</f>
        <v>32</v>
      </c>
      <c r="AT55" s="15">
        <f>IF(COUNTIF('Résultats des tournois'!$B55:'Résultats des tournois'!AT55,"&lt;&gt;")&lt;=5,32,IF(COUNTIF('Résultats des tournois'!$B55:'Résultats des tournois'!AT55,"&lt;&gt;")&lt;=15,24,16))</f>
        <v>32</v>
      </c>
      <c r="AU55" s="15">
        <f>IF(COUNTIF('Résultats des tournois'!$B55:'Résultats des tournois'!AU55,"&lt;&gt;")&lt;=5,32,IF(COUNTIF('Résultats des tournois'!$B55:'Résultats des tournois'!AU55,"&lt;&gt;")&lt;=15,24,16))</f>
        <v>32</v>
      </c>
      <c r="AV55" s="15">
        <f>IF(COUNTIF('Résultats des tournois'!$B55:'Résultats des tournois'!AV55,"&lt;&gt;")&lt;=5,32,IF(COUNTIF('Résultats des tournois'!$B55:'Résultats des tournois'!AV55,"&lt;&gt;")&lt;=15,24,16))</f>
        <v>32</v>
      </c>
      <c r="AW55" s="15">
        <f>IF(COUNTIF('Résultats des tournois'!$B55:'Résultats des tournois'!AW55,"&lt;&gt;")&lt;=5,32,IF(COUNTIF('Résultats des tournois'!$B55:'Résultats des tournois'!AW55,"&lt;&gt;")&lt;=15,24,16))</f>
        <v>32</v>
      </c>
      <c r="AX55" s="15">
        <f>IF(COUNTIF('Résultats des tournois'!$B55:'Résultats des tournois'!AX55,"&lt;&gt;")&lt;=5,32,IF(COUNTIF('Résultats des tournois'!$B55:'Résultats des tournois'!AX55,"&lt;&gt;")&lt;=15,24,16))</f>
        <v>32</v>
      </c>
    </row>
    <row r="56" ht="14.25" customHeight="1">
      <c r="A56" s="15" t="str">
        <f>IF('Résultats des tournois'!A56="","",'Résultats des tournois'!A56)</f>
        <v/>
      </c>
      <c r="B56" s="15">
        <f>IF(COUNTIF('Résultats des tournois'!B56,"&lt;&gt;")&lt;=5,32,IF(COUNTIF('Résultats des tournois'!B56,"&lt;&gt;")&lt;=15,24,16))</f>
        <v>32</v>
      </c>
      <c r="C56" s="15">
        <f>IF(COUNTIF('Résultats des tournois'!$B56:'Résultats des tournois'!C56,"&lt;&gt;")&lt;=5,32,IF(COUNTIF('Résultats des tournois'!$B56:'Résultats des tournois'!C56,"&lt;&gt;")&lt;=15,24,16))</f>
        <v>32</v>
      </c>
      <c r="D56" s="15">
        <f>IF(COUNTIF('Résultats des tournois'!$B56:'Résultats des tournois'!D56,"&lt;&gt;")&lt;=5,32,IF(COUNTIF('Résultats des tournois'!$B56:'Résultats des tournois'!D56,"&lt;&gt;")&lt;=15,24,16))</f>
        <v>32</v>
      </c>
      <c r="E56" s="15">
        <f>IF(COUNTIF('Résultats des tournois'!$B56:'Résultats des tournois'!E56,"&lt;&gt;")&lt;=5,32,IF(COUNTIF('Résultats des tournois'!$B56:'Résultats des tournois'!E56,"&lt;&gt;")&lt;=15,24,16))</f>
        <v>32</v>
      </c>
      <c r="F56" s="15">
        <f>IF(COUNTIF('Résultats des tournois'!$B56:'Résultats des tournois'!F56,"&lt;&gt;")&lt;=5,32,IF(COUNTIF('Résultats des tournois'!$B56:'Résultats des tournois'!F56,"&lt;&gt;")&lt;=15,24,16))</f>
        <v>32</v>
      </c>
      <c r="G56" s="15">
        <f>IF(COUNTIF('Résultats des tournois'!$B56:'Résultats des tournois'!G56,"&lt;&gt;")&lt;=5,32,IF(COUNTIF('Résultats des tournois'!$B56:'Résultats des tournois'!G56,"&lt;&gt;")&lt;=15,24,16))</f>
        <v>32</v>
      </c>
      <c r="H56" s="15">
        <f>IF(COUNTIF('Résultats des tournois'!$B56:'Résultats des tournois'!H56,"&lt;&gt;")&lt;=5,32,IF(COUNTIF('Résultats des tournois'!$B56:'Résultats des tournois'!H56,"&lt;&gt;")&lt;=15,24,16))</f>
        <v>32</v>
      </c>
      <c r="I56" s="15">
        <f>IF(COUNTIF('Résultats des tournois'!$B56:'Résultats des tournois'!I56,"&lt;&gt;")&lt;=5,32,IF(COUNTIF('Résultats des tournois'!$B56:'Résultats des tournois'!I56,"&lt;&gt;")&lt;=15,24,16))</f>
        <v>32</v>
      </c>
      <c r="J56" s="15">
        <f>IF(COUNTIF('Résultats des tournois'!$B56:'Résultats des tournois'!J56,"&lt;&gt;")&lt;=5,32,IF(COUNTIF('Résultats des tournois'!$B56:'Résultats des tournois'!J56,"&lt;&gt;")&lt;=15,24,16))</f>
        <v>32</v>
      </c>
      <c r="K56" s="15">
        <f>IF(COUNTIF('Résultats des tournois'!$B56:'Résultats des tournois'!K56,"&lt;&gt;")&lt;=5,32,IF(COUNTIF('Résultats des tournois'!$B56:'Résultats des tournois'!K56,"&lt;&gt;")&lt;=15,24,16))</f>
        <v>32</v>
      </c>
      <c r="L56" s="15">
        <f>IF(COUNTIF('Résultats des tournois'!$B56:'Résultats des tournois'!L56,"&lt;&gt;")&lt;=5,32,IF(COUNTIF('Résultats des tournois'!$B56:'Résultats des tournois'!L56,"&lt;&gt;")&lt;=15,24,16))</f>
        <v>32</v>
      </c>
      <c r="M56" s="15">
        <f>IF(COUNTIF('Résultats des tournois'!$B56:'Résultats des tournois'!M56,"&lt;&gt;")&lt;=5,32,IF(COUNTIF('Résultats des tournois'!$B56:'Résultats des tournois'!M56,"&lt;&gt;")&lt;=15,24,16))</f>
        <v>32</v>
      </c>
      <c r="N56" s="15">
        <f>IF(COUNTIF('Résultats des tournois'!$B56:'Résultats des tournois'!N56,"&lt;&gt;")&lt;=5,32,IF(COUNTIF('Résultats des tournois'!$B56:'Résultats des tournois'!N56,"&lt;&gt;")&lt;=15,24,16))</f>
        <v>32</v>
      </c>
      <c r="O56" s="15">
        <f>IF(COUNTIF('Résultats des tournois'!$B56:'Résultats des tournois'!O56,"&lt;&gt;")&lt;=5,32,IF(COUNTIF('Résultats des tournois'!$B56:'Résultats des tournois'!O56,"&lt;&gt;")&lt;=15,24,16))</f>
        <v>32</v>
      </c>
      <c r="P56" s="15">
        <f>IF(COUNTIF('Résultats des tournois'!$B56:'Résultats des tournois'!P56,"&lt;&gt;")&lt;=5,32,IF(COUNTIF('Résultats des tournois'!$B56:'Résultats des tournois'!P56,"&lt;&gt;")&lt;=15,24,16))</f>
        <v>32</v>
      </c>
      <c r="Q56" s="15">
        <f>IF(COUNTIF('Résultats des tournois'!$B56:'Résultats des tournois'!Q56,"&lt;&gt;")&lt;=5,32,IF(COUNTIF('Résultats des tournois'!$B56:'Résultats des tournois'!Q56,"&lt;&gt;")&lt;=15,24,16))</f>
        <v>32</v>
      </c>
      <c r="R56" s="15">
        <f>IF(COUNTIF('Résultats des tournois'!$B56:'Résultats des tournois'!R56,"&lt;&gt;")&lt;=5,32,IF(COUNTIF('Résultats des tournois'!$B56:'Résultats des tournois'!R56,"&lt;&gt;")&lt;=15,24,16))</f>
        <v>32</v>
      </c>
      <c r="S56" s="15">
        <f>IF(COUNTIF('Résultats des tournois'!$B56:'Résultats des tournois'!S56,"&lt;&gt;")&lt;=5,32,IF(COUNTIF('Résultats des tournois'!$B56:'Résultats des tournois'!S56,"&lt;&gt;")&lt;=15,24,16))</f>
        <v>32</v>
      </c>
      <c r="T56" s="15">
        <f>IF(COUNTIF('Résultats des tournois'!$B56:'Résultats des tournois'!T56,"&lt;&gt;")&lt;=5,32,IF(COUNTIF('Résultats des tournois'!$B56:'Résultats des tournois'!T56,"&lt;&gt;")&lt;=15,24,16))</f>
        <v>32</v>
      </c>
      <c r="U56" s="15">
        <f>IF(COUNTIF('Résultats des tournois'!$B56:'Résultats des tournois'!U56,"&lt;&gt;")&lt;=5,32,IF(COUNTIF('Résultats des tournois'!$B56:'Résultats des tournois'!U56,"&lt;&gt;")&lt;=15,24,16))</f>
        <v>32</v>
      </c>
      <c r="V56" s="15">
        <f>IF(COUNTIF('Résultats des tournois'!$B56:'Résultats des tournois'!V56,"&lt;&gt;")&lt;=5,32,IF(COUNTIF('Résultats des tournois'!$B56:'Résultats des tournois'!V56,"&lt;&gt;")&lt;=15,24,16))</f>
        <v>32</v>
      </c>
      <c r="W56" s="15">
        <f>IF(COUNTIF('Résultats des tournois'!$B56:'Résultats des tournois'!W56,"&lt;&gt;")&lt;=5,32,IF(COUNTIF('Résultats des tournois'!$B56:'Résultats des tournois'!W56,"&lt;&gt;")&lt;=15,24,16))</f>
        <v>32</v>
      </c>
      <c r="X56" s="15">
        <f>IF(COUNTIF('Résultats des tournois'!$B56:'Résultats des tournois'!X56,"&lt;&gt;")&lt;=5,32,IF(COUNTIF('Résultats des tournois'!$B56:'Résultats des tournois'!X56,"&lt;&gt;")&lt;=15,24,16))</f>
        <v>32</v>
      </c>
      <c r="Y56" s="15">
        <f>IF(COUNTIF('Résultats des tournois'!$B56:'Résultats des tournois'!Y56,"&lt;&gt;")&lt;=5,32,IF(COUNTIF('Résultats des tournois'!$B56:'Résultats des tournois'!Y56,"&lt;&gt;")&lt;=15,24,16))</f>
        <v>32</v>
      </c>
      <c r="Z56" s="15">
        <f>IF(COUNTIF('Résultats des tournois'!$B56:'Résultats des tournois'!Z56,"&lt;&gt;")&lt;=5,32,IF(COUNTIF('Résultats des tournois'!$B56:'Résultats des tournois'!Z56,"&lt;&gt;")&lt;=15,24,16))</f>
        <v>32</v>
      </c>
      <c r="AA56" s="15">
        <f>IF(COUNTIF('Résultats des tournois'!$B56:'Résultats des tournois'!AA56,"&lt;&gt;")&lt;=5,32,IF(COUNTIF('Résultats des tournois'!$B56:'Résultats des tournois'!AA56,"&lt;&gt;")&lt;=15,24,16))</f>
        <v>32</v>
      </c>
      <c r="AB56" s="15">
        <f>IF(COUNTIF('Résultats des tournois'!$B56:'Résultats des tournois'!AB56,"&lt;&gt;")&lt;=5,32,IF(COUNTIF('Résultats des tournois'!$B56:'Résultats des tournois'!AB56,"&lt;&gt;")&lt;=15,24,16))</f>
        <v>32</v>
      </c>
      <c r="AC56" s="15">
        <f>IF(COUNTIF('Résultats des tournois'!$B56:'Résultats des tournois'!AC56,"&lt;&gt;")&lt;=5,32,IF(COUNTIF('Résultats des tournois'!$B56:'Résultats des tournois'!AC56,"&lt;&gt;")&lt;=15,24,16))</f>
        <v>32</v>
      </c>
      <c r="AD56" s="15">
        <f>IF(COUNTIF('Résultats des tournois'!$B56:'Résultats des tournois'!AD56,"&lt;&gt;")&lt;=5,32,IF(COUNTIF('Résultats des tournois'!$B56:'Résultats des tournois'!AD56,"&lt;&gt;")&lt;=15,24,16))</f>
        <v>32</v>
      </c>
      <c r="AE56" s="15">
        <f>IF(COUNTIF('Résultats des tournois'!$B56:'Résultats des tournois'!AE56,"&lt;&gt;")&lt;=5,32,IF(COUNTIF('Résultats des tournois'!$B56:'Résultats des tournois'!AE56,"&lt;&gt;")&lt;=15,24,16))</f>
        <v>32</v>
      </c>
      <c r="AF56" s="15">
        <f>IF(COUNTIF('Résultats des tournois'!$B56:'Résultats des tournois'!AF56,"&lt;&gt;")&lt;=5,32,IF(COUNTIF('Résultats des tournois'!$B56:'Résultats des tournois'!AF56,"&lt;&gt;")&lt;=15,24,16))</f>
        <v>32</v>
      </c>
      <c r="AG56" s="15">
        <f>IF(COUNTIF('Résultats des tournois'!$B56:'Résultats des tournois'!AG56,"&lt;&gt;")&lt;=5,32,IF(COUNTIF('Résultats des tournois'!$B56:'Résultats des tournois'!AG56,"&lt;&gt;")&lt;=15,24,16))</f>
        <v>32</v>
      </c>
      <c r="AH56" s="15">
        <f>IF(COUNTIF('Résultats des tournois'!$B56:'Résultats des tournois'!AH56,"&lt;&gt;")&lt;=5,32,IF(COUNTIF('Résultats des tournois'!$B56:'Résultats des tournois'!AH56,"&lt;&gt;")&lt;=15,24,16))</f>
        <v>32</v>
      </c>
      <c r="AI56" s="15">
        <f>IF(COUNTIF('Résultats des tournois'!$B56:'Résultats des tournois'!AI56,"&lt;&gt;")&lt;=5,32,IF(COUNTIF('Résultats des tournois'!$B56:'Résultats des tournois'!AI56,"&lt;&gt;")&lt;=15,24,16))</f>
        <v>32</v>
      </c>
      <c r="AJ56" s="15">
        <f>IF(COUNTIF('Résultats des tournois'!$B56:'Résultats des tournois'!AJ56,"&lt;&gt;")&lt;=5,32,IF(COUNTIF('Résultats des tournois'!$B56:'Résultats des tournois'!AJ56,"&lt;&gt;")&lt;=15,24,16))</f>
        <v>32</v>
      </c>
      <c r="AK56" s="15">
        <f>IF(COUNTIF('Résultats des tournois'!$B56:'Résultats des tournois'!AK56,"&lt;&gt;")&lt;=5,32,IF(COUNTIF('Résultats des tournois'!$B56:'Résultats des tournois'!AK56,"&lt;&gt;")&lt;=15,24,16))</f>
        <v>32</v>
      </c>
      <c r="AL56" s="15">
        <f>IF(COUNTIF('Résultats des tournois'!$B56:'Résultats des tournois'!AL56,"&lt;&gt;")&lt;=5,32,IF(COUNTIF('Résultats des tournois'!$B56:'Résultats des tournois'!AL56,"&lt;&gt;")&lt;=15,24,16))</f>
        <v>32</v>
      </c>
      <c r="AM56" s="15">
        <f>IF(COUNTIF('Résultats des tournois'!$B56:'Résultats des tournois'!AM56,"&lt;&gt;")&lt;=5,32,IF(COUNTIF('Résultats des tournois'!$B56:'Résultats des tournois'!AM56,"&lt;&gt;")&lt;=15,24,16))</f>
        <v>32</v>
      </c>
      <c r="AN56" s="15">
        <f>IF(COUNTIF('Résultats des tournois'!$B56:'Résultats des tournois'!AN56,"&lt;&gt;")&lt;=5,32,IF(COUNTIF('Résultats des tournois'!$B56:'Résultats des tournois'!AN56,"&lt;&gt;")&lt;=15,24,16))</f>
        <v>32</v>
      </c>
      <c r="AO56" s="15">
        <f>IF(COUNTIF('Résultats des tournois'!$B56:'Résultats des tournois'!AO56,"&lt;&gt;")&lt;=5,32,IF(COUNTIF('Résultats des tournois'!$B56:'Résultats des tournois'!AO56,"&lt;&gt;")&lt;=15,24,16))</f>
        <v>32</v>
      </c>
      <c r="AP56" s="15">
        <f>IF(COUNTIF('Résultats des tournois'!$B56:'Résultats des tournois'!AP56,"&lt;&gt;")&lt;=5,32,IF(COUNTIF('Résultats des tournois'!$B56:'Résultats des tournois'!AP56,"&lt;&gt;")&lt;=15,24,16))</f>
        <v>32</v>
      </c>
      <c r="AQ56" s="15">
        <f>IF(COUNTIF('Résultats des tournois'!$B56:'Résultats des tournois'!AQ56,"&lt;&gt;")&lt;=5,32,IF(COUNTIF('Résultats des tournois'!$B56:'Résultats des tournois'!AQ56,"&lt;&gt;")&lt;=15,24,16))</f>
        <v>32</v>
      </c>
      <c r="AR56" s="15">
        <f>IF(COUNTIF('Résultats des tournois'!$B56:'Résultats des tournois'!AR56,"&lt;&gt;")&lt;=5,32,IF(COUNTIF('Résultats des tournois'!$B56:'Résultats des tournois'!AR56,"&lt;&gt;")&lt;=15,24,16))</f>
        <v>32</v>
      </c>
      <c r="AS56" s="15">
        <f>IF(COUNTIF('Résultats des tournois'!$B56:'Résultats des tournois'!AS56,"&lt;&gt;")&lt;=5,32,IF(COUNTIF('Résultats des tournois'!$B56:'Résultats des tournois'!AS56,"&lt;&gt;")&lt;=15,24,16))</f>
        <v>32</v>
      </c>
      <c r="AT56" s="15">
        <f>IF(COUNTIF('Résultats des tournois'!$B56:'Résultats des tournois'!AT56,"&lt;&gt;")&lt;=5,32,IF(COUNTIF('Résultats des tournois'!$B56:'Résultats des tournois'!AT56,"&lt;&gt;")&lt;=15,24,16))</f>
        <v>32</v>
      </c>
      <c r="AU56" s="15">
        <f>IF(COUNTIF('Résultats des tournois'!$B56:'Résultats des tournois'!AU56,"&lt;&gt;")&lt;=5,32,IF(COUNTIF('Résultats des tournois'!$B56:'Résultats des tournois'!AU56,"&lt;&gt;")&lt;=15,24,16))</f>
        <v>32</v>
      </c>
      <c r="AV56" s="15">
        <f>IF(COUNTIF('Résultats des tournois'!$B56:'Résultats des tournois'!AV56,"&lt;&gt;")&lt;=5,32,IF(COUNTIF('Résultats des tournois'!$B56:'Résultats des tournois'!AV56,"&lt;&gt;")&lt;=15,24,16))</f>
        <v>32</v>
      </c>
      <c r="AW56" s="15">
        <f>IF(COUNTIF('Résultats des tournois'!$B56:'Résultats des tournois'!AW56,"&lt;&gt;")&lt;=5,32,IF(COUNTIF('Résultats des tournois'!$B56:'Résultats des tournois'!AW56,"&lt;&gt;")&lt;=15,24,16))</f>
        <v>32</v>
      </c>
      <c r="AX56" s="15">
        <f>IF(COUNTIF('Résultats des tournois'!$B56:'Résultats des tournois'!AX56,"&lt;&gt;")&lt;=5,32,IF(COUNTIF('Résultats des tournois'!$B56:'Résultats des tournois'!AX56,"&lt;&gt;")&lt;=15,24,16))</f>
        <v>32</v>
      </c>
    </row>
    <row r="57" ht="14.25" customHeight="1">
      <c r="A57" s="15" t="str">
        <f>IF('Résultats des tournois'!A57="","",'Résultats des tournois'!A57)</f>
        <v/>
      </c>
      <c r="B57" s="15">
        <f>IF(COUNTIF('Résultats des tournois'!B57,"&lt;&gt;")&lt;=5,32,IF(COUNTIF('Résultats des tournois'!B57,"&lt;&gt;")&lt;=15,24,16))</f>
        <v>32</v>
      </c>
      <c r="C57" s="15">
        <f>IF(COUNTIF('Résultats des tournois'!$B57:'Résultats des tournois'!C57,"&lt;&gt;")&lt;=5,32,IF(COUNTIF('Résultats des tournois'!$B57:'Résultats des tournois'!C57,"&lt;&gt;")&lt;=15,24,16))</f>
        <v>32</v>
      </c>
      <c r="D57" s="15">
        <f>IF(COUNTIF('Résultats des tournois'!$B57:'Résultats des tournois'!D57,"&lt;&gt;")&lt;=5,32,IF(COUNTIF('Résultats des tournois'!$B57:'Résultats des tournois'!D57,"&lt;&gt;")&lt;=15,24,16))</f>
        <v>32</v>
      </c>
      <c r="E57" s="15">
        <f>IF(COUNTIF('Résultats des tournois'!$B57:'Résultats des tournois'!E57,"&lt;&gt;")&lt;=5,32,IF(COUNTIF('Résultats des tournois'!$B57:'Résultats des tournois'!E57,"&lt;&gt;")&lt;=15,24,16))</f>
        <v>32</v>
      </c>
      <c r="F57" s="15">
        <f>IF(COUNTIF('Résultats des tournois'!$B57:'Résultats des tournois'!F57,"&lt;&gt;")&lt;=5,32,IF(COUNTIF('Résultats des tournois'!$B57:'Résultats des tournois'!F57,"&lt;&gt;")&lt;=15,24,16))</f>
        <v>32</v>
      </c>
      <c r="G57" s="15">
        <f>IF(COUNTIF('Résultats des tournois'!$B57:'Résultats des tournois'!G57,"&lt;&gt;")&lt;=5,32,IF(COUNTIF('Résultats des tournois'!$B57:'Résultats des tournois'!G57,"&lt;&gt;")&lt;=15,24,16))</f>
        <v>32</v>
      </c>
      <c r="H57" s="15">
        <f>IF(COUNTIF('Résultats des tournois'!$B57:'Résultats des tournois'!H57,"&lt;&gt;")&lt;=5,32,IF(COUNTIF('Résultats des tournois'!$B57:'Résultats des tournois'!H57,"&lt;&gt;")&lt;=15,24,16))</f>
        <v>32</v>
      </c>
      <c r="I57" s="15">
        <f>IF(COUNTIF('Résultats des tournois'!$B57:'Résultats des tournois'!I57,"&lt;&gt;")&lt;=5,32,IF(COUNTIF('Résultats des tournois'!$B57:'Résultats des tournois'!I57,"&lt;&gt;")&lt;=15,24,16))</f>
        <v>32</v>
      </c>
      <c r="J57" s="15">
        <f>IF(COUNTIF('Résultats des tournois'!$B57:'Résultats des tournois'!J57,"&lt;&gt;")&lt;=5,32,IF(COUNTIF('Résultats des tournois'!$B57:'Résultats des tournois'!J57,"&lt;&gt;")&lt;=15,24,16))</f>
        <v>32</v>
      </c>
      <c r="K57" s="15">
        <f>IF(COUNTIF('Résultats des tournois'!$B57:'Résultats des tournois'!K57,"&lt;&gt;")&lt;=5,32,IF(COUNTIF('Résultats des tournois'!$B57:'Résultats des tournois'!K57,"&lt;&gt;")&lt;=15,24,16))</f>
        <v>32</v>
      </c>
      <c r="L57" s="15">
        <f>IF(COUNTIF('Résultats des tournois'!$B57:'Résultats des tournois'!L57,"&lt;&gt;")&lt;=5,32,IF(COUNTIF('Résultats des tournois'!$B57:'Résultats des tournois'!L57,"&lt;&gt;")&lt;=15,24,16))</f>
        <v>32</v>
      </c>
      <c r="M57" s="15">
        <f>IF(COUNTIF('Résultats des tournois'!$B57:'Résultats des tournois'!M57,"&lt;&gt;")&lt;=5,32,IF(COUNTIF('Résultats des tournois'!$B57:'Résultats des tournois'!M57,"&lt;&gt;")&lt;=15,24,16))</f>
        <v>32</v>
      </c>
      <c r="N57" s="15">
        <f>IF(COUNTIF('Résultats des tournois'!$B57:'Résultats des tournois'!N57,"&lt;&gt;")&lt;=5,32,IF(COUNTIF('Résultats des tournois'!$B57:'Résultats des tournois'!N57,"&lt;&gt;")&lt;=15,24,16))</f>
        <v>32</v>
      </c>
      <c r="O57" s="15">
        <f>IF(COUNTIF('Résultats des tournois'!$B57:'Résultats des tournois'!O57,"&lt;&gt;")&lt;=5,32,IF(COUNTIF('Résultats des tournois'!$B57:'Résultats des tournois'!O57,"&lt;&gt;")&lt;=15,24,16))</f>
        <v>32</v>
      </c>
      <c r="P57" s="15">
        <f>IF(COUNTIF('Résultats des tournois'!$B57:'Résultats des tournois'!P57,"&lt;&gt;")&lt;=5,32,IF(COUNTIF('Résultats des tournois'!$B57:'Résultats des tournois'!P57,"&lt;&gt;")&lt;=15,24,16))</f>
        <v>32</v>
      </c>
      <c r="Q57" s="15">
        <f>IF(COUNTIF('Résultats des tournois'!$B57:'Résultats des tournois'!Q57,"&lt;&gt;")&lt;=5,32,IF(COUNTIF('Résultats des tournois'!$B57:'Résultats des tournois'!Q57,"&lt;&gt;")&lt;=15,24,16))</f>
        <v>32</v>
      </c>
      <c r="R57" s="15">
        <f>IF(COUNTIF('Résultats des tournois'!$B57:'Résultats des tournois'!R57,"&lt;&gt;")&lt;=5,32,IF(COUNTIF('Résultats des tournois'!$B57:'Résultats des tournois'!R57,"&lt;&gt;")&lt;=15,24,16))</f>
        <v>32</v>
      </c>
      <c r="S57" s="15">
        <f>IF(COUNTIF('Résultats des tournois'!$B57:'Résultats des tournois'!S57,"&lt;&gt;")&lt;=5,32,IF(COUNTIF('Résultats des tournois'!$B57:'Résultats des tournois'!S57,"&lt;&gt;")&lt;=15,24,16))</f>
        <v>32</v>
      </c>
      <c r="T57" s="15">
        <f>IF(COUNTIF('Résultats des tournois'!$B57:'Résultats des tournois'!T57,"&lt;&gt;")&lt;=5,32,IF(COUNTIF('Résultats des tournois'!$B57:'Résultats des tournois'!T57,"&lt;&gt;")&lt;=15,24,16))</f>
        <v>32</v>
      </c>
      <c r="U57" s="15">
        <f>IF(COUNTIF('Résultats des tournois'!$B57:'Résultats des tournois'!U57,"&lt;&gt;")&lt;=5,32,IF(COUNTIF('Résultats des tournois'!$B57:'Résultats des tournois'!U57,"&lt;&gt;")&lt;=15,24,16))</f>
        <v>32</v>
      </c>
      <c r="V57" s="15">
        <f>IF(COUNTIF('Résultats des tournois'!$B57:'Résultats des tournois'!V57,"&lt;&gt;")&lt;=5,32,IF(COUNTIF('Résultats des tournois'!$B57:'Résultats des tournois'!V57,"&lt;&gt;")&lt;=15,24,16))</f>
        <v>32</v>
      </c>
      <c r="W57" s="15">
        <f>IF(COUNTIF('Résultats des tournois'!$B57:'Résultats des tournois'!W57,"&lt;&gt;")&lt;=5,32,IF(COUNTIF('Résultats des tournois'!$B57:'Résultats des tournois'!W57,"&lt;&gt;")&lt;=15,24,16))</f>
        <v>32</v>
      </c>
      <c r="X57" s="15">
        <f>IF(COUNTIF('Résultats des tournois'!$B57:'Résultats des tournois'!X57,"&lt;&gt;")&lt;=5,32,IF(COUNTIF('Résultats des tournois'!$B57:'Résultats des tournois'!X57,"&lt;&gt;")&lt;=15,24,16))</f>
        <v>32</v>
      </c>
      <c r="Y57" s="15">
        <f>IF(COUNTIF('Résultats des tournois'!$B57:'Résultats des tournois'!Y57,"&lt;&gt;")&lt;=5,32,IF(COUNTIF('Résultats des tournois'!$B57:'Résultats des tournois'!Y57,"&lt;&gt;")&lt;=15,24,16))</f>
        <v>32</v>
      </c>
      <c r="Z57" s="15">
        <f>IF(COUNTIF('Résultats des tournois'!$B57:'Résultats des tournois'!Z57,"&lt;&gt;")&lt;=5,32,IF(COUNTIF('Résultats des tournois'!$B57:'Résultats des tournois'!Z57,"&lt;&gt;")&lt;=15,24,16))</f>
        <v>32</v>
      </c>
      <c r="AA57" s="15">
        <f>IF(COUNTIF('Résultats des tournois'!$B57:'Résultats des tournois'!AA57,"&lt;&gt;")&lt;=5,32,IF(COUNTIF('Résultats des tournois'!$B57:'Résultats des tournois'!AA57,"&lt;&gt;")&lt;=15,24,16))</f>
        <v>32</v>
      </c>
      <c r="AB57" s="15">
        <f>IF(COUNTIF('Résultats des tournois'!$B57:'Résultats des tournois'!AB57,"&lt;&gt;")&lt;=5,32,IF(COUNTIF('Résultats des tournois'!$B57:'Résultats des tournois'!AB57,"&lt;&gt;")&lt;=15,24,16))</f>
        <v>32</v>
      </c>
      <c r="AC57" s="15">
        <f>IF(COUNTIF('Résultats des tournois'!$B57:'Résultats des tournois'!AC57,"&lt;&gt;")&lt;=5,32,IF(COUNTIF('Résultats des tournois'!$B57:'Résultats des tournois'!AC57,"&lt;&gt;")&lt;=15,24,16))</f>
        <v>32</v>
      </c>
      <c r="AD57" s="15">
        <f>IF(COUNTIF('Résultats des tournois'!$B57:'Résultats des tournois'!AD57,"&lt;&gt;")&lt;=5,32,IF(COUNTIF('Résultats des tournois'!$B57:'Résultats des tournois'!AD57,"&lt;&gt;")&lt;=15,24,16))</f>
        <v>32</v>
      </c>
      <c r="AE57" s="15">
        <f>IF(COUNTIF('Résultats des tournois'!$B57:'Résultats des tournois'!AE57,"&lt;&gt;")&lt;=5,32,IF(COUNTIF('Résultats des tournois'!$B57:'Résultats des tournois'!AE57,"&lt;&gt;")&lt;=15,24,16))</f>
        <v>32</v>
      </c>
      <c r="AF57" s="15">
        <f>IF(COUNTIF('Résultats des tournois'!$B57:'Résultats des tournois'!AF57,"&lt;&gt;")&lt;=5,32,IF(COUNTIF('Résultats des tournois'!$B57:'Résultats des tournois'!AF57,"&lt;&gt;")&lt;=15,24,16))</f>
        <v>32</v>
      </c>
      <c r="AG57" s="15">
        <f>IF(COUNTIF('Résultats des tournois'!$B57:'Résultats des tournois'!AG57,"&lt;&gt;")&lt;=5,32,IF(COUNTIF('Résultats des tournois'!$B57:'Résultats des tournois'!AG57,"&lt;&gt;")&lt;=15,24,16))</f>
        <v>32</v>
      </c>
      <c r="AH57" s="15">
        <f>IF(COUNTIF('Résultats des tournois'!$B57:'Résultats des tournois'!AH57,"&lt;&gt;")&lt;=5,32,IF(COUNTIF('Résultats des tournois'!$B57:'Résultats des tournois'!AH57,"&lt;&gt;")&lt;=15,24,16))</f>
        <v>32</v>
      </c>
      <c r="AI57" s="15">
        <f>IF(COUNTIF('Résultats des tournois'!$B57:'Résultats des tournois'!AI57,"&lt;&gt;")&lt;=5,32,IF(COUNTIF('Résultats des tournois'!$B57:'Résultats des tournois'!AI57,"&lt;&gt;")&lt;=15,24,16))</f>
        <v>32</v>
      </c>
      <c r="AJ57" s="15">
        <f>IF(COUNTIF('Résultats des tournois'!$B57:'Résultats des tournois'!AJ57,"&lt;&gt;")&lt;=5,32,IF(COUNTIF('Résultats des tournois'!$B57:'Résultats des tournois'!AJ57,"&lt;&gt;")&lt;=15,24,16))</f>
        <v>32</v>
      </c>
      <c r="AK57" s="15">
        <f>IF(COUNTIF('Résultats des tournois'!$B57:'Résultats des tournois'!AK57,"&lt;&gt;")&lt;=5,32,IF(COUNTIF('Résultats des tournois'!$B57:'Résultats des tournois'!AK57,"&lt;&gt;")&lt;=15,24,16))</f>
        <v>32</v>
      </c>
      <c r="AL57" s="15">
        <f>IF(COUNTIF('Résultats des tournois'!$B57:'Résultats des tournois'!AL57,"&lt;&gt;")&lt;=5,32,IF(COUNTIF('Résultats des tournois'!$B57:'Résultats des tournois'!AL57,"&lt;&gt;")&lt;=15,24,16))</f>
        <v>32</v>
      </c>
      <c r="AM57" s="15">
        <f>IF(COUNTIF('Résultats des tournois'!$B57:'Résultats des tournois'!AM57,"&lt;&gt;")&lt;=5,32,IF(COUNTIF('Résultats des tournois'!$B57:'Résultats des tournois'!AM57,"&lt;&gt;")&lt;=15,24,16))</f>
        <v>32</v>
      </c>
      <c r="AN57" s="15">
        <f>IF(COUNTIF('Résultats des tournois'!$B57:'Résultats des tournois'!AN57,"&lt;&gt;")&lt;=5,32,IF(COUNTIF('Résultats des tournois'!$B57:'Résultats des tournois'!AN57,"&lt;&gt;")&lt;=15,24,16))</f>
        <v>32</v>
      </c>
      <c r="AO57" s="15">
        <f>IF(COUNTIF('Résultats des tournois'!$B57:'Résultats des tournois'!AO57,"&lt;&gt;")&lt;=5,32,IF(COUNTIF('Résultats des tournois'!$B57:'Résultats des tournois'!AO57,"&lt;&gt;")&lt;=15,24,16))</f>
        <v>32</v>
      </c>
      <c r="AP57" s="15">
        <f>IF(COUNTIF('Résultats des tournois'!$B57:'Résultats des tournois'!AP57,"&lt;&gt;")&lt;=5,32,IF(COUNTIF('Résultats des tournois'!$B57:'Résultats des tournois'!AP57,"&lt;&gt;")&lt;=15,24,16))</f>
        <v>32</v>
      </c>
      <c r="AQ57" s="15">
        <f>IF(COUNTIF('Résultats des tournois'!$B57:'Résultats des tournois'!AQ57,"&lt;&gt;")&lt;=5,32,IF(COUNTIF('Résultats des tournois'!$B57:'Résultats des tournois'!AQ57,"&lt;&gt;")&lt;=15,24,16))</f>
        <v>32</v>
      </c>
      <c r="AR57" s="15">
        <f>IF(COUNTIF('Résultats des tournois'!$B57:'Résultats des tournois'!AR57,"&lt;&gt;")&lt;=5,32,IF(COUNTIF('Résultats des tournois'!$B57:'Résultats des tournois'!AR57,"&lt;&gt;")&lt;=15,24,16))</f>
        <v>32</v>
      </c>
      <c r="AS57" s="15">
        <f>IF(COUNTIF('Résultats des tournois'!$B57:'Résultats des tournois'!AS57,"&lt;&gt;")&lt;=5,32,IF(COUNTIF('Résultats des tournois'!$B57:'Résultats des tournois'!AS57,"&lt;&gt;")&lt;=15,24,16))</f>
        <v>32</v>
      </c>
      <c r="AT57" s="15">
        <f>IF(COUNTIF('Résultats des tournois'!$B57:'Résultats des tournois'!AT57,"&lt;&gt;")&lt;=5,32,IF(COUNTIF('Résultats des tournois'!$B57:'Résultats des tournois'!AT57,"&lt;&gt;")&lt;=15,24,16))</f>
        <v>32</v>
      </c>
      <c r="AU57" s="15">
        <f>IF(COUNTIF('Résultats des tournois'!$B57:'Résultats des tournois'!AU57,"&lt;&gt;")&lt;=5,32,IF(COUNTIF('Résultats des tournois'!$B57:'Résultats des tournois'!AU57,"&lt;&gt;")&lt;=15,24,16))</f>
        <v>32</v>
      </c>
      <c r="AV57" s="15">
        <f>IF(COUNTIF('Résultats des tournois'!$B57:'Résultats des tournois'!AV57,"&lt;&gt;")&lt;=5,32,IF(COUNTIF('Résultats des tournois'!$B57:'Résultats des tournois'!AV57,"&lt;&gt;")&lt;=15,24,16))</f>
        <v>32</v>
      </c>
      <c r="AW57" s="15">
        <f>IF(COUNTIF('Résultats des tournois'!$B57:'Résultats des tournois'!AW57,"&lt;&gt;")&lt;=5,32,IF(COUNTIF('Résultats des tournois'!$B57:'Résultats des tournois'!AW57,"&lt;&gt;")&lt;=15,24,16))</f>
        <v>32</v>
      </c>
      <c r="AX57" s="15">
        <f>IF(COUNTIF('Résultats des tournois'!$B57:'Résultats des tournois'!AX57,"&lt;&gt;")&lt;=5,32,IF(COUNTIF('Résultats des tournois'!$B57:'Résultats des tournois'!AX57,"&lt;&gt;")&lt;=15,24,16))</f>
        <v>32</v>
      </c>
    </row>
    <row r="58" ht="14.25" customHeight="1">
      <c r="A58" s="15" t="str">
        <f>IF('Résultats des tournois'!A58="","",'Résultats des tournois'!A58)</f>
        <v/>
      </c>
      <c r="B58" s="15">
        <f>IF(COUNTIF('Résultats des tournois'!B58,"&lt;&gt;")&lt;=5,32,IF(COUNTIF('Résultats des tournois'!B58,"&lt;&gt;")&lt;=15,24,16))</f>
        <v>32</v>
      </c>
      <c r="C58" s="15">
        <f>IF(COUNTIF('Résultats des tournois'!$B58:'Résultats des tournois'!C58,"&lt;&gt;")&lt;=5,32,IF(COUNTIF('Résultats des tournois'!$B58:'Résultats des tournois'!C58,"&lt;&gt;")&lt;=15,24,16))</f>
        <v>32</v>
      </c>
      <c r="D58" s="15">
        <f>IF(COUNTIF('Résultats des tournois'!$B58:'Résultats des tournois'!D58,"&lt;&gt;")&lt;=5,32,IF(COUNTIF('Résultats des tournois'!$B58:'Résultats des tournois'!D58,"&lt;&gt;")&lt;=15,24,16))</f>
        <v>32</v>
      </c>
      <c r="E58" s="15">
        <f>IF(COUNTIF('Résultats des tournois'!$B58:'Résultats des tournois'!E58,"&lt;&gt;")&lt;=5,32,IF(COUNTIF('Résultats des tournois'!$B58:'Résultats des tournois'!E58,"&lt;&gt;")&lt;=15,24,16))</f>
        <v>32</v>
      </c>
      <c r="F58" s="15">
        <f>IF(COUNTIF('Résultats des tournois'!$B58:'Résultats des tournois'!F58,"&lt;&gt;")&lt;=5,32,IF(COUNTIF('Résultats des tournois'!$B58:'Résultats des tournois'!F58,"&lt;&gt;")&lt;=15,24,16))</f>
        <v>32</v>
      </c>
      <c r="G58" s="15">
        <f>IF(COUNTIF('Résultats des tournois'!$B58:'Résultats des tournois'!G58,"&lt;&gt;")&lt;=5,32,IF(COUNTIF('Résultats des tournois'!$B58:'Résultats des tournois'!G58,"&lt;&gt;")&lt;=15,24,16))</f>
        <v>32</v>
      </c>
      <c r="H58" s="15">
        <f>IF(COUNTIF('Résultats des tournois'!$B58:'Résultats des tournois'!H58,"&lt;&gt;")&lt;=5,32,IF(COUNTIF('Résultats des tournois'!$B58:'Résultats des tournois'!H58,"&lt;&gt;")&lt;=15,24,16))</f>
        <v>32</v>
      </c>
      <c r="I58" s="15">
        <f>IF(COUNTIF('Résultats des tournois'!$B58:'Résultats des tournois'!I58,"&lt;&gt;")&lt;=5,32,IF(COUNTIF('Résultats des tournois'!$B58:'Résultats des tournois'!I58,"&lt;&gt;")&lt;=15,24,16))</f>
        <v>32</v>
      </c>
      <c r="J58" s="15">
        <f>IF(COUNTIF('Résultats des tournois'!$B58:'Résultats des tournois'!J58,"&lt;&gt;")&lt;=5,32,IF(COUNTIF('Résultats des tournois'!$B58:'Résultats des tournois'!J58,"&lt;&gt;")&lt;=15,24,16))</f>
        <v>32</v>
      </c>
      <c r="K58" s="15">
        <f>IF(COUNTIF('Résultats des tournois'!$B58:'Résultats des tournois'!K58,"&lt;&gt;")&lt;=5,32,IF(COUNTIF('Résultats des tournois'!$B58:'Résultats des tournois'!K58,"&lt;&gt;")&lt;=15,24,16))</f>
        <v>32</v>
      </c>
      <c r="L58" s="15">
        <f>IF(COUNTIF('Résultats des tournois'!$B58:'Résultats des tournois'!L58,"&lt;&gt;")&lt;=5,32,IF(COUNTIF('Résultats des tournois'!$B58:'Résultats des tournois'!L58,"&lt;&gt;")&lt;=15,24,16))</f>
        <v>32</v>
      </c>
      <c r="M58" s="15">
        <f>IF(COUNTIF('Résultats des tournois'!$B58:'Résultats des tournois'!M58,"&lt;&gt;")&lt;=5,32,IF(COUNTIF('Résultats des tournois'!$B58:'Résultats des tournois'!M58,"&lt;&gt;")&lt;=15,24,16))</f>
        <v>32</v>
      </c>
      <c r="N58" s="15">
        <f>IF(COUNTIF('Résultats des tournois'!$B58:'Résultats des tournois'!N58,"&lt;&gt;")&lt;=5,32,IF(COUNTIF('Résultats des tournois'!$B58:'Résultats des tournois'!N58,"&lt;&gt;")&lt;=15,24,16))</f>
        <v>32</v>
      </c>
      <c r="O58" s="15">
        <f>IF(COUNTIF('Résultats des tournois'!$B58:'Résultats des tournois'!O58,"&lt;&gt;")&lt;=5,32,IF(COUNTIF('Résultats des tournois'!$B58:'Résultats des tournois'!O58,"&lt;&gt;")&lt;=15,24,16))</f>
        <v>32</v>
      </c>
      <c r="P58" s="15">
        <f>IF(COUNTIF('Résultats des tournois'!$B58:'Résultats des tournois'!P58,"&lt;&gt;")&lt;=5,32,IF(COUNTIF('Résultats des tournois'!$B58:'Résultats des tournois'!P58,"&lt;&gt;")&lt;=15,24,16))</f>
        <v>32</v>
      </c>
      <c r="Q58" s="15">
        <f>IF(COUNTIF('Résultats des tournois'!$B58:'Résultats des tournois'!Q58,"&lt;&gt;")&lt;=5,32,IF(COUNTIF('Résultats des tournois'!$B58:'Résultats des tournois'!Q58,"&lt;&gt;")&lt;=15,24,16))</f>
        <v>32</v>
      </c>
      <c r="R58" s="15">
        <f>IF(COUNTIF('Résultats des tournois'!$B58:'Résultats des tournois'!R58,"&lt;&gt;")&lt;=5,32,IF(COUNTIF('Résultats des tournois'!$B58:'Résultats des tournois'!R58,"&lt;&gt;")&lt;=15,24,16))</f>
        <v>32</v>
      </c>
      <c r="S58" s="15">
        <f>IF(COUNTIF('Résultats des tournois'!$B58:'Résultats des tournois'!S58,"&lt;&gt;")&lt;=5,32,IF(COUNTIF('Résultats des tournois'!$B58:'Résultats des tournois'!S58,"&lt;&gt;")&lt;=15,24,16))</f>
        <v>32</v>
      </c>
      <c r="T58" s="15">
        <f>IF(COUNTIF('Résultats des tournois'!$B58:'Résultats des tournois'!T58,"&lt;&gt;")&lt;=5,32,IF(COUNTIF('Résultats des tournois'!$B58:'Résultats des tournois'!T58,"&lt;&gt;")&lt;=15,24,16))</f>
        <v>32</v>
      </c>
      <c r="U58" s="15">
        <f>IF(COUNTIF('Résultats des tournois'!$B58:'Résultats des tournois'!U58,"&lt;&gt;")&lt;=5,32,IF(COUNTIF('Résultats des tournois'!$B58:'Résultats des tournois'!U58,"&lt;&gt;")&lt;=15,24,16))</f>
        <v>32</v>
      </c>
      <c r="V58" s="15">
        <f>IF(COUNTIF('Résultats des tournois'!$B58:'Résultats des tournois'!V58,"&lt;&gt;")&lt;=5,32,IF(COUNTIF('Résultats des tournois'!$B58:'Résultats des tournois'!V58,"&lt;&gt;")&lt;=15,24,16))</f>
        <v>32</v>
      </c>
      <c r="W58" s="15">
        <f>IF(COUNTIF('Résultats des tournois'!$B58:'Résultats des tournois'!W58,"&lt;&gt;")&lt;=5,32,IF(COUNTIF('Résultats des tournois'!$B58:'Résultats des tournois'!W58,"&lt;&gt;")&lt;=15,24,16))</f>
        <v>32</v>
      </c>
      <c r="X58" s="15">
        <f>IF(COUNTIF('Résultats des tournois'!$B58:'Résultats des tournois'!X58,"&lt;&gt;")&lt;=5,32,IF(COUNTIF('Résultats des tournois'!$B58:'Résultats des tournois'!X58,"&lt;&gt;")&lt;=15,24,16))</f>
        <v>32</v>
      </c>
      <c r="Y58" s="15">
        <f>IF(COUNTIF('Résultats des tournois'!$B58:'Résultats des tournois'!Y58,"&lt;&gt;")&lt;=5,32,IF(COUNTIF('Résultats des tournois'!$B58:'Résultats des tournois'!Y58,"&lt;&gt;")&lt;=15,24,16))</f>
        <v>32</v>
      </c>
      <c r="Z58" s="15">
        <f>IF(COUNTIF('Résultats des tournois'!$B58:'Résultats des tournois'!Z58,"&lt;&gt;")&lt;=5,32,IF(COUNTIF('Résultats des tournois'!$B58:'Résultats des tournois'!Z58,"&lt;&gt;")&lt;=15,24,16))</f>
        <v>32</v>
      </c>
      <c r="AA58" s="15">
        <f>IF(COUNTIF('Résultats des tournois'!$B58:'Résultats des tournois'!AA58,"&lt;&gt;")&lt;=5,32,IF(COUNTIF('Résultats des tournois'!$B58:'Résultats des tournois'!AA58,"&lt;&gt;")&lt;=15,24,16))</f>
        <v>32</v>
      </c>
      <c r="AB58" s="15">
        <f>IF(COUNTIF('Résultats des tournois'!$B58:'Résultats des tournois'!AB58,"&lt;&gt;")&lt;=5,32,IF(COUNTIF('Résultats des tournois'!$B58:'Résultats des tournois'!AB58,"&lt;&gt;")&lt;=15,24,16))</f>
        <v>32</v>
      </c>
      <c r="AC58" s="15">
        <f>IF(COUNTIF('Résultats des tournois'!$B58:'Résultats des tournois'!AC58,"&lt;&gt;")&lt;=5,32,IF(COUNTIF('Résultats des tournois'!$B58:'Résultats des tournois'!AC58,"&lt;&gt;")&lt;=15,24,16))</f>
        <v>32</v>
      </c>
      <c r="AD58" s="15">
        <f>IF(COUNTIF('Résultats des tournois'!$B58:'Résultats des tournois'!AD58,"&lt;&gt;")&lt;=5,32,IF(COUNTIF('Résultats des tournois'!$B58:'Résultats des tournois'!AD58,"&lt;&gt;")&lt;=15,24,16))</f>
        <v>32</v>
      </c>
      <c r="AE58" s="15">
        <f>IF(COUNTIF('Résultats des tournois'!$B58:'Résultats des tournois'!AE58,"&lt;&gt;")&lt;=5,32,IF(COUNTIF('Résultats des tournois'!$B58:'Résultats des tournois'!AE58,"&lt;&gt;")&lt;=15,24,16))</f>
        <v>32</v>
      </c>
      <c r="AF58" s="15">
        <f>IF(COUNTIF('Résultats des tournois'!$B58:'Résultats des tournois'!AF58,"&lt;&gt;")&lt;=5,32,IF(COUNTIF('Résultats des tournois'!$B58:'Résultats des tournois'!AF58,"&lt;&gt;")&lt;=15,24,16))</f>
        <v>32</v>
      </c>
      <c r="AG58" s="15">
        <f>IF(COUNTIF('Résultats des tournois'!$B58:'Résultats des tournois'!AG58,"&lt;&gt;")&lt;=5,32,IF(COUNTIF('Résultats des tournois'!$B58:'Résultats des tournois'!AG58,"&lt;&gt;")&lt;=15,24,16))</f>
        <v>32</v>
      </c>
      <c r="AH58" s="15">
        <f>IF(COUNTIF('Résultats des tournois'!$B58:'Résultats des tournois'!AH58,"&lt;&gt;")&lt;=5,32,IF(COUNTIF('Résultats des tournois'!$B58:'Résultats des tournois'!AH58,"&lt;&gt;")&lt;=15,24,16))</f>
        <v>32</v>
      </c>
      <c r="AI58" s="15">
        <f>IF(COUNTIF('Résultats des tournois'!$B58:'Résultats des tournois'!AI58,"&lt;&gt;")&lt;=5,32,IF(COUNTIF('Résultats des tournois'!$B58:'Résultats des tournois'!AI58,"&lt;&gt;")&lt;=15,24,16))</f>
        <v>32</v>
      </c>
      <c r="AJ58" s="15">
        <f>IF(COUNTIF('Résultats des tournois'!$B58:'Résultats des tournois'!AJ58,"&lt;&gt;")&lt;=5,32,IF(COUNTIF('Résultats des tournois'!$B58:'Résultats des tournois'!AJ58,"&lt;&gt;")&lt;=15,24,16))</f>
        <v>32</v>
      </c>
      <c r="AK58" s="15">
        <f>IF(COUNTIF('Résultats des tournois'!$B58:'Résultats des tournois'!AK58,"&lt;&gt;")&lt;=5,32,IF(COUNTIF('Résultats des tournois'!$B58:'Résultats des tournois'!AK58,"&lt;&gt;")&lt;=15,24,16))</f>
        <v>32</v>
      </c>
      <c r="AL58" s="15">
        <f>IF(COUNTIF('Résultats des tournois'!$B58:'Résultats des tournois'!AL58,"&lt;&gt;")&lt;=5,32,IF(COUNTIF('Résultats des tournois'!$B58:'Résultats des tournois'!AL58,"&lt;&gt;")&lt;=15,24,16))</f>
        <v>32</v>
      </c>
      <c r="AM58" s="15">
        <f>IF(COUNTIF('Résultats des tournois'!$B58:'Résultats des tournois'!AM58,"&lt;&gt;")&lt;=5,32,IF(COUNTIF('Résultats des tournois'!$B58:'Résultats des tournois'!AM58,"&lt;&gt;")&lt;=15,24,16))</f>
        <v>32</v>
      </c>
      <c r="AN58" s="15">
        <f>IF(COUNTIF('Résultats des tournois'!$B58:'Résultats des tournois'!AN58,"&lt;&gt;")&lt;=5,32,IF(COUNTIF('Résultats des tournois'!$B58:'Résultats des tournois'!AN58,"&lt;&gt;")&lt;=15,24,16))</f>
        <v>32</v>
      </c>
      <c r="AO58" s="15">
        <f>IF(COUNTIF('Résultats des tournois'!$B58:'Résultats des tournois'!AO58,"&lt;&gt;")&lt;=5,32,IF(COUNTIF('Résultats des tournois'!$B58:'Résultats des tournois'!AO58,"&lt;&gt;")&lt;=15,24,16))</f>
        <v>32</v>
      </c>
      <c r="AP58" s="15">
        <f>IF(COUNTIF('Résultats des tournois'!$B58:'Résultats des tournois'!AP58,"&lt;&gt;")&lt;=5,32,IF(COUNTIF('Résultats des tournois'!$B58:'Résultats des tournois'!AP58,"&lt;&gt;")&lt;=15,24,16))</f>
        <v>32</v>
      </c>
      <c r="AQ58" s="15">
        <f>IF(COUNTIF('Résultats des tournois'!$B58:'Résultats des tournois'!AQ58,"&lt;&gt;")&lt;=5,32,IF(COUNTIF('Résultats des tournois'!$B58:'Résultats des tournois'!AQ58,"&lt;&gt;")&lt;=15,24,16))</f>
        <v>32</v>
      </c>
      <c r="AR58" s="15">
        <f>IF(COUNTIF('Résultats des tournois'!$B58:'Résultats des tournois'!AR58,"&lt;&gt;")&lt;=5,32,IF(COUNTIF('Résultats des tournois'!$B58:'Résultats des tournois'!AR58,"&lt;&gt;")&lt;=15,24,16))</f>
        <v>32</v>
      </c>
      <c r="AS58" s="15">
        <f>IF(COUNTIF('Résultats des tournois'!$B58:'Résultats des tournois'!AS58,"&lt;&gt;")&lt;=5,32,IF(COUNTIF('Résultats des tournois'!$B58:'Résultats des tournois'!AS58,"&lt;&gt;")&lt;=15,24,16))</f>
        <v>32</v>
      </c>
      <c r="AT58" s="15">
        <f>IF(COUNTIF('Résultats des tournois'!$B58:'Résultats des tournois'!AT58,"&lt;&gt;")&lt;=5,32,IF(COUNTIF('Résultats des tournois'!$B58:'Résultats des tournois'!AT58,"&lt;&gt;")&lt;=15,24,16))</f>
        <v>32</v>
      </c>
      <c r="AU58" s="15">
        <f>IF(COUNTIF('Résultats des tournois'!$B58:'Résultats des tournois'!AU58,"&lt;&gt;")&lt;=5,32,IF(COUNTIF('Résultats des tournois'!$B58:'Résultats des tournois'!AU58,"&lt;&gt;")&lt;=15,24,16))</f>
        <v>32</v>
      </c>
      <c r="AV58" s="15">
        <f>IF(COUNTIF('Résultats des tournois'!$B58:'Résultats des tournois'!AV58,"&lt;&gt;")&lt;=5,32,IF(COUNTIF('Résultats des tournois'!$B58:'Résultats des tournois'!AV58,"&lt;&gt;")&lt;=15,24,16))</f>
        <v>32</v>
      </c>
      <c r="AW58" s="15">
        <f>IF(COUNTIF('Résultats des tournois'!$B58:'Résultats des tournois'!AW58,"&lt;&gt;")&lt;=5,32,IF(COUNTIF('Résultats des tournois'!$B58:'Résultats des tournois'!AW58,"&lt;&gt;")&lt;=15,24,16))</f>
        <v>32</v>
      </c>
      <c r="AX58" s="15">
        <f>IF(COUNTIF('Résultats des tournois'!$B58:'Résultats des tournois'!AX58,"&lt;&gt;")&lt;=5,32,IF(COUNTIF('Résultats des tournois'!$B58:'Résultats des tournois'!AX58,"&lt;&gt;")&lt;=15,24,16))</f>
        <v>32</v>
      </c>
    </row>
    <row r="59" ht="14.25" customHeight="1">
      <c r="A59" s="15" t="str">
        <f>IF('Résultats des tournois'!A59="","",'Résultats des tournois'!A59)</f>
        <v/>
      </c>
      <c r="B59" s="15">
        <f>IF(COUNTIF('Résultats des tournois'!B59,"&lt;&gt;")&lt;=5,32,IF(COUNTIF('Résultats des tournois'!B59,"&lt;&gt;")&lt;=15,24,16))</f>
        <v>32</v>
      </c>
      <c r="C59" s="15">
        <f>IF(COUNTIF('Résultats des tournois'!$B59:'Résultats des tournois'!C59,"&lt;&gt;")&lt;=5,32,IF(COUNTIF('Résultats des tournois'!$B59:'Résultats des tournois'!C59,"&lt;&gt;")&lt;=15,24,16))</f>
        <v>32</v>
      </c>
      <c r="D59" s="15">
        <f>IF(COUNTIF('Résultats des tournois'!$B59:'Résultats des tournois'!D59,"&lt;&gt;")&lt;=5,32,IF(COUNTIF('Résultats des tournois'!$B59:'Résultats des tournois'!D59,"&lt;&gt;")&lt;=15,24,16))</f>
        <v>32</v>
      </c>
      <c r="E59" s="15">
        <f>IF(COUNTIF('Résultats des tournois'!$B59:'Résultats des tournois'!E59,"&lt;&gt;")&lt;=5,32,IF(COUNTIF('Résultats des tournois'!$B59:'Résultats des tournois'!E59,"&lt;&gt;")&lt;=15,24,16))</f>
        <v>32</v>
      </c>
      <c r="F59" s="15">
        <f>IF(COUNTIF('Résultats des tournois'!$B59:'Résultats des tournois'!F59,"&lt;&gt;")&lt;=5,32,IF(COUNTIF('Résultats des tournois'!$B59:'Résultats des tournois'!F59,"&lt;&gt;")&lt;=15,24,16))</f>
        <v>32</v>
      </c>
      <c r="G59" s="15">
        <f>IF(COUNTIF('Résultats des tournois'!$B59:'Résultats des tournois'!G59,"&lt;&gt;")&lt;=5,32,IF(COUNTIF('Résultats des tournois'!$B59:'Résultats des tournois'!G59,"&lt;&gt;")&lt;=15,24,16))</f>
        <v>32</v>
      </c>
      <c r="H59" s="15">
        <f>IF(COUNTIF('Résultats des tournois'!$B59:'Résultats des tournois'!H59,"&lt;&gt;")&lt;=5,32,IF(COUNTIF('Résultats des tournois'!$B59:'Résultats des tournois'!H59,"&lt;&gt;")&lt;=15,24,16))</f>
        <v>32</v>
      </c>
      <c r="I59" s="15">
        <f>IF(COUNTIF('Résultats des tournois'!$B59:'Résultats des tournois'!I59,"&lt;&gt;")&lt;=5,32,IF(COUNTIF('Résultats des tournois'!$B59:'Résultats des tournois'!I59,"&lt;&gt;")&lt;=15,24,16))</f>
        <v>32</v>
      </c>
      <c r="J59" s="15">
        <f>IF(COUNTIF('Résultats des tournois'!$B59:'Résultats des tournois'!J59,"&lt;&gt;")&lt;=5,32,IF(COUNTIF('Résultats des tournois'!$B59:'Résultats des tournois'!J59,"&lt;&gt;")&lt;=15,24,16))</f>
        <v>32</v>
      </c>
      <c r="K59" s="15">
        <f>IF(COUNTIF('Résultats des tournois'!$B59:'Résultats des tournois'!K59,"&lt;&gt;")&lt;=5,32,IF(COUNTIF('Résultats des tournois'!$B59:'Résultats des tournois'!K59,"&lt;&gt;")&lt;=15,24,16))</f>
        <v>32</v>
      </c>
      <c r="L59" s="15">
        <f>IF(COUNTIF('Résultats des tournois'!$B59:'Résultats des tournois'!L59,"&lt;&gt;")&lt;=5,32,IF(COUNTIF('Résultats des tournois'!$B59:'Résultats des tournois'!L59,"&lt;&gt;")&lt;=15,24,16))</f>
        <v>32</v>
      </c>
      <c r="M59" s="15">
        <f>IF(COUNTIF('Résultats des tournois'!$B59:'Résultats des tournois'!M59,"&lt;&gt;")&lt;=5,32,IF(COUNTIF('Résultats des tournois'!$B59:'Résultats des tournois'!M59,"&lt;&gt;")&lt;=15,24,16))</f>
        <v>32</v>
      </c>
      <c r="N59" s="15">
        <f>IF(COUNTIF('Résultats des tournois'!$B59:'Résultats des tournois'!N59,"&lt;&gt;")&lt;=5,32,IF(COUNTIF('Résultats des tournois'!$B59:'Résultats des tournois'!N59,"&lt;&gt;")&lt;=15,24,16))</f>
        <v>32</v>
      </c>
      <c r="O59" s="15">
        <f>IF(COUNTIF('Résultats des tournois'!$B59:'Résultats des tournois'!O59,"&lt;&gt;")&lt;=5,32,IF(COUNTIF('Résultats des tournois'!$B59:'Résultats des tournois'!O59,"&lt;&gt;")&lt;=15,24,16))</f>
        <v>32</v>
      </c>
      <c r="P59" s="15">
        <f>IF(COUNTIF('Résultats des tournois'!$B59:'Résultats des tournois'!P59,"&lt;&gt;")&lt;=5,32,IF(COUNTIF('Résultats des tournois'!$B59:'Résultats des tournois'!P59,"&lt;&gt;")&lt;=15,24,16))</f>
        <v>32</v>
      </c>
      <c r="Q59" s="15">
        <f>IF(COUNTIF('Résultats des tournois'!$B59:'Résultats des tournois'!Q59,"&lt;&gt;")&lt;=5,32,IF(COUNTIF('Résultats des tournois'!$B59:'Résultats des tournois'!Q59,"&lt;&gt;")&lt;=15,24,16))</f>
        <v>32</v>
      </c>
      <c r="R59" s="15">
        <f>IF(COUNTIF('Résultats des tournois'!$B59:'Résultats des tournois'!R59,"&lt;&gt;")&lt;=5,32,IF(COUNTIF('Résultats des tournois'!$B59:'Résultats des tournois'!R59,"&lt;&gt;")&lt;=15,24,16))</f>
        <v>32</v>
      </c>
      <c r="S59" s="15">
        <f>IF(COUNTIF('Résultats des tournois'!$B59:'Résultats des tournois'!S59,"&lt;&gt;")&lt;=5,32,IF(COUNTIF('Résultats des tournois'!$B59:'Résultats des tournois'!S59,"&lt;&gt;")&lt;=15,24,16))</f>
        <v>32</v>
      </c>
      <c r="T59" s="15">
        <f>IF(COUNTIF('Résultats des tournois'!$B59:'Résultats des tournois'!T59,"&lt;&gt;")&lt;=5,32,IF(COUNTIF('Résultats des tournois'!$B59:'Résultats des tournois'!T59,"&lt;&gt;")&lt;=15,24,16))</f>
        <v>32</v>
      </c>
      <c r="U59" s="15">
        <f>IF(COUNTIF('Résultats des tournois'!$B59:'Résultats des tournois'!U59,"&lt;&gt;")&lt;=5,32,IF(COUNTIF('Résultats des tournois'!$B59:'Résultats des tournois'!U59,"&lt;&gt;")&lt;=15,24,16))</f>
        <v>32</v>
      </c>
      <c r="V59" s="15">
        <f>IF(COUNTIF('Résultats des tournois'!$B59:'Résultats des tournois'!V59,"&lt;&gt;")&lt;=5,32,IF(COUNTIF('Résultats des tournois'!$B59:'Résultats des tournois'!V59,"&lt;&gt;")&lt;=15,24,16))</f>
        <v>32</v>
      </c>
      <c r="W59" s="15">
        <f>IF(COUNTIF('Résultats des tournois'!$B59:'Résultats des tournois'!W59,"&lt;&gt;")&lt;=5,32,IF(COUNTIF('Résultats des tournois'!$B59:'Résultats des tournois'!W59,"&lt;&gt;")&lt;=15,24,16))</f>
        <v>32</v>
      </c>
      <c r="X59" s="15">
        <f>IF(COUNTIF('Résultats des tournois'!$B59:'Résultats des tournois'!X59,"&lt;&gt;")&lt;=5,32,IF(COUNTIF('Résultats des tournois'!$B59:'Résultats des tournois'!X59,"&lt;&gt;")&lt;=15,24,16))</f>
        <v>32</v>
      </c>
      <c r="Y59" s="15">
        <f>IF(COUNTIF('Résultats des tournois'!$B59:'Résultats des tournois'!Y59,"&lt;&gt;")&lt;=5,32,IF(COUNTIF('Résultats des tournois'!$B59:'Résultats des tournois'!Y59,"&lt;&gt;")&lt;=15,24,16))</f>
        <v>32</v>
      </c>
      <c r="Z59" s="15">
        <f>IF(COUNTIF('Résultats des tournois'!$B59:'Résultats des tournois'!Z59,"&lt;&gt;")&lt;=5,32,IF(COUNTIF('Résultats des tournois'!$B59:'Résultats des tournois'!Z59,"&lt;&gt;")&lt;=15,24,16))</f>
        <v>32</v>
      </c>
      <c r="AA59" s="15">
        <f>IF(COUNTIF('Résultats des tournois'!$B59:'Résultats des tournois'!AA59,"&lt;&gt;")&lt;=5,32,IF(COUNTIF('Résultats des tournois'!$B59:'Résultats des tournois'!AA59,"&lt;&gt;")&lt;=15,24,16))</f>
        <v>32</v>
      </c>
      <c r="AB59" s="15">
        <f>IF(COUNTIF('Résultats des tournois'!$B59:'Résultats des tournois'!AB59,"&lt;&gt;")&lt;=5,32,IF(COUNTIF('Résultats des tournois'!$B59:'Résultats des tournois'!AB59,"&lt;&gt;")&lt;=15,24,16))</f>
        <v>32</v>
      </c>
      <c r="AC59" s="15">
        <f>IF(COUNTIF('Résultats des tournois'!$B59:'Résultats des tournois'!AC59,"&lt;&gt;")&lt;=5,32,IF(COUNTIF('Résultats des tournois'!$B59:'Résultats des tournois'!AC59,"&lt;&gt;")&lt;=15,24,16))</f>
        <v>32</v>
      </c>
      <c r="AD59" s="15">
        <f>IF(COUNTIF('Résultats des tournois'!$B59:'Résultats des tournois'!AD59,"&lt;&gt;")&lt;=5,32,IF(COUNTIF('Résultats des tournois'!$B59:'Résultats des tournois'!AD59,"&lt;&gt;")&lt;=15,24,16))</f>
        <v>32</v>
      </c>
      <c r="AE59" s="15">
        <f>IF(COUNTIF('Résultats des tournois'!$B59:'Résultats des tournois'!AE59,"&lt;&gt;")&lt;=5,32,IF(COUNTIF('Résultats des tournois'!$B59:'Résultats des tournois'!AE59,"&lt;&gt;")&lt;=15,24,16))</f>
        <v>32</v>
      </c>
      <c r="AF59" s="15">
        <f>IF(COUNTIF('Résultats des tournois'!$B59:'Résultats des tournois'!AF59,"&lt;&gt;")&lt;=5,32,IF(COUNTIF('Résultats des tournois'!$B59:'Résultats des tournois'!AF59,"&lt;&gt;")&lt;=15,24,16))</f>
        <v>32</v>
      </c>
      <c r="AG59" s="15">
        <f>IF(COUNTIF('Résultats des tournois'!$B59:'Résultats des tournois'!AG59,"&lt;&gt;")&lt;=5,32,IF(COUNTIF('Résultats des tournois'!$B59:'Résultats des tournois'!AG59,"&lt;&gt;")&lt;=15,24,16))</f>
        <v>32</v>
      </c>
      <c r="AH59" s="15">
        <f>IF(COUNTIF('Résultats des tournois'!$B59:'Résultats des tournois'!AH59,"&lt;&gt;")&lt;=5,32,IF(COUNTIF('Résultats des tournois'!$B59:'Résultats des tournois'!AH59,"&lt;&gt;")&lt;=15,24,16))</f>
        <v>32</v>
      </c>
      <c r="AI59" s="15">
        <f>IF(COUNTIF('Résultats des tournois'!$B59:'Résultats des tournois'!AI59,"&lt;&gt;")&lt;=5,32,IF(COUNTIF('Résultats des tournois'!$B59:'Résultats des tournois'!AI59,"&lt;&gt;")&lt;=15,24,16))</f>
        <v>32</v>
      </c>
      <c r="AJ59" s="15">
        <f>IF(COUNTIF('Résultats des tournois'!$B59:'Résultats des tournois'!AJ59,"&lt;&gt;")&lt;=5,32,IF(COUNTIF('Résultats des tournois'!$B59:'Résultats des tournois'!AJ59,"&lt;&gt;")&lt;=15,24,16))</f>
        <v>32</v>
      </c>
      <c r="AK59" s="15">
        <f>IF(COUNTIF('Résultats des tournois'!$B59:'Résultats des tournois'!AK59,"&lt;&gt;")&lt;=5,32,IF(COUNTIF('Résultats des tournois'!$B59:'Résultats des tournois'!AK59,"&lt;&gt;")&lt;=15,24,16))</f>
        <v>32</v>
      </c>
      <c r="AL59" s="15">
        <f>IF(COUNTIF('Résultats des tournois'!$B59:'Résultats des tournois'!AL59,"&lt;&gt;")&lt;=5,32,IF(COUNTIF('Résultats des tournois'!$B59:'Résultats des tournois'!AL59,"&lt;&gt;")&lt;=15,24,16))</f>
        <v>32</v>
      </c>
      <c r="AM59" s="15">
        <f>IF(COUNTIF('Résultats des tournois'!$B59:'Résultats des tournois'!AM59,"&lt;&gt;")&lt;=5,32,IF(COUNTIF('Résultats des tournois'!$B59:'Résultats des tournois'!AM59,"&lt;&gt;")&lt;=15,24,16))</f>
        <v>32</v>
      </c>
      <c r="AN59" s="15">
        <f>IF(COUNTIF('Résultats des tournois'!$B59:'Résultats des tournois'!AN59,"&lt;&gt;")&lt;=5,32,IF(COUNTIF('Résultats des tournois'!$B59:'Résultats des tournois'!AN59,"&lt;&gt;")&lt;=15,24,16))</f>
        <v>32</v>
      </c>
      <c r="AO59" s="15">
        <f>IF(COUNTIF('Résultats des tournois'!$B59:'Résultats des tournois'!AO59,"&lt;&gt;")&lt;=5,32,IF(COUNTIF('Résultats des tournois'!$B59:'Résultats des tournois'!AO59,"&lt;&gt;")&lt;=15,24,16))</f>
        <v>32</v>
      </c>
      <c r="AP59" s="15">
        <f>IF(COUNTIF('Résultats des tournois'!$B59:'Résultats des tournois'!AP59,"&lt;&gt;")&lt;=5,32,IF(COUNTIF('Résultats des tournois'!$B59:'Résultats des tournois'!AP59,"&lt;&gt;")&lt;=15,24,16))</f>
        <v>32</v>
      </c>
      <c r="AQ59" s="15">
        <f>IF(COUNTIF('Résultats des tournois'!$B59:'Résultats des tournois'!AQ59,"&lt;&gt;")&lt;=5,32,IF(COUNTIF('Résultats des tournois'!$B59:'Résultats des tournois'!AQ59,"&lt;&gt;")&lt;=15,24,16))</f>
        <v>32</v>
      </c>
      <c r="AR59" s="15">
        <f>IF(COUNTIF('Résultats des tournois'!$B59:'Résultats des tournois'!AR59,"&lt;&gt;")&lt;=5,32,IF(COUNTIF('Résultats des tournois'!$B59:'Résultats des tournois'!AR59,"&lt;&gt;")&lt;=15,24,16))</f>
        <v>32</v>
      </c>
      <c r="AS59" s="15">
        <f>IF(COUNTIF('Résultats des tournois'!$B59:'Résultats des tournois'!AS59,"&lt;&gt;")&lt;=5,32,IF(COUNTIF('Résultats des tournois'!$B59:'Résultats des tournois'!AS59,"&lt;&gt;")&lt;=15,24,16))</f>
        <v>32</v>
      </c>
      <c r="AT59" s="15">
        <f>IF(COUNTIF('Résultats des tournois'!$B59:'Résultats des tournois'!AT59,"&lt;&gt;")&lt;=5,32,IF(COUNTIF('Résultats des tournois'!$B59:'Résultats des tournois'!AT59,"&lt;&gt;")&lt;=15,24,16))</f>
        <v>32</v>
      </c>
      <c r="AU59" s="15">
        <f>IF(COUNTIF('Résultats des tournois'!$B59:'Résultats des tournois'!AU59,"&lt;&gt;")&lt;=5,32,IF(COUNTIF('Résultats des tournois'!$B59:'Résultats des tournois'!AU59,"&lt;&gt;")&lt;=15,24,16))</f>
        <v>32</v>
      </c>
      <c r="AV59" s="15">
        <f>IF(COUNTIF('Résultats des tournois'!$B59:'Résultats des tournois'!AV59,"&lt;&gt;")&lt;=5,32,IF(COUNTIF('Résultats des tournois'!$B59:'Résultats des tournois'!AV59,"&lt;&gt;")&lt;=15,24,16))</f>
        <v>32</v>
      </c>
      <c r="AW59" s="15">
        <f>IF(COUNTIF('Résultats des tournois'!$B59:'Résultats des tournois'!AW59,"&lt;&gt;")&lt;=5,32,IF(COUNTIF('Résultats des tournois'!$B59:'Résultats des tournois'!AW59,"&lt;&gt;")&lt;=15,24,16))</f>
        <v>32</v>
      </c>
      <c r="AX59" s="15">
        <f>IF(COUNTIF('Résultats des tournois'!$B59:'Résultats des tournois'!AX59,"&lt;&gt;")&lt;=5,32,IF(COUNTIF('Résultats des tournois'!$B59:'Résultats des tournois'!AX59,"&lt;&gt;")&lt;=15,24,16))</f>
        <v>32</v>
      </c>
    </row>
    <row r="60" ht="14.25" customHeight="1">
      <c r="A60" s="15" t="str">
        <f>IF('Résultats des tournois'!A60="","",'Résultats des tournois'!A60)</f>
        <v/>
      </c>
      <c r="B60" s="15">
        <f>IF(COUNTIF('Résultats des tournois'!B60,"&lt;&gt;")&lt;=5,32,IF(COUNTIF('Résultats des tournois'!B60,"&lt;&gt;")&lt;=15,24,16))</f>
        <v>32</v>
      </c>
      <c r="C60" s="15">
        <f>IF(COUNTIF('Résultats des tournois'!$B60:'Résultats des tournois'!C60,"&lt;&gt;")&lt;=5,32,IF(COUNTIF('Résultats des tournois'!$B60:'Résultats des tournois'!C60,"&lt;&gt;")&lt;=15,24,16))</f>
        <v>32</v>
      </c>
      <c r="D60" s="15">
        <f>IF(COUNTIF('Résultats des tournois'!$B60:'Résultats des tournois'!D60,"&lt;&gt;")&lt;=5,32,IF(COUNTIF('Résultats des tournois'!$B60:'Résultats des tournois'!D60,"&lt;&gt;")&lt;=15,24,16))</f>
        <v>32</v>
      </c>
      <c r="E60" s="15">
        <f>IF(COUNTIF('Résultats des tournois'!$B60:'Résultats des tournois'!E60,"&lt;&gt;")&lt;=5,32,IF(COUNTIF('Résultats des tournois'!$B60:'Résultats des tournois'!E60,"&lt;&gt;")&lt;=15,24,16))</f>
        <v>32</v>
      </c>
      <c r="F60" s="15">
        <f>IF(COUNTIF('Résultats des tournois'!$B60:'Résultats des tournois'!F60,"&lt;&gt;")&lt;=5,32,IF(COUNTIF('Résultats des tournois'!$B60:'Résultats des tournois'!F60,"&lt;&gt;")&lt;=15,24,16))</f>
        <v>32</v>
      </c>
      <c r="G60" s="15">
        <f>IF(COUNTIF('Résultats des tournois'!$B60:'Résultats des tournois'!G60,"&lt;&gt;")&lt;=5,32,IF(COUNTIF('Résultats des tournois'!$B60:'Résultats des tournois'!G60,"&lt;&gt;")&lt;=15,24,16))</f>
        <v>32</v>
      </c>
      <c r="H60" s="15">
        <f>IF(COUNTIF('Résultats des tournois'!$B60:'Résultats des tournois'!H60,"&lt;&gt;")&lt;=5,32,IF(COUNTIF('Résultats des tournois'!$B60:'Résultats des tournois'!H60,"&lt;&gt;")&lt;=15,24,16))</f>
        <v>32</v>
      </c>
      <c r="I60" s="15">
        <f>IF(COUNTIF('Résultats des tournois'!$B60:'Résultats des tournois'!I60,"&lt;&gt;")&lt;=5,32,IF(COUNTIF('Résultats des tournois'!$B60:'Résultats des tournois'!I60,"&lt;&gt;")&lt;=15,24,16))</f>
        <v>32</v>
      </c>
      <c r="J60" s="15">
        <f>IF(COUNTIF('Résultats des tournois'!$B60:'Résultats des tournois'!J60,"&lt;&gt;")&lt;=5,32,IF(COUNTIF('Résultats des tournois'!$B60:'Résultats des tournois'!J60,"&lt;&gt;")&lt;=15,24,16))</f>
        <v>32</v>
      </c>
      <c r="K60" s="15">
        <f>IF(COUNTIF('Résultats des tournois'!$B60:'Résultats des tournois'!K60,"&lt;&gt;")&lt;=5,32,IF(COUNTIF('Résultats des tournois'!$B60:'Résultats des tournois'!K60,"&lt;&gt;")&lt;=15,24,16))</f>
        <v>32</v>
      </c>
      <c r="L60" s="15">
        <f>IF(COUNTIF('Résultats des tournois'!$B60:'Résultats des tournois'!L60,"&lt;&gt;")&lt;=5,32,IF(COUNTIF('Résultats des tournois'!$B60:'Résultats des tournois'!L60,"&lt;&gt;")&lt;=15,24,16))</f>
        <v>32</v>
      </c>
      <c r="M60" s="15">
        <f>IF(COUNTIF('Résultats des tournois'!$B60:'Résultats des tournois'!M60,"&lt;&gt;")&lt;=5,32,IF(COUNTIF('Résultats des tournois'!$B60:'Résultats des tournois'!M60,"&lt;&gt;")&lt;=15,24,16))</f>
        <v>32</v>
      </c>
      <c r="N60" s="15">
        <f>IF(COUNTIF('Résultats des tournois'!$B60:'Résultats des tournois'!N60,"&lt;&gt;")&lt;=5,32,IF(COUNTIF('Résultats des tournois'!$B60:'Résultats des tournois'!N60,"&lt;&gt;")&lt;=15,24,16))</f>
        <v>32</v>
      </c>
      <c r="O60" s="15">
        <f>IF(COUNTIF('Résultats des tournois'!$B60:'Résultats des tournois'!O60,"&lt;&gt;")&lt;=5,32,IF(COUNTIF('Résultats des tournois'!$B60:'Résultats des tournois'!O60,"&lt;&gt;")&lt;=15,24,16))</f>
        <v>32</v>
      </c>
      <c r="P60" s="15">
        <f>IF(COUNTIF('Résultats des tournois'!$B60:'Résultats des tournois'!P60,"&lt;&gt;")&lt;=5,32,IF(COUNTIF('Résultats des tournois'!$B60:'Résultats des tournois'!P60,"&lt;&gt;")&lt;=15,24,16))</f>
        <v>32</v>
      </c>
      <c r="Q60" s="15">
        <f>IF(COUNTIF('Résultats des tournois'!$B60:'Résultats des tournois'!Q60,"&lt;&gt;")&lt;=5,32,IF(COUNTIF('Résultats des tournois'!$B60:'Résultats des tournois'!Q60,"&lt;&gt;")&lt;=15,24,16))</f>
        <v>32</v>
      </c>
      <c r="R60" s="15">
        <f>IF(COUNTIF('Résultats des tournois'!$B60:'Résultats des tournois'!R60,"&lt;&gt;")&lt;=5,32,IF(COUNTIF('Résultats des tournois'!$B60:'Résultats des tournois'!R60,"&lt;&gt;")&lt;=15,24,16))</f>
        <v>32</v>
      </c>
      <c r="S60" s="15">
        <f>IF(COUNTIF('Résultats des tournois'!$B60:'Résultats des tournois'!S60,"&lt;&gt;")&lt;=5,32,IF(COUNTIF('Résultats des tournois'!$B60:'Résultats des tournois'!S60,"&lt;&gt;")&lt;=15,24,16))</f>
        <v>32</v>
      </c>
      <c r="T60" s="15">
        <f>IF(COUNTIF('Résultats des tournois'!$B60:'Résultats des tournois'!T60,"&lt;&gt;")&lt;=5,32,IF(COUNTIF('Résultats des tournois'!$B60:'Résultats des tournois'!T60,"&lt;&gt;")&lt;=15,24,16))</f>
        <v>32</v>
      </c>
      <c r="U60" s="15">
        <f>IF(COUNTIF('Résultats des tournois'!$B60:'Résultats des tournois'!U60,"&lt;&gt;")&lt;=5,32,IF(COUNTIF('Résultats des tournois'!$B60:'Résultats des tournois'!U60,"&lt;&gt;")&lt;=15,24,16))</f>
        <v>32</v>
      </c>
      <c r="V60" s="15">
        <f>IF(COUNTIF('Résultats des tournois'!$B60:'Résultats des tournois'!V60,"&lt;&gt;")&lt;=5,32,IF(COUNTIF('Résultats des tournois'!$B60:'Résultats des tournois'!V60,"&lt;&gt;")&lt;=15,24,16))</f>
        <v>32</v>
      </c>
      <c r="W60" s="15">
        <f>IF(COUNTIF('Résultats des tournois'!$B60:'Résultats des tournois'!W60,"&lt;&gt;")&lt;=5,32,IF(COUNTIF('Résultats des tournois'!$B60:'Résultats des tournois'!W60,"&lt;&gt;")&lt;=15,24,16))</f>
        <v>32</v>
      </c>
      <c r="X60" s="15">
        <f>IF(COUNTIF('Résultats des tournois'!$B60:'Résultats des tournois'!X60,"&lt;&gt;")&lt;=5,32,IF(COUNTIF('Résultats des tournois'!$B60:'Résultats des tournois'!X60,"&lt;&gt;")&lt;=15,24,16))</f>
        <v>32</v>
      </c>
      <c r="Y60" s="15">
        <f>IF(COUNTIF('Résultats des tournois'!$B60:'Résultats des tournois'!Y60,"&lt;&gt;")&lt;=5,32,IF(COUNTIF('Résultats des tournois'!$B60:'Résultats des tournois'!Y60,"&lt;&gt;")&lt;=15,24,16))</f>
        <v>32</v>
      </c>
      <c r="Z60" s="15">
        <f>IF(COUNTIF('Résultats des tournois'!$B60:'Résultats des tournois'!Z60,"&lt;&gt;")&lt;=5,32,IF(COUNTIF('Résultats des tournois'!$B60:'Résultats des tournois'!Z60,"&lt;&gt;")&lt;=15,24,16))</f>
        <v>32</v>
      </c>
      <c r="AA60" s="15">
        <f>IF(COUNTIF('Résultats des tournois'!$B60:'Résultats des tournois'!AA60,"&lt;&gt;")&lt;=5,32,IF(COUNTIF('Résultats des tournois'!$B60:'Résultats des tournois'!AA60,"&lt;&gt;")&lt;=15,24,16))</f>
        <v>32</v>
      </c>
      <c r="AB60" s="15">
        <f>IF(COUNTIF('Résultats des tournois'!$B60:'Résultats des tournois'!AB60,"&lt;&gt;")&lt;=5,32,IF(COUNTIF('Résultats des tournois'!$B60:'Résultats des tournois'!AB60,"&lt;&gt;")&lt;=15,24,16))</f>
        <v>32</v>
      </c>
      <c r="AC60" s="15">
        <f>IF(COUNTIF('Résultats des tournois'!$B60:'Résultats des tournois'!AC60,"&lt;&gt;")&lt;=5,32,IF(COUNTIF('Résultats des tournois'!$B60:'Résultats des tournois'!AC60,"&lt;&gt;")&lt;=15,24,16))</f>
        <v>32</v>
      </c>
      <c r="AD60" s="15">
        <f>IF(COUNTIF('Résultats des tournois'!$B60:'Résultats des tournois'!AD60,"&lt;&gt;")&lt;=5,32,IF(COUNTIF('Résultats des tournois'!$B60:'Résultats des tournois'!AD60,"&lt;&gt;")&lt;=15,24,16))</f>
        <v>32</v>
      </c>
      <c r="AE60" s="15">
        <f>IF(COUNTIF('Résultats des tournois'!$B60:'Résultats des tournois'!AE60,"&lt;&gt;")&lt;=5,32,IF(COUNTIF('Résultats des tournois'!$B60:'Résultats des tournois'!AE60,"&lt;&gt;")&lt;=15,24,16))</f>
        <v>32</v>
      </c>
      <c r="AF60" s="15">
        <f>IF(COUNTIF('Résultats des tournois'!$B60:'Résultats des tournois'!AF60,"&lt;&gt;")&lt;=5,32,IF(COUNTIF('Résultats des tournois'!$B60:'Résultats des tournois'!AF60,"&lt;&gt;")&lt;=15,24,16))</f>
        <v>32</v>
      </c>
      <c r="AG60" s="15">
        <f>IF(COUNTIF('Résultats des tournois'!$B60:'Résultats des tournois'!AG60,"&lt;&gt;")&lt;=5,32,IF(COUNTIF('Résultats des tournois'!$B60:'Résultats des tournois'!AG60,"&lt;&gt;")&lt;=15,24,16))</f>
        <v>32</v>
      </c>
      <c r="AH60" s="15">
        <f>IF(COUNTIF('Résultats des tournois'!$B60:'Résultats des tournois'!AH60,"&lt;&gt;")&lt;=5,32,IF(COUNTIF('Résultats des tournois'!$B60:'Résultats des tournois'!AH60,"&lt;&gt;")&lt;=15,24,16))</f>
        <v>32</v>
      </c>
      <c r="AI60" s="15">
        <f>IF(COUNTIF('Résultats des tournois'!$B60:'Résultats des tournois'!AI60,"&lt;&gt;")&lt;=5,32,IF(COUNTIF('Résultats des tournois'!$B60:'Résultats des tournois'!AI60,"&lt;&gt;")&lt;=15,24,16))</f>
        <v>32</v>
      </c>
      <c r="AJ60" s="15">
        <f>IF(COUNTIF('Résultats des tournois'!$B60:'Résultats des tournois'!AJ60,"&lt;&gt;")&lt;=5,32,IF(COUNTIF('Résultats des tournois'!$B60:'Résultats des tournois'!AJ60,"&lt;&gt;")&lt;=15,24,16))</f>
        <v>32</v>
      </c>
      <c r="AK60" s="15">
        <f>IF(COUNTIF('Résultats des tournois'!$B60:'Résultats des tournois'!AK60,"&lt;&gt;")&lt;=5,32,IF(COUNTIF('Résultats des tournois'!$B60:'Résultats des tournois'!AK60,"&lt;&gt;")&lt;=15,24,16))</f>
        <v>32</v>
      </c>
      <c r="AL60" s="15">
        <f>IF(COUNTIF('Résultats des tournois'!$B60:'Résultats des tournois'!AL60,"&lt;&gt;")&lt;=5,32,IF(COUNTIF('Résultats des tournois'!$B60:'Résultats des tournois'!AL60,"&lt;&gt;")&lt;=15,24,16))</f>
        <v>32</v>
      </c>
      <c r="AM60" s="15">
        <f>IF(COUNTIF('Résultats des tournois'!$B60:'Résultats des tournois'!AM60,"&lt;&gt;")&lt;=5,32,IF(COUNTIF('Résultats des tournois'!$B60:'Résultats des tournois'!AM60,"&lt;&gt;")&lt;=15,24,16))</f>
        <v>32</v>
      </c>
      <c r="AN60" s="15">
        <f>IF(COUNTIF('Résultats des tournois'!$B60:'Résultats des tournois'!AN60,"&lt;&gt;")&lt;=5,32,IF(COUNTIF('Résultats des tournois'!$B60:'Résultats des tournois'!AN60,"&lt;&gt;")&lt;=15,24,16))</f>
        <v>32</v>
      </c>
      <c r="AO60" s="15">
        <f>IF(COUNTIF('Résultats des tournois'!$B60:'Résultats des tournois'!AO60,"&lt;&gt;")&lt;=5,32,IF(COUNTIF('Résultats des tournois'!$B60:'Résultats des tournois'!AO60,"&lt;&gt;")&lt;=15,24,16))</f>
        <v>32</v>
      </c>
      <c r="AP60" s="15">
        <f>IF(COUNTIF('Résultats des tournois'!$B60:'Résultats des tournois'!AP60,"&lt;&gt;")&lt;=5,32,IF(COUNTIF('Résultats des tournois'!$B60:'Résultats des tournois'!AP60,"&lt;&gt;")&lt;=15,24,16))</f>
        <v>32</v>
      </c>
      <c r="AQ60" s="15">
        <f>IF(COUNTIF('Résultats des tournois'!$B60:'Résultats des tournois'!AQ60,"&lt;&gt;")&lt;=5,32,IF(COUNTIF('Résultats des tournois'!$B60:'Résultats des tournois'!AQ60,"&lt;&gt;")&lt;=15,24,16))</f>
        <v>32</v>
      </c>
      <c r="AR60" s="15">
        <f>IF(COUNTIF('Résultats des tournois'!$B60:'Résultats des tournois'!AR60,"&lt;&gt;")&lt;=5,32,IF(COUNTIF('Résultats des tournois'!$B60:'Résultats des tournois'!AR60,"&lt;&gt;")&lt;=15,24,16))</f>
        <v>32</v>
      </c>
      <c r="AS60" s="15">
        <f>IF(COUNTIF('Résultats des tournois'!$B60:'Résultats des tournois'!AS60,"&lt;&gt;")&lt;=5,32,IF(COUNTIF('Résultats des tournois'!$B60:'Résultats des tournois'!AS60,"&lt;&gt;")&lt;=15,24,16))</f>
        <v>32</v>
      </c>
      <c r="AT60" s="15">
        <f>IF(COUNTIF('Résultats des tournois'!$B60:'Résultats des tournois'!AT60,"&lt;&gt;")&lt;=5,32,IF(COUNTIF('Résultats des tournois'!$B60:'Résultats des tournois'!AT60,"&lt;&gt;")&lt;=15,24,16))</f>
        <v>32</v>
      </c>
      <c r="AU60" s="15">
        <f>IF(COUNTIF('Résultats des tournois'!$B60:'Résultats des tournois'!AU60,"&lt;&gt;")&lt;=5,32,IF(COUNTIF('Résultats des tournois'!$B60:'Résultats des tournois'!AU60,"&lt;&gt;")&lt;=15,24,16))</f>
        <v>32</v>
      </c>
      <c r="AV60" s="15">
        <f>IF(COUNTIF('Résultats des tournois'!$B60:'Résultats des tournois'!AV60,"&lt;&gt;")&lt;=5,32,IF(COUNTIF('Résultats des tournois'!$B60:'Résultats des tournois'!AV60,"&lt;&gt;")&lt;=15,24,16))</f>
        <v>32</v>
      </c>
      <c r="AW60" s="15">
        <f>IF(COUNTIF('Résultats des tournois'!$B60:'Résultats des tournois'!AW60,"&lt;&gt;")&lt;=5,32,IF(COUNTIF('Résultats des tournois'!$B60:'Résultats des tournois'!AW60,"&lt;&gt;")&lt;=15,24,16))</f>
        <v>32</v>
      </c>
      <c r="AX60" s="15">
        <f>IF(COUNTIF('Résultats des tournois'!$B60:'Résultats des tournois'!AX60,"&lt;&gt;")&lt;=5,32,IF(COUNTIF('Résultats des tournois'!$B60:'Résultats des tournois'!AX60,"&lt;&gt;")&lt;=15,24,16))</f>
        <v>32</v>
      </c>
    </row>
    <row r="61" ht="14.25" customHeight="1">
      <c r="A61" s="15" t="str">
        <f>IF('Résultats des tournois'!A61="","",'Résultats des tournois'!A61)</f>
        <v/>
      </c>
      <c r="B61" s="15">
        <f>IF(COUNTIF('Résultats des tournois'!B61,"&lt;&gt;")&lt;=5,32,IF(COUNTIF('Résultats des tournois'!B61,"&lt;&gt;")&lt;=15,24,16))</f>
        <v>32</v>
      </c>
      <c r="C61" s="15">
        <f>IF(COUNTIF('Résultats des tournois'!$B61:'Résultats des tournois'!C61,"&lt;&gt;")&lt;=5,32,IF(COUNTIF('Résultats des tournois'!$B61:'Résultats des tournois'!C61,"&lt;&gt;")&lt;=15,24,16))</f>
        <v>32</v>
      </c>
      <c r="D61" s="15">
        <f>IF(COUNTIF('Résultats des tournois'!$B61:'Résultats des tournois'!D61,"&lt;&gt;")&lt;=5,32,IF(COUNTIF('Résultats des tournois'!$B61:'Résultats des tournois'!D61,"&lt;&gt;")&lt;=15,24,16))</f>
        <v>32</v>
      </c>
      <c r="E61" s="15">
        <f>IF(COUNTIF('Résultats des tournois'!$B61:'Résultats des tournois'!E61,"&lt;&gt;")&lt;=5,32,IF(COUNTIF('Résultats des tournois'!$B61:'Résultats des tournois'!E61,"&lt;&gt;")&lt;=15,24,16))</f>
        <v>32</v>
      </c>
      <c r="F61" s="15">
        <f>IF(COUNTIF('Résultats des tournois'!$B61:'Résultats des tournois'!F61,"&lt;&gt;")&lt;=5,32,IF(COUNTIF('Résultats des tournois'!$B61:'Résultats des tournois'!F61,"&lt;&gt;")&lt;=15,24,16))</f>
        <v>32</v>
      </c>
      <c r="G61" s="15">
        <f>IF(COUNTIF('Résultats des tournois'!$B61:'Résultats des tournois'!G61,"&lt;&gt;")&lt;=5,32,IF(COUNTIF('Résultats des tournois'!$B61:'Résultats des tournois'!G61,"&lt;&gt;")&lt;=15,24,16))</f>
        <v>32</v>
      </c>
      <c r="H61" s="15">
        <f>IF(COUNTIF('Résultats des tournois'!$B61:'Résultats des tournois'!H61,"&lt;&gt;")&lt;=5,32,IF(COUNTIF('Résultats des tournois'!$B61:'Résultats des tournois'!H61,"&lt;&gt;")&lt;=15,24,16))</f>
        <v>32</v>
      </c>
      <c r="I61" s="15">
        <f>IF(COUNTIF('Résultats des tournois'!$B61:'Résultats des tournois'!I61,"&lt;&gt;")&lt;=5,32,IF(COUNTIF('Résultats des tournois'!$B61:'Résultats des tournois'!I61,"&lt;&gt;")&lt;=15,24,16))</f>
        <v>32</v>
      </c>
      <c r="J61" s="15">
        <f>IF(COUNTIF('Résultats des tournois'!$B61:'Résultats des tournois'!J61,"&lt;&gt;")&lt;=5,32,IF(COUNTIF('Résultats des tournois'!$B61:'Résultats des tournois'!J61,"&lt;&gt;")&lt;=15,24,16))</f>
        <v>32</v>
      </c>
      <c r="K61" s="15">
        <f>IF(COUNTIF('Résultats des tournois'!$B61:'Résultats des tournois'!K61,"&lt;&gt;")&lt;=5,32,IF(COUNTIF('Résultats des tournois'!$B61:'Résultats des tournois'!K61,"&lt;&gt;")&lt;=15,24,16))</f>
        <v>32</v>
      </c>
      <c r="L61" s="15">
        <f>IF(COUNTIF('Résultats des tournois'!$B61:'Résultats des tournois'!L61,"&lt;&gt;")&lt;=5,32,IF(COUNTIF('Résultats des tournois'!$B61:'Résultats des tournois'!L61,"&lt;&gt;")&lt;=15,24,16))</f>
        <v>32</v>
      </c>
      <c r="M61" s="15">
        <f>IF(COUNTIF('Résultats des tournois'!$B61:'Résultats des tournois'!M61,"&lt;&gt;")&lt;=5,32,IF(COUNTIF('Résultats des tournois'!$B61:'Résultats des tournois'!M61,"&lt;&gt;")&lt;=15,24,16))</f>
        <v>32</v>
      </c>
      <c r="N61" s="15">
        <f>IF(COUNTIF('Résultats des tournois'!$B61:'Résultats des tournois'!N61,"&lt;&gt;")&lt;=5,32,IF(COUNTIF('Résultats des tournois'!$B61:'Résultats des tournois'!N61,"&lt;&gt;")&lt;=15,24,16))</f>
        <v>32</v>
      </c>
      <c r="O61" s="15">
        <f>IF(COUNTIF('Résultats des tournois'!$B61:'Résultats des tournois'!O61,"&lt;&gt;")&lt;=5,32,IF(COUNTIF('Résultats des tournois'!$B61:'Résultats des tournois'!O61,"&lt;&gt;")&lt;=15,24,16))</f>
        <v>32</v>
      </c>
      <c r="P61" s="15">
        <f>IF(COUNTIF('Résultats des tournois'!$B61:'Résultats des tournois'!P61,"&lt;&gt;")&lt;=5,32,IF(COUNTIF('Résultats des tournois'!$B61:'Résultats des tournois'!P61,"&lt;&gt;")&lt;=15,24,16))</f>
        <v>32</v>
      </c>
      <c r="Q61" s="15">
        <f>IF(COUNTIF('Résultats des tournois'!$B61:'Résultats des tournois'!Q61,"&lt;&gt;")&lt;=5,32,IF(COUNTIF('Résultats des tournois'!$B61:'Résultats des tournois'!Q61,"&lt;&gt;")&lt;=15,24,16))</f>
        <v>32</v>
      </c>
      <c r="R61" s="15">
        <f>IF(COUNTIF('Résultats des tournois'!$B61:'Résultats des tournois'!R61,"&lt;&gt;")&lt;=5,32,IF(COUNTIF('Résultats des tournois'!$B61:'Résultats des tournois'!R61,"&lt;&gt;")&lt;=15,24,16))</f>
        <v>32</v>
      </c>
      <c r="S61" s="15">
        <f>IF(COUNTIF('Résultats des tournois'!$B61:'Résultats des tournois'!S61,"&lt;&gt;")&lt;=5,32,IF(COUNTIF('Résultats des tournois'!$B61:'Résultats des tournois'!S61,"&lt;&gt;")&lt;=15,24,16))</f>
        <v>32</v>
      </c>
      <c r="T61" s="15">
        <f>IF(COUNTIF('Résultats des tournois'!$B61:'Résultats des tournois'!T61,"&lt;&gt;")&lt;=5,32,IF(COUNTIF('Résultats des tournois'!$B61:'Résultats des tournois'!T61,"&lt;&gt;")&lt;=15,24,16))</f>
        <v>32</v>
      </c>
      <c r="U61" s="15">
        <f>IF(COUNTIF('Résultats des tournois'!$B61:'Résultats des tournois'!U61,"&lt;&gt;")&lt;=5,32,IF(COUNTIF('Résultats des tournois'!$B61:'Résultats des tournois'!U61,"&lt;&gt;")&lt;=15,24,16))</f>
        <v>32</v>
      </c>
      <c r="V61" s="15">
        <f>IF(COUNTIF('Résultats des tournois'!$B61:'Résultats des tournois'!V61,"&lt;&gt;")&lt;=5,32,IF(COUNTIF('Résultats des tournois'!$B61:'Résultats des tournois'!V61,"&lt;&gt;")&lt;=15,24,16))</f>
        <v>32</v>
      </c>
      <c r="W61" s="15">
        <f>IF(COUNTIF('Résultats des tournois'!$B61:'Résultats des tournois'!W61,"&lt;&gt;")&lt;=5,32,IF(COUNTIF('Résultats des tournois'!$B61:'Résultats des tournois'!W61,"&lt;&gt;")&lt;=15,24,16))</f>
        <v>32</v>
      </c>
      <c r="X61" s="15">
        <f>IF(COUNTIF('Résultats des tournois'!$B61:'Résultats des tournois'!X61,"&lt;&gt;")&lt;=5,32,IF(COUNTIF('Résultats des tournois'!$B61:'Résultats des tournois'!X61,"&lt;&gt;")&lt;=15,24,16))</f>
        <v>32</v>
      </c>
      <c r="Y61" s="15">
        <f>IF(COUNTIF('Résultats des tournois'!$B61:'Résultats des tournois'!Y61,"&lt;&gt;")&lt;=5,32,IF(COUNTIF('Résultats des tournois'!$B61:'Résultats des tournois'!Y61,"&lt;&gt;")&lt;=15,24,16))</f>
        <v>32</v>
      </c>
      <c r="Z61" s="15">
        <f>IF(COUNTIF('Résultats des tournois'!$B61:'Résultats des tournois'!Z61,"&lt;&gt;")&lt;=5,32,IF(COUNTIF('Résultats des tournois'!$B61:'Résultats des tournois'!Z61,"&lt;&gt;")&lt;=15,24,16))</f>
        <v>32</v>
      </c>
      <c r="AA61" s="15">
        <f>IF(COUNTIF('Résultats des tournois'!$B61:'Résultats des tournois'!AA61,"&lt;&gt;")&lt;=5,32,IF(COUNTIF('Résultats des tournois'!$B61:'Résultats des tournois'!AA61,"&lt;&gt;")&lt;=15,24,16))</f>
        <v>32</v>
      </c>
      <c r="AB61" s="15">
        <f>IF(COUNTIF('Résultats des tournois'!$B61:'Résultats des tournois'!AB61,"&lt;&gt;")&lt;=5,32,IF(COUNTIF('Résultats des tournois'!$B61:'Résultats des tournois'!AB61,"&lt;&gt;")&lt;=15,24,16))</f>
        <v>32</v>
      </c>
      <c r="AC61" s="15">
        <f>IF(COUNTIF('Résultats des tournois'!$B61:'Résultats des tournois'!AC61,"&lt;&gt;")&lt;=5,32,IF(COUNTIF('Résultats des tournois'!$B61:'Résultats des tournois'!AC61,"&lt;&gt;")&lt;=15,24,16))</f>
        <v>32</v>
      </c>
      <c r="AD61" s="15">
        <f>IF(COUNTIF('Résultats des tournois'!$B61:'Résultats des tournois'!AD61,"&lt;&gt;")&lt;=5,32,IF(COUNTIF('Résultats des tournois'!$B61:'Résultats des tournois'!AD61,"&lt;&gt;")&lt;=15,24,16))</f>
        <v>32</v>
      </c>
      <c r="AE61" s="15">
        <f>IF(COUNTIF('Résultats des tournois'!$B61:'Résultats des tournois'!AE61,"&lt;&gt;")&lt;=5,32,IF(COUNTIF('Résultats des tournois'!$B61:'Résultats des tournois'!AE61,"&lt;&gt;")&lt;=15,24,16))</f>
        <v>32</v>
      </c>
      <c r="AF61" s="15">
        <f>IF(COUNTIF('Résultats des tournois'!$B61:'Résultats des tournois'!AF61,"&lt;&gt;")&lt;=5,32,IF(COUNTIF('Résultats des tournois'!$B61:'Résultats des tournois'!AF61,"&lt;&gt;")&lt;=15,24,16))</f>
        <v>32</v>
      </c>
      <c r="AG61" s="15">
        <f>IF(COUNTIF('Résultats des tournois'!$B61:'Résultats des tournois'!AG61,"&lt;&gt;")&lt;=5,32,IF(COUNTIF('Résultats des tournois'!$B61:'Résultats des tournois'!AG61,"&lt;&gt;")&lt;=15,24,16))</f>
        <v>32</v>
      </c>
      <c r="AH61" s="15">
        <f>IF(COUNTIF('Résultats des tournois'!$B61:'Résultats des tournois'!AH61,"&lt;&gt;")&lt;=5,32,IF(COUNTIF('Résultats des tournois'!$B61:'Résultats des tournois'!AH61,"&lt;&gt;")&lt;=15,24,16))</f>
        <v>32</v>
      </c>
      <c r="AI61" s="15">
        <f>IF(COUNTIF('Résultats des tournois'!$B61:'Résultats des tournois'!AI61,"&lt;&gt;")&lt;=5,32,IF(COUNTIF('Résultats des tournois'!$B61:'Résultats des tournois'!AI61,"&lt;&gt;")&lt;=15,24,16))</f>
        <v>32</v>
      </c>
      <c r="AJ61" s="15">
        <f>IF(COUNTIF('Résultats des tournois'!$B61:'Résultats des tournois'!AJ61,"&lt;&gt;")&lt;=5,32,IF(COUNTIF('Résultats des tournois'!$B61:'Résultats des tournois'!AJ61,"&lt;&gt;")&lt;=15,24,16))</f>
        <v>32</v>
      </c>
      <c r="AK61" s="15">
        <f>IF(COUNTIF('Résultats des tournois'!$B61:'Résultats des tournois'!AK61,"&lt;&gt;")&lt;=5,32,IF(COUNTIF('Résultats des tournois'!$B61:'Résultats des tournois'!AK61,"&lt;&gt;")&lt;=15,24,16))</f>
        <v>32</v>
      </c>
      <c r="AL61" s="15">
        <f>IF(COUNTIF('Résultats des tournois'!$B61:'Résultats des tournois'!AL61,"&lt;&gt;")&lt;=5,32,IF(COUNTIF('Résultats des tournois'!$B61:'Résultats des tournois'!AL61,"&lt;&gt;")&lt;=15,24,16))</f>
        <v>32</v>
      </c>
      <c r="AM61" s="15">
        <f>IF(COUNTIF('Résultats des tournois'!$B61:'Résultats des tournois'!AM61,"&lt;&gt;")&lt;=5,32,IF(COUNTIF('Résultats des tournois'!$B61:'Résultats des tournois'!AM61,"&lt;&gt;")&lt;=15,24,16))</f>
        <v>32</v>
      </c>
      <c r="AN61" s="15">
        <f>IF(COUNTIF('Résultats des tournois'!$B61:'Résultats des tournois'!AN61,"&lt;&gt;")&lt;=5,32,IF(COUNTIF('Résultats des tournois'!$B61:'Résultats des tournois'!AN61,"&lt;&gt;")&lt;=15,24,16))</f>
        <v>32</v>
      </c>
      <c r="AO61" s="15">
        <f>IF(COUNTIF('Résultats des tournois'!$B61:'Résultats des tournois'!AO61,"&lt;&gt;")&lt;=5,32,IF(COUNTIF('Résultats des tournois'!$B61:'Résultats des tournois'!AO61,"&lt;&gt;")&lt;=15,24,16))</f>
        <v>32</v>
      </c>
      <c r="AP61" s="15">
        <f>IF(COUNTIF('Résultats des tournois'!$B61:'Résultats des tournois'!AP61,"&lt;&gt;")&lt;=5,32,IF(COUNTIF('Résultats des tournois'!$B61:'Résultats des tournois'!AP61,"&lt;&gt;")&lt;=15,24,16))</f>
        <v>32</v>
      </c>
      <c r="AQ61" s="15">
        <f>IF(COUNTIF('Résultats des tournois'!$B61:'Résultats des tournois'!AQ61,"&lt;&gt;")&lt;=5,32,IF(COUNTIF('Résultats des tournois'!$B61:'Résultats des tournois'!AQ61,"&lt;&gt;")&lt;=15,24,16))</f>
        <v>32</v>
      </c>
      <c r="AR61" s="15">
        <f>IF(COUNTIF('Résultats des tournois'!$B61:'Résultats des tournois'!AR61,"&lt;&gt;")&lt;=5,32,IF(COUNTIF('Résultats des tournois'!$B61:'Résultats des tournois'!AR61,"&lt;&gt;")&lt;=15,24,16))</f>
        <v>32</v>
      </c>
      <c r="AS61" s="15">
        <f>IF(COUNTIF('Résultats des tournois'!$B61:'Résultats des tournois'!AS61,"&lt;&gt;")&lt;=5,32,IF(COUNTIF('Résultats des tournois'!$B61:'Résultats des tournois'!AS61,"&lt;&gt;")&lt;=15,24,16))</f>
        <v>32</v>
      </c>
      <c r="AT61" s="15">
        <f>IF(COUNTIF('Résultats des tournois'!$B61:'Résultats des tournois'!AT61,"&lt;&gt;")&lt;=5,32,IF(COUNTIF('Résultats des tournois'!$B61:'Résultats des tournois'!AT61,"&lt;&gt;")&lt;=15,24,16))</f>
        <v>32</v>
      </c>
      <c r="AU61" s="15">
        <f>IF(COUNTIF('Résultats des tournois'!$B61:'Résultats des tournois'!AU61,"&lt;&gt;")&lt;=5,32,IF(COUNTIF('Résultats des tournois'!$B61:'Résultats des tournois'!AU61,"&lt;&gt;")&lt;=15,24,16))</f>
        <v>32</v>
      </c>
      <c r="AV61" s="15">
        <f>IF(COUNTIF('Résultats des tournois'!$B61:'Résultats des tournois'!AV61,"&lt;&gt;")&lt;=5,32,IF(COUNTIF('Résultats des tournois'!$B61:'Résultats des tournois'!AV61,"&lt;&gt;")&lt;=15,24,16))</f>
        <v>32</v>
      </c>
      <c r="AW61" s="15">
        <f>IF(COUNTIF('Résultats des tournois'!$B61:'Résultats des tournois'!AW61,"&lt;&gt;")&lt;=5,32,IF(COUNTIF('Résultats des tournois'!$B61:'Résultats des tournois'!AW61,"&lt;&gt;")&lt;=15,24,16))</f>
        <v>32</v>
      </c>
      <c r="AX61" s="15">
        <f>IF(COUNTIF('Résultats des tournois'!$B61:'Résultats des tournois'!AX61,"&lt;&gt;")&lt;=5,32,IF(COUNTIF('Résultats des tournois'!$B61:'Résultats des tournois'!AX61,"&lt;&gt;")&lt;=15,24,16))</f>
        <v>32</v>
      </c>
    </row>
    <row r="62" ht="14.25" customHeight="1">
      <c r="A62" s="15" t="str">
        <f>IF('Résultats des tournois'!A62="","",'Résultats des tournois'!A62)</f>
        <v/>
      </c>
      <c r="B62" s="15">
        <f>IF(COUNTIF('Résultats des tournois'!B62,"&lt;&gt;")&lt;=5,32,IF(COUNTIF('Résultats des tournois'!B62,"&lt;&gt;")&lt;=15,24,16))</f>
        <v>32</v>
      </c>
      <c r="C62" s="15">
        <f>IF(COUNTIF('Résultats des tournois'!$B62:'Résultats des tournois'!C62,"&lt;&gt;")&lt;=5,32,IF(COUNTIF('Résultats des tournois'!$B62:'Résultats des tournois'!C62,"&lt;&gt;")&lt;=15,24,16))</f>
        <v>32</v>
      </c>
      <c r="D62" s="15">
        <f>IF(COUNTIF('Résultats des tournois'!$B62:'Résultats des tournois'!D62,"&lt;&gt;")&lt;=5,32,IF(COUNTIF('Résultats des tournois'!$B62:'Résultats des tournois'!D62,"&lt;&gt;")&lt;=15,24,16))</f>
        <v>32</v>
      </c>
      <c r="E62" s="15">
        <f>IF(COUNTIF('Résultats des tournois'!$B62:'Résultats des tournois'!E62,"&lt;&gt;")&lt;=5,32,IF(COUNTIF('Résultats des tournois'!$B62:'Résultats des tournois'!E62,"&lt;&gt;")&lt;=15,24,16))</f>
        <v>32</v>
      </c>
      <c r="F62" s="15">
        <f>IF(COUNTIF('Résultats des tournois'!$B62:'Résultats des tournois'!F62,"&lt;&gt;")&lt;=5,32,IF(COUNTIF('Résultats des tournois'!$B62:'Résultats des tournois'!F62,"&lt;&gt;")&lt;=15,24,16))</f>
        <v>32</v>
      </c>
      <c r="G62" s="15">
        <f>IF(COUNTIF('Résultats des tournois'!$B62:'Résultats des tournois'!G62,"&lt;&gt;")&lt;=5,32,IF(COUNTIF('Résultats des tournois'!$B62:'Résultats des tournois'!G62,"&lt;&gt;")&lt;=15,24,16))</f>
        <v>32</v>
      </c>
      <c r="H62" s="15">
        <f>IF(COUNTIF('Résultats des tournois'!$B62:'Résultats des tournois'!H62,"&lt;&gt;")&lt;=5,32,IF(COUNTIF('Résultats des tournois'!$B62:'Résultats des tournois'!H62,"&lt;&gt;")&lt;=15,24,16))</f>
        <v>32</v>
      </c>
      <c r="I62" s="15">
        <f>IF(COUNTIF('Résultats des tournois'!$B62:'Résultats des tournois'!I62,"&lt;&gt;")&lt;=5,32,IF(COUNTIF('Résultats des tournois'!$B62:'Résultats des tournois'!I62,"&lt;&gt;")&lt;=15,24,16))</f>
        <v>32</v>
      </c>
      <c r="J62" s="15">
        <f>IF(COUNTIF('Résultats des tournois'!$B62:'Résultats des tournois'!J62,"&lt;&gt;")&lt;=5,32,IF(COUNTIF('Résultats des tournois'!$B62:'Résultats des tournois'!J62,"&lt;&gt;")&lt;=15,24,16))</f>
        <v>32</v>
      </c>
      <c r="K62" s="15">
        <f>IF(COUNTIF('Résultats des tournois'!$B62:'Résultats des tournois'!K62,"&lt;&gt;")&lt;=5,32,IF(COUNTIF('Résultats des tournois'!$B62:'Résultats des tournois'!K62,"&lt;&gt;")&lt;=15,24,16))</f>
        <v>32</v>
      </c>
      <c r="L62" s="15">
        <f>IF(COUNTIF('Résultats des tournois'!$B62:'Résultats des tournois'!L62,"&lt;&gt;")&lt;=5,32,IF(COUNTIF('Résultats des tournois'!$B62:'Résultats des tournois'!L62,"&lt;&gt;")&lt;=15,24,16))</f>
        <v>32</v>
      </c>
      <c r="M62" s="15">
        <f>IF(COUNTIF('Résultats des tournois'!$B62:'Résultats des tournois'!M62,"&lt;&gt;")&lt;=5,32,IF(COUNTIF('Résultats des tournois'!$B62:'Résultats des tournois'!M62,"&lt;&gt;")&lt;=15,24,16))</f>
        <v>32</v>
      </c>
      <c r="N62" s="15">
        <f>IF(COUNTIF('Résultats des tournois'!$B62:'Résultats des tournois'!N62,"&lt;&gt;")&lt;=5,32,IF(COUNTIF('Résultats des tournois'!$B62:'Résultats des tournois'!N62,"&lt;&gt;")&lt;=15,24,16))</f>
        <v>32</v>
      </c>
      <c r="O62" s="15">
        <f>IF(COUNTIF('Résultats des tournois'!$B62:'Résultats des tournois'!O62,"&lt;&gt;")&lt;=5,32,IF(COUNTIF('Résultats des tournois'!$B62:'Résultats des tournois'!O62,"&lt;&gt;")&lt;=15,24,16))</f>
        <v>32</v>
      </c>
      <c r="P62" s="15">
        <f>IF(COUNTIF('Résultats des tournois'!$B62:'Résultats des tournois'!P62,"&lt;&gt;")&lt;=5,32,IF(COUNTIF('Résultats des tournois'!$B62:'Résultats des tournois'!P62,"&lt;&gt;")&lt;=15,24,16))</f>
        <v>32</v>
      </c>
      <c r="Q62" s="15">
        <f>IF(COUNTIF('Résultats des tournois'!$B62:'Résultats des tournois'!Q62,"&lt;&gt;")&lt;=5,32,IF(COUNTIF('Résultats des tournois'!$B62:'Résultats des tournois'!Q62,"&lt;&gt;")&lt;=15,24,16))</f>
        <v>32</v>
      </c>
      <c r="R62" s="15">
        <f>IF(COUNTIF('Résultats des tournois'!$B62:'Résultats des tournois'!R62,"&lt;&gt;")&lt;=5,32,IF(COUNTIF('Résultats des tournois'!$B62:'Résultats des tournois'!R62,"&lt;&gt;")&lt;=15,24,16))</f>
        <v>32</v>
      </c>
      <c r="S62" s="15">
        <f>IF(COUNTIF('Résultats des tournois'!$B62:'Résultats des tournois'!S62,"&lt;&gt;")&lt;=5,32,IF(COUNTIF('Résultats des tournois'!$B62:'Résultats des tournois'!S62,"&lt;&gt;")&lt;=15,24,16))</f>
        <v>32</v>
      </c>
      <c r="T62" s="15">
        <f>IF(COUNTIF('Résultats des tournois'!$B62:'Résultats des tournois'!T62,"&lt;&gt;")&lt;=5,32,IF(COUNTIF('Résultats des tournois'!$B62:'Résultats des tournois'!T62,"&lt;&gt;")&lt;=15,24,16))</f>
        <v>32</v>
      </c>
      <c r="U62" s="15">
        <f>IF(COUNTIF('Résultats des tournois'!$B62:'Résultats des tournois'!U62,"&lt;&gt;")&lt;=5,32,IF(COUNTIF('Résultats des tournois'!$B62:'Résultats des tournois'!U62,"&lt;&gt;")&lt;=15,24,16))</f>
        <v>32</v>
      </c>
      <c r="V62" s="15">
        <f>IF(COUNTIF('Résultats des tournois'!$B62:'Résultats des tournois'!V62,"&lt;&gt;")&lt;=5,32,IF(COUNTIF('Résultats des tournois'!$B62:'Résultats des tournois'!V62,"&lt;&gt;")&lt;=15,24,16))</f>
        <v>32</v>
      </c>
      <c r="W62" s="15">
        <f>IF(COUNTIF('Résultats des tournois'!$B62:'Résultats des tournois'!W62,"&lt;&gt;")&lt;=5,32,IF(COUNTIF('Résultats des tournois'!$B62:'Résultats des tournois'!W62,"&lt;&gt;")&lt;=15,24,16))</f>
        <v>32</v>
      </c>
      <c r="X62" s="15">
        <f>IF(COUNTIF('Résultats des tournois'!$B62:'Résultats des tournois'!X62,"&lt;&gt;")&lt;=5,32,IF(COUNTIF('Résultats des tournois'!$B62:'Résultats des tournois'!X62,"&lt;&gt;")&lt;=15,24,16))</f>
        <v>32</v>
      </c>
      <c r="Y62" s="15">
        <f>IF(COUNTIF('Résultats des tournois'!$B62:'Résultats des tournois'!Y62,"&lt;&gt;")&lt;=5,32,IF(COUNTIF('Résultats des tournois'!$B62:'Résultats des tournois'!Y62,"&lt;&gt;")&lt;=15,24,16))</f>
        <v>32</v>
      </c>
      <c r="Z62" s="15">
        <f>IF(COUNTIF('Résultats des tournois'!$B62:'Résultats des tournois'!Z62,"&lt;&gt;")&lt;=5,32,IF(COUNTIF('Résultats des tournois'!$B62:'Résultats des tournois'!Z62,"&lt;&gt;")&lt;=15,24,16))</f>
        <v>32</v>
      </c>
      <c r="AA62" s="15">
        <f>IF(COUNTIF('Résultats des tournois'!$B62:'Résultats des tournois'!AA62,"&lt;&gt;")&lt;=5,32,IF(COUNTIF('Résultats des tournois'!$B62:'Résultats des tournois'!AA62,"&lt;&gt;")&lt;=15,24,16))</f>
        <v>32</v>
      </c>
      <c r="AB62" s="15">
        <f>IF(COUNTIF('Résultats des tournois'!$B62:'Résultats des tournois'!AB62,"&lt;&gt;")&lt;=5,32,IF(COUNTIF('Résultats des tournois'!$B62:'Résultats des tournois'!AB62,"&lt;&gt;")&lt;=15,24,16))</f>
        <v>32</v>
      </c>
      <c r="AC62" s="15">
        <f>IF(COUNTIF('Résultats des tournois'!$B62:'Résultats des tournois'!AC62,"&lt;&gt;")&lt;=5,32,IF(COUNTIF('Résultats des tournois'!$B62:'Résultats des tournois'!AC62,"&lt;&gt;")&lt;=15,24,16))</f>
        <v>32</v>
      </c>
      <c r="AD62" s="15">
        <f>IF(COUNTIF('Résultats des tournois'!$B62:'Résultats des tournois'!AD62,"&lt;&gt;")&lt;=5,32,IF(COUNTIF('Résultats des tournois'!$B62:'Résultats des tournois'!AD62,"&lt;&gt;")&lt;=15,24,16))</f>
        <v>32</v>
      </c>
      <c r="AE62" s="15">
        <f>IF(COUNTIF('Résultats des tournois'!$B62:'Résultats des tournois'!AE62,"&lt;&gt;")&lt;=5,32,IF(COUNTIF('Résultats des tournois'!$B62:'Résultats des tournois'!AE62,"&lt;&gt;")&lt;=15,24,16))</f>
        <v>32</v>
      </c>
      <c r="AF62" s="15">
        <f>IF(COUNTIF('Résultats des tournois'!$B62:'Résultats des tournois'!AF62,"&lt;&gt;")&lt;=5,32,IF(COUNTIF('Résultats des tournois'!$B62:'Résultats des tournois'!AF62,"&lt;&gt;")&lt;=15,24,16))</f>
        <v>32</v>
      </c>
      <c r="AG62" s="15">
        <f>IF(COUNTIF('Résultats des tournois'!$B62:'Résultats des tournois'!AG62,"&lt;&gt;")&lt;=5,32,IF(COUNTIF('Résultats des tournois'!$B62:'Résultats des tournois'!AG62,"&lt;&gt;")&lt;=15,24,16))</f>
        <v>32</v>
      </c>
      <c r="AH62" s="15">
        <f>IF(COUNTIF('Résultats des tournois'!$B62:'Résultats des tournois'!AH62,"&lt;&gt;")&lt;=5,32,IF(COUNTIF('Résultats des tournois'!$B62:'Résultats des tournois'!AH62,"&lt;&gt;")&lt;=15,24,16))</f>
        <v>32</v>
      </c>
      <c r="AI62" s="15">
        <f>IF(COUNTIF('Résultats des tournois'!$B62:'Résultats des tournois'!AI62,"&lt;&gt;")&lt;=5,32,IF(COUNTIF('Résultats des tournois'!$B62:'Résultats des tournois'!AI62,"&lt;&gt;")&lt;=15,24,16))</f>
        <v>32</v>
      </c>
      <c r="AJ62" s="15">
        <f>IF(COUNTIF('Résultats des tournois'!$B62:'Résultats des tournois'!AJ62,"&lt;&gt;")&lt;=5,32,IF(COUNTIF('Résultats des tournois'!$B62:'Résultats des tournois'!AJ62,"&lt;&gt;")&lt;=15,24,16))</f>
        <v>32</v>
      </c>
      <c r="AK62" s="15">
        <f>IF(COUNTIF('Résultats des tournois'!$B62:'Résultats des tournois'!AK62,"&lt;&gt;")&lt;=5,32,IF(COUNTIF('Résultats des tournois'!$B62:'Résultats des tournois'!AK62,"&lt;&gt;")&lt;=15,24,16))</f>
        <v>32</v>
      </c>
      <c r="AL62" s="15">
        <f>IF(COUNTIF('Résultats des tournois'!$B62:'Résultats des tournois'!AL62,"&lt;&gt;")&lt;=5,32,IF(COUNTIF('Résultats des tournois'!$B62:'Résultats des tournois'!AL62,"&lt;&gt;")&lt;=15,24,16))</f>
        <v>32</v>
      </c>
      <c r="AM62" s="15">
        <f>IF(COUNTIF('Résultats des tournois'!$B62:'Résultats des tournois'!AM62,"&lt;&gt;")&lt;=5,32,IF(COUNTIF('Résultats des tournois'!$B62:'Résultats des tournois'!AM62,"&lt;&gt;")&lt;=15,24,16))</f>
        <v>32</v>
      </c>
      <c r="AN62" s="15">
        <f>IF(COUNTIF('Résultats des tournois'!$B62:'Résultats des tournois'!AN62,"&lt;&gt;")&lt;=5,32,IF(COUNTIF('Résultats des tournois'!$B62:'Résultats des tournois'!AN62,"&lt;&gt;")&lt;=15,24,16))</f>
        <v>32</v>
      </c>
      <c r="AO62" s="15">
        <f>IF(COUNTIF('Résultats des tournois'!$B62:'Résultats des tournois'!AO62,"&lt;&gt;")&lt;=5,32,IF(COUNTIF('Résultats des tournois'!$B62:'Résultats des tournois'!AO62,"&lt;&gt;")&lt;=15,24,16))</f>
        <v>32</v>
      </c>
      <c r="AP62" s="15">
        <f>IF(COUNTIF('Résultats des tournois'!$B62:'Résultats des tournois'!AP62,"&lt;&gt;")&lt;=5,32,IF(COUNTIF('Résultats des tournois'!$B62:'Résultats des tournois'!AP62,"&lt;&gt;")&lt;=15,24,16))</f>
        <v>32</v>
      </c>
      <c r="AQ62" s="15">
        <f>IF(COUNTIF('Résultats des tournois'!$B62:'Résultats des tournois'!AQ62,"&lt;&gt;")&lt;=5,32,IF(COUNTIF('Résultats des tournois'!$B62:'Résultats des tournois'!AQ62,"&lt;&gt;")&lt;=15,24,16))</f>
        <v>32</v>
      </c>
      <c r="AR62" s="15">
        <f>IF(COUNTIF('Résultats des tournois'!$B62:'Résultats des tournois'!AR62,"&lt;&gt;")&lt;=5,32,IF(COUNTIF('Résultats des tournois'!$B62:'Résultats des tournois'!AR62,"&lt;&gt;")&lt;=15,24,16))</f>
        <v>32</v>
      </c>
      <c r="AS62" s="15">
        <f>IF(COUNTIF('Résultats des tournois'!$B62:'Résultats des tournois'!AS62,"&lt;&gt;")&lt;=5,32,IF(COUNTIF('Résultats des tournois'!$B62:'Résultats des tournois'!AS62,"&lt;&gt;")&lt;=15,24,16))</f>
        <v>32</v>
      </c>
      <c r="AT62" s="15">
        <f>IF(COUNTIF('Résultats des tournois'!$B62:'Résultats des tournois'!AT62,"&lt;&gt;")&lt;=5,32,IF(COUNTIF('Résultats des tournois'!$B62:'Résultats des tournois'!AT62,"&lt;&gt;")&lt;=15,24,16))</f>
        <v>32</v>
      </c>
      <c r="AU62" s="15">
        <f>IF(COUNTIF('Résultats des tournois'!$B62:'Résultats des tournois'!AU62,"&lt;&gt;")&lt;=5,32,IF(COUNTIF('Résultats des tournois'!$B62:'Résultats des tournois'!AU62,"&lt;&gt;")&lt;=15,24,16))</f>
        <v>32</v>
      </c>
      <c r="AV62" s="15">
        <f>IF(COUNTIF('Résultats des tournois'!$B62:'Résultats des tournois'!AV62,"&lt;&gt;")&lt;=5,32,IF(COUNTIF('Résultats des tournois'!$B62:'Résultats des tournois'!AV62,"&lt;&gt;")&lt;=15,24,16))</f>
        <v>32</v>
      </c>
      <c r="AW62" s="15">
        <f>IF(COUNTIF('Résultats des tournois'!$B62:'Résultats des tournois'!AW62,"&lt;&gt;")&lt;=5,32,IF(COUNTIF('Résultats des tournois'!$B62:'Résultats des tournois'!AW62,"&lt;&gt;")&lt;=15,24,16))</f>
        <v>32</v>
      </c>
      <c r="AX62" s="15">
        <f>IF(COUNTIF('Résultats des tournois'!$B62:'Résultats des tournois'!AX62,"&lt;&gt;")&lt;=5,32,IF(COUNTIF('Résultats des tournois'!$B62:'Résultats des tournois'!AX62,"&lt;&gt;")&lt;=15,24,16))</f>
        <v>32</v>
      </c>
    </row>
    <row r="63" ht="14.25" customHeight="1">
      <c r="A63" s="15" t="str">
        <f>IF('Résultats des tournois'!A63="","",'Résultats des tournois'!A63)</f>
        <v/>
      </c>
      <c r="B63" s="15">
        <f>IF(COUNTIF('Résultats des tournois'!B63,"&lt;&gt;")&lt;=5,32,IF(COUNTIF('Résultats des tournois'!B63,"&lt;&gt;")&lt;=15,24,16))</f>
        <v>32</v>
      </c>
      <c r="C63" s="15">
        <f>IF(COUNTIF('Résultats des tournois'!$B63:'Résultats des tournois'!C63,"&lt;&gt;")&lt;=5,32,IF(COUNTIF('Résultats des tournois'!$B63:'Résultats des tournois'!C63,"&lt;&gt;")&lt;=15,24,16))</f>
        <v>32</v>
      </c>
      <c r="D63" s="15">
        <f>IF(COUNTIF('Résultats des tournois'!$B63:'Résultats des tournois'!D63,"&lt;&gt;")&lt;=5,32,IF(COUNTIF('Résultats des tournois'!$B63:'Résultats des tournois'!D63,"&lt;&gt;")&lt;=15,24,16))</f>
        <v>32</v>
      </c>
      <c r="E63" s="15">
        <f>IF(COUNTIF('Résultats des tournois'!$B63:'Résultats des tournois'!E63,"&lt;&gt;")&lt;=5,32,IF(COUNTIF('Résultats des tournois'!$B63:'Résultats des tournois'!E63,"&lt;&gt;")&lt;=15,24,16))</f>
        <v>32</v>
      </c>
      <c r="F63" s="15">
        <f>IF(COUNTIF('Résultats des tournois'!$B63:'Résultats des tournois'!F63,"&lt;&gt;")&lt;=5,32,IF(COUNTIF('Résultats des tournois'!$B63:'Résultats des tournois'!F63,"&lt;&gt;")&lt;=15,24,16))</f>
        <v>32</v>
      </c>
      <c r="G63" s="15">
        <f>IF(COUNTIF('Résultats des tournois'!$B63:'Résultats des tournois'!G63,"&lt;&gt;")&lt;=5,32,IF(COUNTIF('Résultats des tournois'!$B63:'Résultats des tournois'!G63,"&lt;&gt;")&lt;=15,24,16))</f>
        <v>32</v>
      </c>
      <c r="H63" s="15">
        <f>IF(COUNTIF('Résultats des tournois'!$B63:'Résultats des tournois'!H63,"&lt;&gt;")&lt;=5,32,IF(COUNTIF('Résultats des tournois'!$B63:'Résultats des tournois'!H63,"&lt;&gt;")&lt;=15,24,16))</f>
        <v>32</v>
      </c>
      <c r="I63" s="15">
        <f>IF(COUNTIF('Résultats des tournois'!$B63:'Résultats des tournois'!I63,"&lt;&gt;")&lt;=5,32,IF(COUNTIF('Résultats des tournois'!$B63:'Résultats des tournois'!I63,"&lt;&gt;")&lt;=15,24,16))</f>
        <v>32</v>
      </c>
      <c r="J63" s="15">
        <f>IF(COUNTIF('Résultats des tournois'!$B63:'Résultats des tournois'!J63,"&lt;&gt;")&lt;=5,32,IF(COUNTIF('Résultats des tournois'!$B63:'Résultats des tournois'!J63,"&lt;&gt;")&lt;=15,24,16))</f>
        <v>32</v>
      </c>
      <c r="K63" s="15">
        <f>IF(COUNTIF('Résultats des tournois'!$B63:'Résultats des tournois'!K63,"&lt;&gt;")&lt;=5,32,IF(COUNTIF('Résultats des tournois'!$B63:'Résultats des tournois'!K63,"&lt;&gt;")&lt;=15,24,16))</f>
        <v>32</v>
      </c>
      <c r="L63" s="15">
        <f>IF(COUNTIF('Résultats des tournois'!$B63:'Résultats des tournois'!L63,"&lt;&gt;")&lt;=5,32,IF(COUNTIF('Résultats des tournois'!$B63:'Résultats des tournois'!L63,"&lt;&gt;")&lt;=15,24,16))</f>
        <v>32</v>
      </c>
      <c r="M63" s="15">
        <f>IF(COUNTIF('Résultats des tournois'!$B63:'Résultats des tournois'!M63,"&lt;&gt;")&lt;=5,32,IF(COUNTIF('Résultats des tournois'!$B63:'Résultats des tournois'!M63,"&lt;&gt;")&lt;=15,24,16))</f>
        <v>32</v>
      </c>
      <c r="N63" s="15">
        <f>IF(COUNTIF('Résultats des tournois'!$B63:'Résultats des tournois'!N63,"&lt;&gt;")&lt;=5,32,IF(COUNTIF('Résultats des tournois'!$B63:'Résultats des tournois'!N63,"&lt;&gt;")&lt;=15,24,16))</f>
        <v>32</v>
      </c>
      <c r="O63" s="15">
        <f>IF(COUNTIF('Résultats des tournois'!$B63:'Résultats des tournois'!O63,"&lt;&gt;")&lt;=5,32,IF(COUNTIF('Résultats des tournois'!$B63:'Résultats des tournois'!O63,"&lt;&gt;")&lt;=15,24,16))</f>
        <v>32</v>
      </c>
      <c r="P63" s="15">
        <f>IF(COUNTIF('Résultats des tournois'!$B63:'Résultats des tournois'!P63,"&lt;&gt;")&lt;=5,32,IF(COUNTIF('Résultats des tournois'!$B63:'Résultats des tournois'!P63,"&lt;&gt;")&lt;=15,24,16))</f>
        <v>32</v>
      </c>
      <c r="Q63" s="15">
        <f>IF(COUNTIF('Résultats des tournois'!$B63:'Résultats des tournois'!Q63,"&lt;&gt;")&lt;=5,32,IF(COUNTIF('Résultats des tournois'!$B63:'Résultats des tournois'!Q63,"&lt;&gt;")&lt;=15,24,16))</f>
        <v>32</v>
      </c>
      <c r="R63" s="15">
        <f>IF(COUNTIF('Résultats des tournois'!$B63:'Résultats des tournois'!R63,"&lt;&gt;")&lt;=5,32,IF(COUNTIF('Résultats des tournois'!$B63:'Résultats des tournois'!R63,"&lt;&gt;")&lt;=15,24,16))</f>
        <v>32</v>
      </c>
      <c r="S63" s="15">
        <f>IF(COUNTIF('Résultats des tournois'!$B63:'Résultats des tournois'!S63,"&lt;&gt;")&lt;=5,32,IF(COUNTIF('Résultats des tournois'!$B63:'Résultats des tournois'!S63,"&lt;&gt;")&lt;=15,24,16))</f>
        <v>32</v>
      </c>
      <c r="T63" s="15">
        <f>IF(COUNTIF('Résultats des tournois'!$B63:'Résultats des tournois'!T63,"&lt;&gt;")&lt;=5,32,IF(COUNTIF('Résultats des tournois'!$B63:'Résultats des tournois'!T63,"&lt;&gt;")&lt;=15,24,16))</f>
        <v>32</v>
      </c>
      <c r="U63" s="15">
        <f>IF(COUNTIF('Résultats des tournois'!$B63:'Résultats des tournois'!U63,"&lt;&gt;")&lt;=5,32,IF(COUNTIF('Résultats des tournois'!$B63:'Résultats des tournois'!U63,"&lt;&gt;")&lt;=15,24,16))</f>
        <v>32</v>
      </c>
      <c r="V63" s="15">
        <f>IF(COUNTIF('Résultats des tournois'!$B63:'Résultats des tournois'!V63,"&lt;&gt;")&lt;=5,32,IF(COUNTIF('Résultats des tournois'!$B63:'Résultats des tournois'!V63,"&lt;&gt;")&lt;=15,24,16))</f>
        <v>32</v>
      </c>
      <c r="W63" s="15">
        <f>IF(COUNTIF('Résultats des tournois'!$B63:'Résultats des tournois'!W63,"&lt;&gt;")&lt;=5,32,IF(COUNTIF('Résultats des tournois'!$B63:'Résultats des tournois'!W63,"&lt;&gt;")&lt;=15,24,16))</f>
        <v>32</v>
      </c>
      <c r="X63" s="15">
        <f>IF(COUNTIF('Résultats des tournois'!$B63:'Résultats des tournois'!X63,"&lt;&gt;")&lt;=5,32,IF(COUNTIF('Résultats des tournois'!$B63:'Résultats des tournois'!X63,"&lt;&gt;")&lt;=15,24,16))</f>
        <v>32</v>
      </c>
      <c r="Y63" s="15">
        <f>IF(COUNTIF('Résultats des tournois'!$B63:'Résultats des tournois'!Y63,"&lt;&gt;")&lt;=5,32,IF(COUNTIF('Résultats des tournois'!$B63:'Résultats des tournois'!Y63,"&lt;&gt;")&lt;=15,24,16))</f>
        <v>32</v>
      </c>
      <c r="Z63" s="15">
        <f>IF(COUNTIF('Résultats des tournois'!$B63:'Résultats des tournois'!Z63,"&lt;&gt;")&lt;=5,32,IF(COUNTIF('Résultats des tournois'!$B63:'Résultats des tournois'!Z63,"&lt;&gt;")&lt;=15,24,16))</f>
        <v>32</v>
      </c>
      <c r="AA63" s="15">
        <f>IF(COUNTIF('Résultats des tournois'!$B63:'Résultats des tournois'!AA63,"&lt;&gt;")&lt;=5,32,IF(COUNTIF('Résultats des tournois'!$B63:'Résultats des tournois'!AA63,"&lt;&gt;")&lt;=15,24,16))</f>
        <v>32</v>
      </c>
      <c r="AB63" s="15">
        <f>IF(COUNTIF('Résultats des tournois'!$B63:'Résultats des tournois'!AB63,"&lt;&gt;")&lt;=5,32,IF(COUNTIF('Résultats des tournois'!$B63:'Résultats des tournois'!AB63,"&lt;&gt;")&lt;=15,24,16))</f>
        <v>32</v>
      </c>
      <c r="AC63" s="15">
        <f>IF(COUNTIF('Résultats des tournois'!$B63:'Résultats des tournois'!AC63,"&lt;&gt;")&lt;=5,32,IF(COUNTIF('Résultats des tournois'!$B63:'Résultats des tournois'!AC63,"&lt;&gt;")&lt;=15,24,16))</f>
        <v>32</v>
      </c>
      <c r="AD63" s="15">
        <f>IF(COUNTIF('Résultats des tournois'!$B63:'Résultats des tournois'!AD63,"&lt;&gt;")&lt;=5,32,IF(COUNTIF('Résultats des tournois'!$B63:'Résultats des tournois'!AD63,"&lt;&gt;")&lt;=15,24,16))</f>
        <v>32</v>
      </c>
      <c r="AE63" s="15">
        <f>IF(COUNTIF('Résultats des tournois'!$B63:'Résultats des tournois'!AE63,"&lt;&gt;")&lt;=5,32,IF(COUNTIF('Résultats des tournois'!$B63:'Résultats des tournois'!AE63,"&lt;&gt;")&lt;=15,24,16))</f>
        <v>32</v>
      </c>
      <c r="AF63" s="15">
        <f>IF(COUNTIF('Résultats des tournois'!$B63:'Résultats des tournois'!AF63,"&lt;&gt;")&lt;=5,32,IF(COUNTIF('Résultats des tournois'!$B63:'Résultats des tournois'!AF63,"&lt;&gt;")&lt;=15,24,16))</f>
        <v>32</v>
      </c>
      <c r="AG63" s="15">
        <f>IF(COUNTIF('Résultats des tournois'!$B63:'Résultats des tournois'!AG63,"&lt;&gt;")&lt;=5,32,IF(COUNTIF('Résultats des tournois'!$B63:'Résultats des tournois'!AG63,"&lt;&gt;")&lt;=15,24,16))</f>
        <v>32</v>
      </c>
      <c r="AH63" s="15">
        <f>IF(COUNTIF('Résultats des tournois'!$B63:'Résultats des tournois'!AH63,"&lt;&gt;")&lt;=5,32,IF(COUNTIF('Résultats des tournois'!$B63:'Résultats des tournois'!AH63,"&lt;&gt;")&lt;=15,24,16))</f>
        <v>32</v>
      </c>
      <c r="AI63" s="15">
        <f>IF(COUNTIF('Résultats des tournois'!$B63:'Résultats des tournois'!AI63,"&lt;&gt;")&lt;=5,32,IF(COUNTIF('Résultats des tournois'!$B63:'Résultats des tournois'!AI63,"&lt;&gt;")&lt;=15,24,16))</f>
        <v>32</v>
      </c>
      <c r="AJ63" s="15">
        <f>IF(COUNTIF('Résultats des tournois'!$B63:'Résultats des tournois'!AJ63,"&lt;&gt;")&lt;=5,32,IF(COUNTIF('Résultats des tournois'!$B63:'Résultats des tournois'!AJ63,"&lt;&gt;")&lt;=15,24,16))</f>
        <v>32</v>
      </c>
      <c r="AK63" s="15">
        <f>IF(COUNTIF('Résultats des tournois'!$B63:'Résultats des tournois'!AK63,"&lt;&gt;")&lt;=5,32,IF(COUNTIF('Résultats des tournois'!$B63:'Résultats des tournois'!AK63,"&lt;&gt;")&lt;=15,24,16))</f>
        <v>32</v>
      </c>
      <c r="AL63" s="15">
        <f>IF(COUNTIF('Résultats des tournois'!$B63:'Résultats des tournois'!AL63,"&lt;&gt;")&lt;=5,32,IF(COUNTIF('Résultats des tournois'!$B63:'Résultats des tournois'!AL63,"&lt;&gt;")&lt;=15,24,16))</f>
        <v>32</v>
      </c>
      <c r="AM63" s="15">
        <f>IF(COUNTIF('Résultats des tournois'!$B63:'Résultats des tournois'!AM63,"&lt;&gt;")&lt;=5,32,IF(COUNTIF('Résultats des tournois'!$B63:'Résultats des tournois'!AM63,"&lt;&gt;")&lt;=15,24,16))</f>
        <v>32</v>
      </c>
      <c r="AN63" s="15">
        <f>IF(COUNTIF('Résultats des tournois'!$B63:'Résultats des tournois'!AN63,"&lt;&gt;")&lt;=5,32,IF(COUNTIF('Résultats des tournois'!$B63:'Résultats des tournois'!AN63,"&lt;&gt;")&lt;=15,24,16))</f>
        <v>32</v>
      </c>
      <c r="AO63" s="15">
        <f>IF(COUNTIF('Résultats des tournois'!$B63:'Résultats des tournois'!AO63,"&lt;&gt;")&lt;=5,32,IF(COUNTIF('Résultats des tournois'!$B63:'Résultats des tournois'!AO63,"&lt;&gt;")&lt;=15,24,16))</f>
        <v>32</v>
      </c>
      <c r="AP63" s="15">
        <f>IF(COUNTIF('Résultats des tournois'!$B63:'Résultats des tournois'!AP63,"&lt;&gt;")&lt;=5,32,IF(COUNTIF('Résultats des tournois'!$B63:'Résultats des tournois'!AP63,"&lt;&gt;")&lt;=15,24,16))</f>
        <v>32</v>
      </c>
      <c r="AQ63" s="15">
        <f>IF(COUNTIF('Résultats des tournois'!$B63:'Résultats des tournois'!AQ63,"&lt;&gt;")&lt;=5,32,IF(COUNTIF('Résultats des tournois'!$B63:'Résultats des tournois'!AQ63,"&lt;&gt;")&lt;=15,24,16))</f>
        <v>32</v>
      </c>
      <c r="AR63" s="15">
        <f>IF(COUNTIF('Résultats des tournois'!$B63:'Résultats des tournois'!AR63,"&lt;&gt;")&lt;=5,32,IF(COUNTIF('Résultats des tournois'!$B63:'Résultats des tournois'!AR63,"&lt;&gt;")&lt;=15,24,16))</f>
        <v>32</v>
      </c>
      <c r="AS63" s="15">
        <f>IF(COUNTIF('Résultats des tournois'!$B63:'Résultats des tournois'!AS63,"&lt;&gt;")&lt;=5,32,IF(COUNTIF('Résultats des tournois'!$B63:'Résultats des tournois'!AS63,"&lt;&gt;")&lt;=15,24,16))</f>
        <v>32</v>
      </c>
      <c r="AT63" s="15">
        <f>IF(COUNTIF('Résultats des tournois'!$B63:'Résultats des tournois'!AT63,"&lt;&gt;")&lt;=5,32,IF(COUNTIF('Résultats des tournois'!$B63:'Résultats des tournois'!AT63,"&lt;&gt;")&lt;=15,24,16))</f>
        <v>32</v>
      </c>
      <c r="AU63" s="15">
        <f>IF(COUNTIF('Résultats des tournois'!$B63:'Résultats des tournois'!AU63,"&lt;&gt;")&lt;=5,32,IF(COUNTIF('Résultats des tournois'!$B63:'Résultats des tournois'!AU63,"&lt;&gt;")&lt;=15,24,16))</f>
        <v>32</v>
      </c>
      <c r="AV63" s="15">
        <f>IF(COUNTIF('Résultats des tournois'!$B63:'Résultats des tournois'!AV63,"&lt;&gt;")&lt;=5,32,IF(COUNTIF('Résultats des tournois'!$B63:'Résultats des tournois'!AV63,"&lt;&gt;")&lt;=15,24,16))</f>
        <v>32</v>
      </c>
      <c r="AW63" s="15">
        <f>IF(COUNTIF('Résultats des tournois'!$B63:'Résultats des tournois'!AW63,"&lt;&gt;")&lt;=5,32,IF(COUNTIF('Résultats des tournois'!$B63:'Résultats des tournois'!AW63,"&lt;&gt;")&lt;=15,24,16))</f>
        <v>32</v>
      </c>
      <c r="AX63" s="15">
        <f>IF(COUNTIF('Résultats des tournois'!$B63:'Résultats des tournois'!AX63,"&lt;&gt;")&lt;=5,32,IF(COUNTIF('Résultats des tournois'!$B63:'Résultats des tournois'!AX63,"&lt;&gt;")&lt;=15,24,16))</f>
        <v>32</v>
      </c>
    </row>
    <row r="64" ht="14.25" customHeight="1">
      <c r="A64" s="15" t="str">
        <f>IF('Résultats des tournois'!A64="","",'Résultats des tournois'!A64)</f>
        <v/>
      </c>
      <c r="B64" s="15">
        <f>IF(COUNTIF('Résultats des tournois'!B64,"&lt;&gt;")&lt;=5,32,IF(COUNTIF('Résultats des tournois'!B64,"&lt;&gt;")&lt;=15,24,16))</f>
        <v>32</v>
      </c>
      <c r="C64" s="15">
        <f>IF(COUNTIF('Résultats des tournois'!$B64:'Résultats des tournois'!C64,"&lt;&gt;")&lt;=5,32,IF(COUNTIF('Résultats des tournois'!$B64:'Résultats des tournois'!C64,"&lt;&gt;")&lt;=15,24,16))</f>
        <v>32</v>
      </c>
      <c r="D64" s="15">
        <f>IF(COUNTIF('Résultats des tournois'!$B64:'Résultats des tournois'!D64,"&lt;&gt;")&lt;=5,32,IF(COUNTIF('Résultats des tournois'!$B64:'Résultats des tournois'!D64,"&lt;&gt;")&lt;=15,24,16))</f>
        <v>32</v>
      </c>
      <c r="E64" s="15">
        <f>IF(COUNTIF('Résultats des tournois'!$B64:'Résultats des tournois'!E64,"&lt;&gt;")&lt;=5,32,IF(COUNTIF('Résultats des tournois'!$B64:'Résultats des tournois'!E64,"&lt;&gt;")&lt;=15,24,16))</f>
        <v>32</v>
      </c>
      <c r="F64" s="15">
        <f>IF(COUNTIF('Résultats des tournois'!$B64:'Résultats des tournois'!F64,"&lt;&gt;")&lt;=5,32,IF(COUNTIF('Résultats des tournois'!$B64:'Résultats des tournois'!F64,"&lt;&gt;")&lt;=15,24,16))</f>
        <v>32</v>
      </c>
      <c r="G64" s="15">
        <f>IF(COUNTIF('Résultats des tournois'!$B64:'Résultats des tournois'!G64,"&lt;&gt;")&lt;=5,32,IF(COUNTIF('Résultats des tournois'!$B64:'Résultats des tournois'!G64,"&lt;&gt;")&lt;=15,24,16))</f>
        <v>32</v>
      </c>
      <c r="H64" s="15">
        <f>IF(COUNTIF('Résultats des tournois'!$B64:'Résultats des tournois'!H64,"&lt;&gt;")&lt;=5,32,IF(COUNTIF('Résultats des tournois'!$B64:'Résultats des tournois'!H64,"&lt;&gt;")&lt;=15,24,16))</f>
        <v>32</v>
      </c>
      <c r="I64" s="15">
        <f>IF(COUNTIF('Résultats des tournois'!$B64:'Résultats des tournois'!I64,"&lt;&gt;")&lt;=5,32,IF(COUNTIF('Résultats des tournois'!$B64:'Résultats des tournois'!I64,"&lt;&gt;")&lt;=15,24,16))</f>
        <v>32</v>
      </c>
      <c r="J64" s="15">
        <f>IF(COUNTIF('Résultats des tournois'!$B64:'Résultats des tournois'!J64,"&lt;&gt;")&lt;=5,32,IF(COUNTIF('Résultats des tournois'!$B64:'Résultats des tournois'!J64,"&lt;&gt;")&lt;=15,24,16))</f>
        <v>32</v>
      </c>
      <c r="K64" s="15">
        <f>IF(COUNTIF('Résultats des tournois'!$B64:'Résultats des tournois'!K64,"&lt;&gt;")&lt;=5,32,IF(COUNTIF('Résultats des tournois'!$B64:'Résultats des tournois'!K64,"&lt;&gt;")&lt;=15,24,16))</f>
        <v>32</v>
      </c>
      <c r="L64" s="15">
        <f>IF(COUNTIF('Résultats des tournois'!$B64:'Résultats des tournois'!L64,"&lt;&gt;")&lt;=5,32,IF(COUNTIF('Résultats des tournois'!$B64:'Résultats des tournois'!L64,"&lt;&gt;")&lt;=15,24,16))</f>
        <v>32</v>
      </c>
      <c r="M64" s="15">
        <f>IF(COUNTIF('Résultats des tournois'!$B64:'Résultats des tournois'!M64,"&lt;&gt;")&lt;=5,32,IF(COUNTIF('Résultats des tournois'!$B64:'Résultats des tournois'!M64,"&lt;&gt;")&lt;=15,24,16))</f>
        <v>32</v>
      </c>
      <c r="N64" s="15">
        <f>IF(COUNTIF('Résultats des tournois'!$B64:'Résultats des tournois'!N64,"&lt;&gt;")&lt;=5,32,IF(COUNTIF('Résultats des tournois'!$B64:'Résultats des tournois'!N64,"&lt;&gt;")&lt;=15,24,16))</f>
        <v>32</v>
      </c>
      <c r="O64" s="15">
        <f>IF(COUNTIF('Résultats des tournois'!$B64:'Résultats des tournois'!O64,"&lt;&gt;")&lt;=5,32,IF(COUNTIF('Résultats des tournois'!$B64:'Résultats des tournois'!O64,"&lt;&gt;")&lt;=15,24,16))</f>
        <v>32</v>
      </c>
      <c r="P64" s="15">
        <f>IF(COUNTIF('Résultats des tournois'!$B64:'Résultats des tournois'!P64,"&lt;&gt;")&lt;=5,32,IF(COUNTIF('Résultats des tournois'!$B64:'Résultats des tournois'!P64,"&lt;&gt;")&lt;=15,24,16))</f>
        <v>32</v>
      </c>
      <c r="Q64" s="15">
        <f>IF(COUNTIF('Résultats des tournois'!$B64:'Résultats des tournois'!Q64,"&lt;&gt;")&lt;=5,32,IF(COUNTIF('Résultats des tournois'!$B64:'Résultats des tournois'!Q64,"&lt;&gt;")&lt;=15,24,16))</f>
        <v>32</v>
      </c>
      <c r="R64" s="15">
        <f>IF(COUNTIF('Résultats des tournois'!$B64:'Résultats des tournois'!R64,"&lt;&gt;")&lt;=5,32,IF(COUNTIF('Résultats des tournois'!$B64:'Résultats des tournois'!R64,"&lt;&gt;")&lt;=15,24,16))</f>
        <v>32</v>
      </c>
      <c r="S64" s="15">
        <f>IF(COUNTIF('Résultats des tournois'!$B64:'Résultats des tournois'!S64,"&lt;&gt;")&lt;=5,32,IF(COUNTIF('Résultats des tournois'!$B64:'Résultats des tournois'!S64,"&lt;&gt;")&lt;=15,24,16))</f>
        <v>32</v>
      </c>
      <c r="T64" s="15">
        <f>IF(COUNTIF('Résultats des tournois'!$B64:'Résultats des tournois'!T64,"&lt;&gt;")&lt;=5,32,IF(COUNTIF('Résultats des tournois'!$B64:'Résultats des tournois'!T64,"&lt;&gt;")&lt;=15,24,16))</f>
        <v>32</v>
      </c>
      <c r="U64" s="15">
        <f>IF(COUNTIF('Résultats des tournois'!$B64:'Résultats des tournois'!U64,"&lt;&gt;")&lt;=5,32,IF(COUNTIF('Résultats des tournois'!$B64:'Résultats des tournois'!U64,"&lt;&gt;")&lt;=15,24,16))</f>
        <v>32</v>
      </c>
      <c r="V64" s="15">
        <f>IF(COUNTIF('Résultats des tournois'!$B64:'Résultats des tournois'!V64,"&lt;&gt;")&lt;=5,32,IF(COUNTIF('Résultats des tournois'!$B64:'Résultats des tournois'!V64,"&lt;&gt;")&lt;=15,24,16))</f>
        <v>32</v>
      </c>
      <c r="W64" s="15">
        <f>IF(COUNTIF('Résultats des tournois'!$B64:'Résultats des tournois'!W64,"&lt;&gt;")&lt;=5,32,IF(COUNTIF('Résultats des tournois'!$B64:'Résultats des tournois'!W64,"&lt;&gt;")&lt;=15,24,16))</f>
        <v>32</v>
      </c>
      <c r="X64" s="15">
        <f>IF(COUNTIF('Résultats des tournois'!$B64:'Résultats des tournois'!X64,"&lt;&gt;")&lt;=5,32,IF(COUNTIF('Résultats des tournois'!$B64:'Résultats des tournois'!X64,"&lt;&gt;")&lt;=15,24,16))</f>
        <v>32</v>
      </c>
      <c r="Y64" s="15">
        <f>IF(COUNTIF('Résultats des tournois'!$B64:'Résultats des tournois'!Y64,"&lt;&gt;")&lt;=5,32,IF(COUNTIF('Résultats des tournois'!$B64:'Résultats des tournois'!Y64,"&lt;&gt;")&lt;=15,24,16))</f>
        <v>32</v>
      </c>
      <c r="Z64" s="15">
        <f>IF(COUNTIF('Résultats des tournois'!$B64:'Résultats des tournois'!Z64,"&lt;&gt;")&lt;=5,32,IF(COUNTIF('Résultats des tournois'!$B64:'Résultats des tournois'!Z64,"&lt;&gt;")&lt;=15,24,16))</f>
        <v>32</v>
      </c>
      <c r="AA64" s="15">
        <f>IF(COUNTIF('Résultats des tournois'!$B64:'Résultats des tournois'!AA64,"&lt;&gt;")&lt;=5,32,IF(COUNTIF('Résultats des tournois'!$B64:'Résultats des tournois'!AA64,"&lt;&gt;")&lt;=15,24,16))</f>
        <v>32</v>
      </c>
      <c r="AB64" s="15">
        <f>IF(COUNTIF('Résultats des tournois'!$B64:'Résultats des tournois'!AB64,"&lt;&gt;")&lt;=5,32,IF(COUNTIF('Résultats des tournois'!$B64:'Résultats des tournois'!AB64,"&lt;&gt;")&lt;=15,24,16))</f>
        <v>32</v>
      </c>
      <c r="AC64" s="15">
        <f>IF(COUNTIF('Résultats des tournois'!$B64:'Résultats des tournois'!AC64,"&lt;&gt;")&lt;=5,32,IF(COUNTIF('Résultats des tournois'!$B64:'Résultats des tournois'!AC64,"&lt;&gt;")&lt;=15,24,16))</f>
        <v>32</v>
      </c>
      <c r="AD64" s="15">
        <f>IF(COUNTIF('Résultats des tournois'!$B64:'Résultats des tournois'!AD64,"&lt;&gt;")&lt;=5,32,IF(COUNTIF('Résultats des tournois'!$B64:'Résultats des tournois'!AD64,"&lt;&gt;")&lt;=15,24,16))</f>
        <v>32</v>
      </c>
      <c r="AE64" s="15">
        <f>IF(COUNTIF('Résultats des tournois'!$B64:'Résultats des tournois'!AE64,"&lt;&gt;")&lt;=5,32,IF(COUNTIF('Résultats des tournois'!$B64:'Résultats des tournois'!AE64,"&lt;&gt;")&lt;=15,24,16))</f>
        <v>32</v>
      </c>
      <c r="AF64" s="15">
        <f>IF(COUNTIF('Résultats des tournois'!$B64:'Résultats des tournois'!AF64,"&lt;&gt;")&lt;=5,32,IF(COUNTIF('Résultats des tournois'!$B64:'Résultats des tournois'!AF64,"&lt;&gt;")&lt;=15,24,16))</f>
        <v>32</v>
      </c>
      <c r="AG64" s="15">
        <f>IF(COUNTIF('Résultats des tournois'!$B64:'Résultats des tournois'!AG64,"&lt;&gt;")&lt;=5,32,IF(COUNTIF('Résultats des tournois'!$B64:'Résultats des tournois'!AG64,"&lt;&gt;")&lt;=15,24,16))</f>
        <v>32</v>
      </c>
      <c r="AH64" s="15">
        <f>IF(COUNTIF('Résultats des tournois'!$B64:'Résultats des tournois'!AH64,"&lt;&gt;")&lt;=5,32,IF(COUNTIF('Résultats des tournois'!$B64:'Résultats des tournois'!AH64,"&lt;&gt;")&lt;=15,24,16))</f>
        <v>32</v>
      </c>
      <c r="AI64" s="15">
        <f>IF(COUNTIF('Résultats des tournois'!$B64:'Résultats des tournois'!AI64,"&lt;&gt;")&lt;=5,32,IF(COUNTIF('Résultats des tournois'!$B64:'Résultats des tournois'!AI64,"&lt;&gt;")&lt;=15,24,16))</f>
        <v>32</v>
      </c>
      <c r="AJ64" s="15">
        <f>IF(COUNTIF('Résultats des tournois'!$B64:'Résultats des tournois'!AJ64,"&lt;&gt;")&lt;=5,32,IF(COUNTIF('Résultats des tournois'!$B64:'Résultats des tournois'!AJ64,"&lt;&gt;")&lt;=15,24,16))</f>
        <v>32</v>
      </c>
      <c r="AK64" s="15">
        <f>IF(COUNTIF('Résultats des tournois'!$B64:'Résultats des tournois'!AK64,"&lt;&gt;")&lt;=5,32,IF(COUNTIF('Résultats des tournois'!$B64:'Résultats des tournois'!AK64,"&lt;&gt;")&lt;=15,24,16))</f>
        <v>32</v>
      </c>
      <c r="AL64" s="15">
        <f>IF(COUNTIF('Résultats des tournois'!$B64:'Résultats des tournois'!AL64,"&lt;&gt;")&lt;=5,32,IF(COUNTIF('Résultats des tournois'!$B64:'Résultats des tournois'!AL64,"&lt;&gt;")&lt;=15,24,16))</f>
        <v>32</v>
      </c>
      <c r="AM64" s="15">
        <f>IF(COUNTIF('Résultats des tournois'!$B64:'Résultats des tournois'!AM64,"&lt;&gt;")&lt;=5,32,IF(COUNTIF('Résultats des tournois'!$B64:'Résultats des tournois'!AM64,"&lt;&gt;")&lt;=15,24,16))</f>
        <v>32</v>
      </c>
      <c r="AN64" s="15">
        <f>IF(COUNTIF('Résultats des tournois'!$B64:'Résultats des tournois'!AN64,"&lt;&gt;")&lt;=5,32,IF(COUNTIF('Résultats des tournois'!$B64:'Résultats des tournois'!AN64,"&lt;&gt;")&lt;=15,24,16))</f>
        <v>32</v>
      </c>
      <c r="AO64" s="15">
        <f>IF(COUNTIF('Résultats des tournois'!$B64:'Résultats des tournois'!AO64,"&lt;&gt;")&lt;=5,32,IF(COUNTIF('Résultats des tournois'!$B64:'Résultats des tournois'!AO64,"&lt;&gt;")&lt;=15,24,16))</f>
        <v>32</v>
      </c>
      <c r="AP64" s="15">
        <f>IF(COUNTIF('Résultats des tournois'!$B64:'Résultats des tournois'!AP64,"&lt;&gt;")&lt;=5,32,IF(COUNTIF('Résultats des tournois'!$B64:'Résultats des tournois'!AP64,"&lt;&gt;")&lt;=15,24,16))</f>
        <v>32</v>
      </c>
      <c r="AQ64" s="15">
        <f>IF(COUNTIF('Résultats des tournois'!$B64:'Résultats des tournois'!AQ64,"&lt;&gt;")&lt;=5,32,IF(COUNTIF('Résultats des tournois'!$B64:'Résultats des tournois'!AQ64,"&lt;&gt;")&lt;=15,24,16))</f>
        <v>32</v>
      </c>
      <c r="AR64" s="15">
        <f>IF(COUNTIF('Résultats des tournois'!$B64:'Résultats des tournois'!AR64,"&lt;&gt;")&lt;=5,32,IF(COUNTIF('Résultats des tournois'!$B64:'Résultats des tournois'!AR64,"&lt;&gt;")&lt;=15,24,16))</f>
        <v>32</v>
      </c>
      <c r="AS64" s="15">
        <f>IF(COUNTIF('Résultats des tournois'!$B64:'Résultats des tournois'!AS64,"&lt;&gt;")&lt;=5,32,IF(COUNTIF('Résultats des tournois'!$B64:'Résultats des tournois'!AS64,"&lt;&gt;")&lt;=15,24,16))</f>
        <v>32</v>
      </c>
      <c r="AT64" s="15">
        <f>IF(COUNTIF('Résultats des tournois'!$B64:'Résultats des tournois'!AT64,"&lt;&gt;")&lt;=5,32,IF(COUNTIF('Résultats des tournois'!$B64:'Résultats des tournois'!AT64,"&lt;&gt;")&lt;=15,24,16))</f>
        <v>32</v>
      </c>
      <c r="AU64" s="15">
        <f>IF(COUNTIF('Résultats des tournois'!$B64:'Résultats des tournois'!AU64,"&lt;&gt;")&lt;=5,32,IF(COUNTIF('Résultats des tournois'!$B64:'Résultats des tournois'!AU64,"&lt;&gt;")&lt;=15,24,16))</f>
        <v>32</v>
      </c>
      <c r="AV64" s="15">
        <f>IF(COUNTIF('Résultats des tournois'!$B64:'Résultats des tournois'!AV64,"&lt;&gt;")&lt;=5,32,IF(COUNTIF('Résultats des tournois'!$B64:'Résultats des tournois'!AV64,"&lt;&gt;")&lt;=15,24,16))</f>
        <v>32</v>
      </c>
      <c r="AW64" s="15">
        <f>IF(COUNTIF('Résultats des tournois'!$B64:'Résultats des tournois'!AW64,"&lt;&gt;")&lt;=5,32,IF(COUNTIF('Résultats des tournois'!$B64:'Résultats des tournois'!AW64,"&lt;&gt;")&lt;=15,24,16))</f>
        <v>32</v>
      </c>
      <c r="AX64" s="15">
        <f>IF(COUNTIF('Résultats des tournois'!$B64:'Résultats des tournois'!AX64,"&lt;&gt;")&lt;=5,32,IF(COUNTIF('Résultats des tournois'!$B64:'Résultats des tournois'!AX64,"&lt;&gt;")&lt;=15,24,16))</f>
        <v>32</v>
      </c>
    </row>
    <row r="65" ht="14.25" customHeight="1">
      <c r="A65" s="15" t="str">
        <f>IF('Résultats des tournois'!A65="","",'Résultats des tournois'!A65)</f>
        <v/>
      </c>
      <c r="B65" s="15">
        <f>IF(COUNTIF('Résultats des tournois'!B65,"&lt;&gt;")&lt;=5,32,IF(COUNTIF('Résultats des tournois'!B65,"&lt;&gt;")&lt;=15,24,16))</f>
        <v>32</v>
      </c>
      <c r="C65" s="15">
        <f>IF(COUNTIF('Résultats des tournois'!$B65:'Résultats des tournois'!C65,"&lt;&gt;")&lt;=5,32,IF(COUNTIF('Résultats des tournois'!$B65:'Résultats des tournois'!C65,"&lt;&gt;")&lt;=15,24,16))</f>
        <v>32</v>
      </c>
      <c r="D65" s="15">
        <f>IF(COUNTIF('Résultats des tournois'!$B65:'Résultats des tournois'!D65,"&lt;&gt;")&lt;=5,32,IF(COUNTIF('Résultats des tournois'!$B65:'Résultats des tournois'!D65,"&lt;&gt;")&lt;=15,24,16))</f>
        <v>32</v>
      </c>
      <c r="E65" s="15">
        <f>IF(COUNTIF('Résultats des tournois'!$B65:'Résultats des tournois'!E65,"&lt;&gt;")&lt;=5,32,IF(COUNTIF('Résultats des tournois'!$B65:'Résultats des tournois'!E65,"&lt;&gt;")&lt;=15,24,16))</f>
        <v>32</v>
      </c>
      <c r="F65" s="15">
        <f>IF(COUNTIF('Résultats des tournois'!$B65:'Résultats des tournois'!F65,"&lt;&gt;")&lt;=5,32,IF(COUNTIF('Résultats des tournois'!$B65:'Résultats des tournois'!F65,"&lt;&gt;")&lt;=15,24,16))</f>
        <v>32</v>
      </c>
      <c r="G65" s="15">
        <f>IF(COUNTIF('Résultats des tournois'!$B65:'Résultats des tournois'!G65,"&lt;&gt;")&lt;=5,32,IF(COUNTIF('Résultats des tournois'!$B65:'Résultats des tournois'!G65,"&lt;&gt;")&lt;=15,24,16))</f>
        <v>32</v>
      </c>
      <c r="H65" s="15">
        <f>IF(COUNTIF('Résultats des tournois'!$B65:'Résultats des tournois'!H65,"&lt;&gt;")&lt;=5,32,IF(COUNTIF('Résultats des tournois'!$B65:'Résultats des tournois'!H65,"&lt;&gt;")&lt;=15,24,16))</f>
        <v>32</v>
      </c>
      <c r="I65" s="15">
        <f>IF(COUNTIF('Résultats des tournois'!$B65:'Résultats des tournois'!I65,"&lt;&gt;")&lt;=5,32,IF(COUNTIF('Résultats des tournois'!$B65:'Résultats des tournois'!I65,"&lt;&gt;")&lt;=15,24,16))</f>
        <v>32</v>
      </c>
      <c r="J65" s="15">
        <f>IF(COUNTIF('Résultats des tournois'!$B65:'Résultats des tournois'!J65,"&lt;&gt;")&lt;=5,32,IF(COUNTIF('Résultats des tournois'!$B65:'Résultats des tournois'!J65,"&lt;&gt;")&lt;=15,24,16))</f>
        <v>32</v>
      </c>
      <c r="K65" s="15">
        <f>IF(COUNTIF('Résultats des tournois'!$B65:'Résultats des tournois'!K65,"&lt;&gt;")&lt;=5,32,IF(COUNTIF('Résultats des tournois'!$B65:'Résultats des tournois'!K65,"&lt;&gt;")&lt;=15,24,16))</f>
        <v>32</v>
      </c>
      <c r="L65" s="15">
        <f>IF(COUNTIF('Résultats des tournois'!$B65:'Résultats des tournois'!L65,"&lt;&gt;")&lt;=5,32,IF(COUNTIF('Résultats des tournois'!$B65:'Résultats des tournois'!L65,"&lt;&gt;")&lt;=15,24,16))</f>
        <v>32</v>
      </c>
      <c r="M65" s="15">
        <f>IF(COUNTIF('Résultats des tournois'!$B65:'Résultats des tournois'!M65,"&lt;&gt;")&lt;=5,32,IF(COUNTIF('Résultats des tournois'!$B65:'Résultats des tournois'!M65,"&lt;&gt;")&lt;=15,24,16))</f>
        <v>32</v>
      </c>
      <c r="N65" s="15">
        <f>IF(COUNTIF('Résultats des tournois'!$B65:'Résultats des tournois'!N65,"&lt;&gt;")&lt;=5,32,IF(COUNTIF('Résultats des tournois'!$B65:'Résultats des tournois'!N65,"&lt;&gt;")&lt;=15,24,16))</f>
        <v>32</v>
      </c>
      <c r="O65" s="15">
        <f>IF(COUNTIF('Résultats des tournois'!$B65:'Résultats des tournois'!O65,"&lt;&gt;")&lt;=5,32,IF(COUNTIF('Résultats des tournois'!$B65:'Résultats des tournois'!O65,"&lt;&gt;")&lt;=15,24,16))</f>
        <v>32</v>
      </c>
      <c r="P65" s="15">
        <f>IF(COUNTIF('Résultats des tournois'!$B65:'Résultats des tournois'!P65,"&lt;&gt;")&lt;=5,32,IF(COUNTIF('Résultats des tournois'!$B65:'Résultats des tournois'!P65,"&lt;&gt;")&lt;=15,24,16))</f>
        <v>32</v>
      </c>
      <c r="Q65" s="15">
        <f>IF(COUNTIF('Résultats des tournois'!$B65:'Résultats des tournois'!Q65,"&lt;&gt;")&lt;=5,32,IF(COUNTIF('Résultats des tournois'!$B65:'Résultats des tournois'!Q65,"&lt;&gt;")&lt;=15,24,16))</f>
        <v>32</v>
      </c>
      <c r="R65" s="15">
        <f>IF(COUNTIF('Résultats des tournois'!$B65:'Résultats des tournois'!R65,"&lt;&gt;")&lt;=5,32,IF(COUNTIF('Résultats des tournois'!$B65:'Résultats des tournois'!R65,"&lt;&gt;")&lt;=15,24,16))</f>
        <v>32</v>
      </c>
      <c r="S65" s="15">
        <f>IF(COUNTIF('Résultats des tournois'!$B65:'Résultats des tournois'!S65,"&lt;&gt;")&lt;=5,32,IF(COUNTIF('Résultats des tournois'!$B65:'Résultats des tournois'!S65,"&lt;&gt;")&lt;=15,24,16))</f>
        <v>32</v>
      </c>
      <c r="T65" s="15">
        <f>IF(COUNTIF('Résultats des tournois'!$B65:'Résultats des tournois'!T65,"&lt;&gt;")&lt;=5,32,IF(COUNTIF('Résultats des tournois'!$B65:'Résultats des tournois'!T65,"&lt;&gt;")&lt;=15,24,16))</f>
        <v>32</v>
      </c>
      <c r="U65" s="15">
        <f>IF(COUNTIF('Résultats des tournois'!$B65:'Résultats des tournois'!U65,"&lt;&gt;")&lt;=5,32,IF(COUNTIF('Résultats des tournois'!$B65:'Résultats des tournois'!U65,"&lt;&gt;")&lt;=15,24,16))</f>
        <v>32</v>
      </c>
      <c r="V65" s="15">
        <f>IF(COUNTIF('Résultats des tournois'!$B65:'Résultats des tournois'!V65,"&lt;&gt;")&lt;=5,32,IF(COUNTIF('Résultats des tournois'!$B65:'Résultats des tournois'!V65,"&lt;&gt;")&lt;=15,24,16))</f>
        <v>32</v>
      </c>
      <c r="W65" s="15">
        <f>IF(COUNTIF('Résultats des tournois'!$B65:'Résultats des tournois'!W65,"&lt;&gt;")&lt;=5,32,IF(COUNTIF('Résultats des tournois'!$B65:'Résultats des tournois'!W65,"&lt;&gt;")&lt;=15,24,16))</f>
        <v>32</v>
      </c>
      <c r="X65" s="15">
        <f>IF(COUNTIF('Résultats des tournois'!$B65:'Résultats des tournois'!X65,"&lt;&gt;")&lt;=5,32,IF(COUNTIF('Résultats des tournois'!$B65:'Résultats des tournois'!X65,"&lt;&gt;")&lt;=15,24,16))</f>
        <v>32</v>
      </c>
      <c r="Y65" s="15">
        <f>IF(COUNTIF('Résultats des tournois'!$B65:'Résultats des tournois'!Y65,"&lt;&gt;")&lt;=5,32,IF(COUNTIF('Résultats des tournois'!$B65:'Résultats des tournois'!Y65,"&lt;&gt;")&lt;=15,24,16))</f>
        <v>32</v>
      </c>
      <c r="Z65" s="15">
        <f>IF(COUNTIF('Résultats des tournois'!$B65:'Résultats des tournois'!Z65,"&lt;&gt;")&lt;=5,32,IF(COUNTIF('Résultats des tournois'!$B65:'Résultats des tournois'!Z65,"&lt;&gt;")&lt;=15,24,16))</f>
        <v>32</v>
      </c>
      <c r="AA65" s="15">
        <f>IF(COUNTIF('Résultats des tournois'!$B65:'Résultats des tournois'!AA65,"&lt;&gt;")&lt;=5,32,IF(COUNTIF('Résultats des tournois'!$B65:'Résultats des tournois'!AA65,"&lt;&gt;")&lt;=15,24,16))</f>
        <v>32</v>
      </c>
      <c r="AB65" s="15">
        <f>IF(COUNTIF('Résultats des tournois'!$B65:'Résultats des tournois'!AB65,"&lt;&gt;")&lt;=5,32,IF(COUNTIF('Résultats des tournois'!$B65:'Résultats des tournois'!AB65,"&lt;&gt;")&lt;=15,24,16))</f>
        <v>32</v>
      </c>
      <c r="AC65" s="15">
        <f>IF(COUNTIF('Résultats des tournois'!$B65:'Résultats des tournois'!AC65,"&lt;&gt;")&lt;=5,32,IF(COUNTIF('Résultats des tournois'!$B65:'Résultats des tournois'!AC65,"&lt;&gt;")&lt;=15,24,16))</f>
        <v>32</v>
      </c>
      <c r="AD65" s="15">
        <f>IF(COUNTIF('Résultats des tournois'!$B65:'Résultats des tournois'!AD65,"&lt;&gt;")&lt;=5,32,IF(COUNTIF('Résultats des tournois'!$B65:'Résultats des tournois'!AD65,"&lt;&gt;")&lt;=15,24,16))</f>
        <v>32</v>
      </c>
      <c r="AE65" s="15">
        <f>IF(COUNTIF('Résultats des tournois'!$B65:'Résultats des tournois'!AE65,"&lt;&gt;")&lt;=5,32,IF(COUNTIF('Résultats des tournois'!$B65:'Résultats des tournois'!AE65,"&lt;&gt;")&lt;=15,24,16))</f>
        <v>32</v>
      </c>
      <c r="AF65" s="15">
        <f>IF(COUNTIF('Résultats des tournois'!$B65:'Résultats des tournois'!AF65,"&lt;&gt;")&lt;=5,32,IF(COUNTIF('Résultats des tournois'!$B65:'Résultats des tournois'!AF65,"&lt;&gt;")&lt;=15,24,16))</f>
        <v>32</v>
      </c>
      <c r="AG65" s="15">
        <f>IF(COUNTIF('Résultats des tournois'!$B65:'Résultats des tournois'!AG65,"&lt;&gt;")&lt;=5,32,IF(COUNTIF('Résultats des tournois'!$B65:'Résultats des tournois'!AG65,"&lt;&gt;")&lt;=15,24,16))</f>
        <v>32</v>
      </c>
      <c r="AH65" s="15">
        <f>IF(COUNTIF('Résultats des tournois'!$B65:'Résultats des tournois'!AH65,"&lt;&gt;")&lt;=5,32,IF(COUNTIF('Résultats des tournois'!$B65:'Résultats des tournois'!AH65,"&lt;&gt;")&lt;=15,24,16))</f>
        <v>32</v>
      </c>
      <c r="AI65" s="15">
        <f>IF(COUNTIF('Résultats des tournois'!$B65:'Résultats des tournois'!AI65,"&lt;&gt;")&lt;=5,32,IF(COUNTIF('Résultats des tournois'!$B65:'Résultats des tournois'!AI65,"&lt;&gt;")&lt;=15,24,16))</f>
        <v>32</v>
      </c>
      <c r="AJ65" s="15">
        <f>IF(COUNTIF('Résultats des tournois'!$B65:'Résultats des tournois'!AJ65,"&lt;&gt;")&lt;=5,32,IF(COUNTIF('Résultats des tournois'!$B65:'Résultats des tournois'!AJ65,"&lt;&gt;")&lt;=15,24,16))</f>
        <v>32</v>
      </c>
      <c r="AK65" s="15">
        <f>IF(COUNTIF('Résultats des tournois'!$B65:'Résultats des tournois'!AK65,"&lt;&gt;")&lt;=5,32,IF(COUNTIF('Résultats des tournois'!$B65:'Résultats des tournois'!AK65,"&lt;&gt;")&lt;=15,24,16))</f>
        <v>32</v>
      </c>
      <c r="AL65" s="15">
        <f>IF(COUNTIF('Résultats des tournois'!$B65:'Résultats des tournois'!AL65,"&lt;&gt;")&lt;=5,32,IF(COUNTIF('Résultats des tournois'!$B65:'Résultats des tournois'!AL65,"&lt;&gt;")&lt;=15,24,16))</f>
        <v>32</v>
      </c>
      <c r="AM65" s="15">
        <f>IF(COUNTIF('Résultats des tournois'!$B65:'Résultats des tournois'!AM65,"&lt;&gt;")&lt;=5,32,IF(COUNTIF('Résultats des tournois'!$B65:'Résultats des tournois'!AM65,"&lt;&gt;")&lt;=15,24,16))</f>
        <v>32</v>
      </c>
      <c r="AN65" s="15">
        <f>IF(COUNTIF('Résultats des tournois'!$B65:'Résultats des tournois'!AN65,"&lt;&gt;")&lt;=5,32,IF(COUNTIF('Résultats des tournois'!$B65:'Résultats des tournois'!AN65,"&lt;&gt;")&lt;=15,24,16))</f>
        <v>32</v>
      </c>
      <c r="AO65" s="15">
        <f>IF(COUNTIF('Résultats des tournois'!$B65:'Résultats des tournois'!AO65,"&lt;&gt;")&lt;=5,32,IF(COUNTIF('Résultats des tournois'!$B65:'Résultats des tournois'!AO65,"&lt;&gt;")&lt;=15,24,16))</f>
        <v>32</v>
      </c>
      <c r="AP65" s="15">
        <f>IF(COUNTIF('Résultats des tournois'!$B65:'Résultats des tournois'!AP65,"&lt;&gt;")&lt;=5,32,IF(COUNTIF('Résultats des tournois'!$B65:'Résultats des tournois'!AP65,"&lt;&gt;")&lt;=15,24,16))</f>
        <v>32</v>
      </c>
      <c r="AQ65" s="15">
        <f>IF(COUNTIF('Résultats des tournois'!$B65:'Résultats des tournois'!AQ65,"&lt;&gt;")&lt;=5,32,IF(COUNTIF('Résultats des tournois'!$B65:'Résultats des tournois'!AQ65,"&lt;&gt;")&lt;=15,24,16))</f>
        <v>32</v>
      </c>
      <c r="AR65" s="15">
        <f>IF(COUNTIF('Résultats des tournois'!$B65:'Résultats des tournois'!AR65,"&lt;&gt;")&lt;=5,32,IF(COUNTIF('Résultats des tournois'!$B65:'Résultats des tournois'!AR65,"&lt;&gt;")&lt;=15,24,16))</f>
        <v>32</v>
      </c>
      <c r="AS65" s="15">
        <f>IF(COUNTIF('Résultats des tournois'!$B65:'Résultats des tournois'!AS65,"&lt;&gt;")&lt;=5,32,IF(COUNTIF('Résultats des tournois'!$B65:'Résultats des tournois'!AS65,"&lt;&gt;")&lt;=15,24,16))</f>
        <v>32</v>
      </c>
      <c r="AT65" s="15">
        <f>IF(COUNTIF('Résultats des tournois'!$B65:'Résultats des tournois'!AT65,"&lt;&gt;")&lt;=5,32,IF(COUNTIF('Résultats des tournois'!$B65:'Résultats des tournois'!AT65,"&lt;&gt;")&lt;=15,24,16))</f>
        <v>32</v>
      </c>
      <c r="AU65" s="15">
        <f>IF(COUNTIF('Résultats des tournois'!$B65:'Résultats des tournois'!AU65,"&lt;&gt;")&lt;=5,32,IF(COUNTIF('Résultats des tournois'!$B65:'Résultats des tournois'!AU65,"&lt;&gt;")&lt;=15,24,16))</f>
        <v>32</v>
      </c>
      <c r="AV65" s="15">
        <f>IF(COUNTIF('Résultats des tournois'!$B65:'Résultats des tournois'!AV65,"&lt;&gt;")&lt;=5,32,IF(COUNTIF('Résultats des tournois'!$B65:'Résultats des tournois'!AV65,"&lt;&gt;")&lt;=15,24,16))</f>
        <v>32</v>
      </c>
      <c r="AW65" s="15">
        <f>IF(COUNTIF('Résultats des tournois'!$B65:'Résultats des tournois'!AW65,"&lt;&gt;")&lt;=5,32,IF(COUNTIF('Résultats des tournois'!$B65:'Résultats des tournois'!AW65,"&lt;&gt;")&lt;=15,24,16))</f>
        <v>32</v>
      </c>
      <c r="AX65" s="15">
        <f>IF(COUNTIF('Résultats des tournois'!$B65:'Résultats des tournois'!AX65,"&lt;&gt;")&lt;=5,32,IF(COUNTIF('Résultats des tournois'!$B65:'Résultats des tournois'!AX65,"&lt;&gt;")&lt;=15,24,16))</f>
        <v>32</v>
      </c>
    </row>
    <row r="66" ht="14.25" customHeight="1">
      <c r="A66" s="15" t="str">
        <f>IF('Résultats des tournois'!A66="","",'Résultats des tournois'!A66)</f>
        <v/>
      </c>
      <c r="B66" s="15">
        <f>IF(COUNTIF('Résultats des tournois'!B66,"&lt;&gt;")&lt;=5,32,IF(COUNTIF('Résultats des tournois'!B66,"&lt;&gt;")&lt;=15,24,16))</f>
        <v>32</v>
      </c>
      <c r="C66" s="15">
        <f>IF(COUNTIF('Résultats des tournois'!$B66:'Résultats des tournois'!C66,"&lt;&gt;")&lt;=5,32,IF(COUNTIF('Résultats des tournois'!$B66:'Résultats des tournois'!C66,"&lt;&gt;")&lt;=15,24,16))</f>
        <v>32</v>
      </c>
      <c r="D66" s="15">
        <f>IF(COUNTIF('Résultats des tournois'!$B66:'Résultats des tournois'!D66,"&lt;&gt;")&lt;=5,32,IF(COUNTIF('Résultats des tournois'!$B66:'Résultats des tournois'!D66,"&lt;&gt;")&lt;=15,24,16))</f>
        <v>32</v>
      </c>
      <c r="E66" s="15">
        <f>IF(COUNTIF('Résultats des tournois'!$B66:'Résultats des tournois'!E66,"&lt;&gt;")&lt;=5,32,IF(COUNTIF('Résultats des tournois'!$B66:'Résultats des tournois'!E66,"&lt;&gt;")&lt;=15,24,16))</f>
        <v>32</v>
      </c>
      <c r="F66" s="15">
        <f>IF(COUNTIF('Résultats des tournois'!$B66:'Résultats des tournois'!F66,"&lt;&gt;")&lt;=5,32,IF(COUNTIF('Résultats des tournois'!$B66:'Résultats des tournois'!F66,"&lt;&gt;")&lt;=15,24,16))</f>
        <v>32</v>
      </c>
      <c r="G66" s="15">
        <f>IF(COUNTIF('Résultats des tournois'!$B66:'Résultats des tournois'!G66,"&lt;&gt;")&lt;=5,32,IF(COUNTIF('Résultats des tournois'!$B66:'Résultats des tournois'!G66,"&lt;&gt;")&lt;=15,24,16))</f>
        <v>32</v>
      </c>
      <c r="H66" s="15">
        <f>IF(COUNTIF('Résultats des tournois'!$B66:'Résultats des tournois'!H66,"&lt;&gt;")&lt;=5,32,IF(COUNTIF('Résultats des tournois'!$B66:'Résultats des tournois'!H66,"&lt;&gt;")&lt;=15,24,16))</f>
        <v>32</v>
      </c>
      <c r="I66" s="15">
        <f>IF(COUNTIF('Résultats des tournois'!$B66:'Résultats des tournois'!I66,"&lt;&gt;")&lt;=5,32,IF(COUNTIF('Résultats des tournois'!$B66:'Résultats des tournois'!I66,"&lt;&gt;")&lt;=15,24,16))</f>
        <v>32</v>
      </c>
      <c r="J66" s="15">
        <f>IF(COUNTIF('Résultats des tournois'!$B66:'Résultats des tournois'!J66,"&lt;&gt;")&lt;=5,32,IF(COUNTIF('Résultats des tournois'!$B66:'Résultats des tournois'!J66,"&lt;&gt;")&lt;=15,24,16))</f>
        <v>32</v>
      </c>
      <c r="K66" s="15">
        <f>IF(COUNTIF('Résultats des tournois'!$B66:'Résultats des tournois'!K66,"&lt;&gt;")&lt;=5,32,IF(COUNTIF('Résultats des tournois'!$B66:'Résultats des tournois'!K66,"&lt;&gt;")&lt;=15,24,16))</f>
        <v>32</v>
      </c>
      <c r="L66" s="15">
        <f>IF(COUNTIF('Résultats des tournois'!$B66:'Résultats des tournois'!L66,"&lt;&gt;")&lt;=5,32,IF(COUNTIF('Résultats des tournois'!$B66:'Résultats des tournois'!L66,"&lt;&gt;")&lt;=15,24,16))</f>
        <v>32</v>
      </c>
      <c r="M66" s="15">
        <f>IF(COUNTIF('Résultats des tournois'!$B66:'Résultats des tournois'!M66,"&lt;&gt;")&lt;=5,32,IF(COUNTIF('Résultats des tournois'!$B66:'Résultats des tournois'!M66,"&lt;&gt;")&lt;=15,24,16))</f>
        <v>32</v>
      </c>
      <c r="N66" s="15">
        <f>IF(COUNTIF('Résultats des tournois'!$B66:'Résultats des tournois'!N66,"&lt;&gt;")&lt;=5,32,IF(COUNTIF('Résultats des tournois'!$B66:'Résultats des tournois'!N66,"&lt;&gt;")&lt;=15,24,16))</f>
        <v>32</v>
      </c>
      <c r="O66" s="15">
        <f>IF(COUNTIF('Résultats des tournois'!$B66:'Résultats des tournois'!O66,"&lt;&gt;")&lt;=5,32,IF(COUNTIF('Résultats des tournois'!$B66:'Résultats des tournois'!O66,"&lt;&gt;")&lt;=15,24,16))</f>
        <v>32</v>
      </c>
      <c r="P66" s="15">
        <f>IF(COUNTIF('Résultats des tournois'!$B66:'Résultats des tournois'!P66,"&lt;&gt;")&lt;=5,32,IF(COUNTIF('Résultats des tournois'!$B66:'Résultats des tournois'!P66,"&lt;&gt;")&lt;=15,24,16))</f>
        <v>32</v>
      </c>
      <c r="Q66" s="15">
        <f>IF(COUNTIF('Résultats des tournois'!$B66:'Résultats des tournois'!Q66,"&lt;&gt;")&lt;=5,32,IF(COUNTIF('Résultats des tournois'!$B66:'Résultats des tournois'!Q66,"&lt;&gt;")&lt;=15,24,16))</f>
        <v>32</v>
      </c>
      <c r="R66" s="15">
        <f>IF(COUNTIF('Résultats des tournois'!$B66:'Résultats des tournois'!R66,"&lt;&gt;")&lt;=5,32,IF(COUNTIF('Résultats des tournois'!$B66:'Résultats des tournois'!R66,"&lt;&gt;")&lt;=15,24,16))</f>
        <v>32</v>
      </c>
      <c r="S66" s="15">
        <f>IF(COUNTIF('Résultats des tournois'!$B66:'Résultats des tournois'!S66,"&lt;&gt;")&lt;=5,32,IF(COUNTIF('Résultats des tournois'!$B66:'Résultats des tournois'!S66,"&lt;&gt;")&lt;=15,24,16))</f>
        <v>32</v>
      </c>
      <c r="T66" s="15">
        <f>IF(COUNTIF('Résultats des tournois'!$B66:'Résultats des tournois'!T66,"&lt;&gt;")&lt;=5,32,IF(COUNTIF('Résultats des tournois'!$B66:'Résultats des tournois'!T66,"&lt;&gt;")&lt;=15,24,16))</f>
        <v>32</v>
      </c>
      <c r="U66" s="15">
        <f>IF(COUNTIF('Résultats des tournois'!$B66:'Résultats des tournois'!U66,"&lt;&gt;")&lt;=5,32,IF(COUNTIF('Résultats des tournois'!$B66:'Résultats des tournois'!U66,"&lt;&gt;")&lt;=15,24,16))</f>
        <v>32</v>
      </c>
      <c r="V66" s="15">
        <f>IF(COUNTIF('Résultats des tournois'!$B66:'Résultats des tournois'!V66,"&lt;&gt;")&lt;=5,32,IF(COUNTIF('Résultats des tournois'!$B66:'Résultats des tournois'!V66,"&lt;&gt;")&lt;=15,24,16))</f>
        <v>32</v>
      </c>
      <c r="W66" s="15">
        <f>IF(COUNTIF('Résultats des tournois'!$B66:'Résultats des tournois'!W66,"&lt;&gt;")&lt;=5,32,IF(COUNTIF('Résultats des tournois'!$B66:'Résultats des tournois'!W66,"&lt;&gt;")&lt;=15,24,16))</f>
        <v>32</v>
      </c>
      <c r="X66" s="15">
        <f>IF(COUNTIF('Résultats des tournois'!$B66:'Résultats des tournois'!X66,"&lt;&gt;")&lt;=5,32,IF(COUNTIF('Résultats des tournois'!$B66:'Résultats des tournois'!X66,"&lt;&gt;")&lt;=15,24,16))</f>
        <v>32</v>
      </c>
      <c r="Y66" s="15">
        <f>IF(COUNTIF('Résultats des tournois'!$B66:'Résultats des tournois'!Y66,"&lt;&gt;")&lt;=5,32,IF(COUNTIF('Résultats des tournois'!$B66:'Résultats des tournois'!Y66,"&lt;&gt;")&lt;=15,24,16))</f>
        <v>32</v>
      </c>
      <c r="Z66" s="15">
        <f>IF(COUNTIF('Résultats des tournois'!$B66:'Résultats des tournois'!Z66,"&lt;&gt;")&lt;=5,32,IF(COUNTIF('Résultats des tournois'!$B66:'Résultats des tournois'!Z66,"&lt;&gt;")&lt;=15,24,16))</f>
        <v>32</v>
      </c>
      <c r="AA66" s="15">
        <f>IF(COUNTIF('Résultats des tournois'!$B66:'Résultats des tournois'!AA66,"&lt;&gt;")&lt;=5,32,IF(COUNTIF('Résultats des tournois'!$B66:'Résultats des tournois'!AA66,"&lt;&gt;")&lt;=15,24,16))</f>
        <v>32</v>
      </c>
      <c r="AB66" s="15">
        <f>IF(COUNTIF('Résultats des tournois'!$B66:'Résultats des tournois'!AB66,"&lt;&gt;")&lt;=5,32,IF(COUNTIF('Résultats des tournois'!$B66:'Résultats des tournois'!AB66,"&lt;&gt;")&lt;=15,24,16))</f>
        <v>32</v>
      </c>
      <c r="AC66" s="15">
        <f>IF(COUNTIF('Résultats des tournois'!$B66:'Résultats des tournois'!AC66,"&lt;&gt;")&lt;=5,32,IF(COUNTIF('Résultats des tournois'!$B66:'Résultats des tournois'!AC66,"&lt;&gt;")&lt;=15,24,16))</f>
        <v>32</v>
      </c>
      <c r="AD66" s="15">
        <f>IF(COUNTIF('Résultats des tournois'!$B66:'Résultats des tournois'!AD66,"&lt;&gt;")&lt;=5,32,IF(COUNTIF('Résultats des tournois'!$B66:'Résultats des tournois'!AD66,"&lt;&gt;")&lt;=15,24,16))</f>
        <v>32</v>
      </c>
      <c r="AE66" s="15">
        <f>IF(COUNTIF('Résultats des tournois'!$B66:'Résultats des tournois'!AE66,"&lt;&gt;")&lt;=5,32,IF(COUNTIF('Résultats des tournois'!$B66:'Résultats des tournois'!AE66,"&lt;&gt;")&lt;=15,24,16))</f>
        <v>32</v>
      </c>
      <c r="AF66" s="15">
        <f>IF(COUNTIF('Résultats des tournois'!$B66:'Résultats des tournois'!AF66,"&lt;&gt;")&lt;=5,32,IF(COUNTIF('Résultats des tournois'!$B66:'Résultats des tournois'!AF66,"&lt;&gt;")&lt;=15,24,16))</f>
        <v>32</v>
      </c>
      <c r="AG66" s="15">
        <f>IF(COUNTIF('Résultats des tournois'!$B66:'Résultats des tournois'!AG66,"&lt;&gt;")&lt;=5,32,IF(COUNTIF('Résultats des tournois'!$B66:'Résultats des tournois'!AG66,"&lt;&gt;")&lt;=15,24,16))</f>
        <v>32</v>
      </c>
      <c r="AH66" s="15">
        <f>IF(COUNTIF('Résultats des tournois'!$B66:'Résultats des tournois'!AH66,"&lt;&gt;")&lt;=5,32,IF(COUNTIF('Résultats des tournois'!$B66:'Résultats des tournois'!AH66,"&lt;&gt;")&lt;=15,24,16))</f>
        <v>32</v>
      </c>
      <c r="AI66" s="15">
        <f>IF(COUNTIF('Résultats des tournois'!$B66:'Résultats des tournois'!AI66,"&lt;&gt;")&lt;=5,32,IF(COUNTIF('Résultats des tournois'!$B66:'Résultats des tournois'!AI66,"&lt;&gt;")&lt;=15,24,16))</f>
        <v>32</v>
      </c>
      <c r="AJ66" s="15">
        <f>IF(COUNTIF('Résultats des tournois'!$B66:'Résultats des tournois'!AJ66,"&lt;&gt;")&lt;=5,32,IF(COUNTIF('Résultats des tournois'!$B66:'Résultats des tournois'!AJ66,"&lt;&gt;")&lt;=15,24,16))</f>
        <v>32</v>
      </c>
      <c r="AK66" s="15">
        <f>IF(COUNTIF('Résultats des tournois'!$B66:'Résultats des tournois'!AK66,"&lt;&gt;")&lt;=5,32,IF(COUNTIF('Résultats des tournois'!$B66:'Résultats des tournois'!AK66,"&lt;&gt;")&lt;=15,24,16))</f>
        <v>32</v>
      </c>
      <c r="AL66" s="15">
        <f>IF(COUNTIF('Résultats des tournois'!$B66:'Résultats des tournois'!AL66,"&lt;&gt;")&lt;=5,32,IF(COUNTIF('Résultats des tournois'!$B66:'Résultats des tournois'!AL66,"&lt;&gt;")&lt;=15,24,16))</f>
        <v>32</v>
      </c>
      <c r="AM66" s="15">
        <f>IF(COUNTIF('Résultats des tournois'!$B66:'Résultats des tournois'!AM66,"&lt;&gt;")&lt;=5,32,IF(COUNTIF('Résultats des tournois'!$B66:'Résultats des tournois'!AM66,"&lt;&gt;")&lt;=15,24,16))</f>
        <v>32</v>
      </c>
      <c r="AN66" s="15">
        <f>IF(COUNTIF('Résultats des tournois'!$B66:'Résultats des tournois'!AN66,"&lt;&gt;")&lt;=5,32,IF(COUNTIF('Résultats des tournois'!$B66:'Résultats des tournois'!AN66,"&lt;&gt;")&lt;=15,24,16))</f>
        <v>32</v>
      </c>
      <c r="AO66" s="15">
        <f>IF(COUNTIF('Résultats des tournois'!$B66:'Résultats des tournois'!AO66,"&lt;&gt;")&lt;=5,32,IF(COUNTIF('Résultats des tournois'!$B66:'Résultats des tournois'!AO66,"&lt;&gt;")&lt;=15,24,16))</f>
        <v>32</v>
      </c>
      <c r="AP66" s="15">
        <f>IF(COUNTIF('Résultats des tournois'!$B66:'Résultats des tournois'!AP66,"&lt;&gt;")&lt;=5,32,IF(COUNTIF('Résultats des tournois'!$B66:'Résultats des tournois'!AP66,"&lt;&gt;")&lt;=15,24,16))</f>
        <v>32</v>
      </c>
      <c r="AQ66" s="15">
        <f>IF(COUNTIF('Résultats des tournois'!$B66:'Résultats des tournois'!AQ66,"&lt;&gt;")&lt;=5,32,IF(COUNTIF('Résultats des tournois'!$B66:'Résultats des tournois'!AQ66,"&lt;&gt;")&lt;=15,24,16))</f>
        <v>32</v>
      </c>
      <c r="AR66" s="15">
        <f>IF(COUNTIF('Résultats des tournois'!$B66:'Résultats des tournois'!AR66,"&lt;&gt;")&lt;=5,32,IF(COUNTIF('Résultats des tournois'!$B66:'Résultats des tournois'!AR66,"&lt;&gt;")&lt;=15,24,16))</f>
        <v>32</v>
      </c>
      <c r="AS66" s="15">
        <f>IF(COUNTIF('Résultats des tournois'!$B66:'Résultats des tournois'!AS66,"&lt;&gt;")&lt;=5,32,IF(COUNTIF('Résultats des tournois'!$B66:'Résultats des tournois'!AS66,"&lt;&gt;")&lt;=15,24,16))</f>
        <v>32</v>
      </c>
      <c r="AT66" s="15">
        <f>IF(COUNTIF('Résultats des tournois'!$B66:'Résultats des tournois'!AT66,"&lt;&gt;")&lt;=5,32,IF(COUNTIF('Résultats des tournois'!$B66:'Résultats des tournois'!AT66,"&lt;&gt;")&lt;=15,24,16))</f>
        <v>32</v>
      </c>
      <c r="AU66" s="15">
        <f>IF(COUNTIF('Résultats des tournois'!$B66:'Résultats des tournois'!AU66,"&lt;&gt;")&lt;=5,32,IF(COUNTIF('Résultats des tournois'!$B66:'Résultats des tournois'!AU66,"&lt;&gt;")&lt;=15,24,16))</f>
        <v>32</v>
      </c>
      <c r="AV66" s="15">
        <f>IF(COUNTIF('Résultats des tournois'!$B66:'Résultats des tournois'!AV66,"&lt;&gt;")&lt;=5,32,IF(COUNTIF('Résultats des tournois'!$B66:'Résultats des tournois'!AV66,"&lt;&gt;")&lt;=15,24,16))</f>
        <v>32</v>
      </c>
      <c r="AW66" s="15">
        <f>IF(COUNTIF('Résultats des tournois'!$B66:'Résultats des tournois'!AW66,"&lt;&gt;")&lt;=5,32,IF(COUNTIF('Résultats des tournois'!$B66:'Résultats des tournois'!AW66,"&lt;&gt;")&lt;=15,24,16))</f>
        <v>32</v>
      </c>
      <c r="AX66" s="15">
        <f>IF(COUNTIF('Résultats des tournois'!$B66:'Résultats des tournois'!AX66,"&lt;&gt;")&lt;=5,32,IF(COUNTIF('Résultats des tournois'!$B66:'Résultats des tournois'!AX66,"&lt;&gt;")&lt;=15,24,16))</f>
        <v>32</v>
      </c>
    </row>
    <row r="67" ht="14.25" customHeight="1">
      <c r="A67" s="15" t="str">
        <f>IF('Résultats des tournois'!A67="","",'Résultats des tournois'!A67)</f>
        <v/>
      </c>
      <c r="B67" s="15">
        <f>IF(COUNTIF('Résultats des tournois'!B67,"&lt;&gt;")&lt;=5,32,IF(COUNTIF('Résultats des tournois'!B67,"&lt;&gt;")&lt;=15,24,16))</f>
        <v>32</v>
      </c>
      <c r="C67" s="15">
        <f>IF(COUNTIF('Résultats des tournois'!$B67:'Résultats des tournois'!C67,"&lt;&gt;")&lt;=5,32,IF(COUNTIF('Résultats des tournois'!$B67:'Résultats des tournois'!C67,"&lt;&gt;")&lt;=15,24,16))</f>
        <v>32</v>
      </c>
      <c r="D67" s="15">
        <f>IF(COUNTIF('Résultats des tournois'!$B67:'Résultats des tournois'!D67,"&lt;&gt;")&lt;=5,32,IF(COUNTIF('Résultats des tournois'!$B67:'Résultats des tournois'!D67,"&lt;&gt;")&lt;=15,24,16))</f>
        <v>32</v>
      </c>
      <c r="E67" s="15">
        <f>IF(COUNTIF('Résultats des tournois'!$B67:'Résultats des tournois'!E67,"&lt;&gt;")&lt;=5,32,IF(COUNTIF('Résultats des tournois'!$B67:'Résultats des tournois'!E67,"&lt;&gt;")&lt;=15,24,16))</f>
        <v>32</v>
      </c>
      <c r="F67" s="15">
        <f>IF(COUNTIF('Résultats des tournois'!$B67:'Résultats des tournois'!F67,"&lt;&gt;")&lt;=5,32,IF(COUNTIF('Résultats des tournois'!$B67:'Résultats des tournois'!F67,"&lt;&gt;")&lt;=15,24,16))</f>
        <v>32</v>
      </c>
      <c r="G67" s="15">
        <f>IF(COUNTIF('Résultats des tournois'!$B67:'Résultats des tournois'!G67,"&lt;&gt;")&lt;=5,32,IF(COUNTIF('Résultats des tournois'!$B67:'Résultats des tournois'!G67,"&lt;&gt;")&lt;=15,24,16))</f>
        <v>32</v>
      </c>
      <c r="H67" s="15">
        <f>IF(COUNTIF('Résultats des tournois'!$B67:'Résultats des tournois'!H67,"&lt;&gt;")&lt;=5,32,IF(COUNTIF('Résultats des tournois'!$B67:'Résultats des tournois'!H67,"&lt;&gt;")&lt;=15,24,16))</f>
        <v>32</v>
      </c>
      <c r="I67" s="15">
        <f>IF(COUNTIF('Résultats des tournois'!$B67:'Résultats des tournois'!I67,"&lt;&gt;")&lt;=5,32,IF(COUNTIF('Résultats des tournois'!$B67:'Résultats des tournois'!I67,"&lt;&gt;")&lt;=15,24,16))</f>
        <v>32</v>
      </c>
      <c r="J67" s="15">
        <f>IF(COUNTIF('Résultats des tournois'!$B67:'Résultats des tournois'!J67,"&lt;&gt;")&lt;=5,32,IF(COUNTIF('Résultats des tournois'!$B67:'Résultats des tournois'!J67,"&lt;&gt;")&lt;=15,24,16))</f>
        <v>32</v>
      </c>
      <c r="K67" s="15">
        <f>IF(COUNTIF('Résultats des tournois'!$B67:'Résultats des tournois'!K67,"&lt;&gt;")&lt;=5,32,IF(COUNTIF('Résultats des tournois'!$B67:'Résultats des tournois'!K67,"&lt;&gt;")&lt;=15,24,16))</f>
        <v>32</v>
      </c>
      <c r="L67" s="15">
        <f>IF(COUNTIF('Résultats des tournois'!$B67:'Résultats des tournois'!L67,"&lt;&gt;")&lt;=5,32,IF(COUNTIF('Résultats des tournois'!$B67:'Résultats des tournois'!L67,"&lt;&gt;")&lt;=15,24,16))</f>
        <v>32</v>
      </c>
      <c r="M67" s="15">
        <f>IF(COUNTIF('Résultats des tournois'!$B67:'Résultats des tournois'!M67,"&lt;&gt;")&lt;=5,32,IF(COUNTIF('Résultats des tournois'!$B67:'Résultats des tournois'!M67,"&lt;&gt;")&lt;=15,24,16))</f>
        <v>32</v>
      </c>
      <c r="N67" s="15">
        <f>IF(COUNTIF('Résultats des tournois'!$B67:'Résultats des tournois'!N67,"&lt;&gt;")&lt;=5,32,IF(COUNTIF('Résultats des tournois'!$B67:'Résultats des tournois'!N67,"&lt;&gt;")&lt;=15,24,16))</f>
        <v>32</v>
      </c>
      <c r="O67" s="15">
        <f>IF(COUNTIF('Résultats des tournois'!$B67:'Résultats des tournois'!O67,"&lt;&gt;")&lt;=5,32,IF(COUNTIF('Résultats des tournois'!$B67:'Résultats des tournois'!O67,"&lt;&gt;")&lt;=15,24,16))</f>
        <v>32</v>
      </c>
      <c r="P67" s="15">
        <f>IF(COUNTIF('Résultats des tournois'!$B67:'Résultats des tournois'!P67,"&lt;&gt;")&lt;=5,32,IF(COUNTIF('Résultats des tournois'!$B67:'Résultats des tournois'!P67,"&lt;&gt;")&lt;=15,24,16))</f>
        <v>32</v>
      </c>
      <c r="Q67" s="15">
        <f>IF(COUNTIF('Résultats des tournois'!$B67:'Résultats des tournois'!Q67,"&lt;&gt;")&lt;=5,32,IF(COUNTIF('Résultats des tournois'!$B67:'Résultats des tournois'!Q67,"&lt;&gt;")&lt;=15,24,16))</f>
        <v>32</v>
      </c>
      <c r="R67" s="15">
        <f>IF(COUNTIF('Résultats des tournois'!$B67:'Résultats des tournois'!R67,"&lt;&gt;")&lt;=5,32,IF(COUNTIF('Résultats des tournois'!$B67:'Résultats des tournois'!R67,"&lt;&gt;")&lt;=15,24,16))</f>
        <v>32</v>
      </c>
      <c r="S67" s="15">
        <f>IF(COUNTIF('Résultats des tournois'!$B67:'Résultats des tournois'!S67,"&lt;&gt;")&lt;=5,32,IF(COUNTIF('Résultats des tournois'!$B67:'Résultats des tournois'!S67,"&lt;&gt;")&lt;=15,24,16))</f>
        <v>32</v>
      </c>
      <c r="T67" s="15">
        <f>IF(COUNTIF('Résultats des tournois'!$B67:'Résultats des tournois'!T67,"&lt;&gt;")&lt;=5,32,IF(COUNTIF('Résultats des tournois'!$B67:'Résultats des tournois'!T67,"&lt;&gt;")&lt;=15,24,16))</f>
        <v>32</v>
      </c>
      <c r="U67" s="15">
        <f>IF(COUNTIF('Résultats des tournois'!$B67:'Résultats des tournois'!U67,"&lt;&gt;")&lt;=5,32,IF(COUNTIF('Résultats des tournois'!$B67:'Résultats des tournois'!U67,"&lt;&gt;")&lt;=15,24,16))</f>
        <v>32</v>
      </c>
      <c r="V67" s="15">
        <f>IF(COUNTIF('Résultats des tournois'!$B67:'Résultats des tournois'!V67,"&lt;&gt;")&lt;=5,32,IF(COUNTIF('Résultats des tournois'!$B67:'Résultats des tournois'!V67,"&lt;&gt;")&lt;=15,24,16))</f>
        <v>32</v>
      </c>
      <c r="W67" s="15">
        <f>IF(COUNTIF('Résultats des tournois'!$B67:'Résultats des tournois'!W67,"&lt;&gt;")&lt;=5,32,IF(COUNTIF('Résultats des tournois'!$B67:'Résultats des tournois'!W67,"&lt;&gt;")&lt;=15,24,16))</f>
        <v>32</v>
      </c>
      <c r="X67" s="15">
        <f>IF(COUNTIF('Résultats des tournois'!$B67:'Résultats des tournois'!X67,"&lt;&gt;")&lt;=5,32,IF(COUNTIF('Résultats des tournois'!$B67:'Résultats des tournois'!X67,"&lt;&gt;")&lt;=15,24,16))</f>
        <v>32</v>
      </c>
      <c r="Y67" s="15">
        <f>IF(COUNTIF('Résultats des tournois'!$B67:'Résultats des tournois'!Y67,"&lt;&gt;")&lt;=5,32,IF(COUNTIF('Résultats des tournois'!$B67:'Résultats des tournois'!Y67,"&lt;&gt;")&lt;=15,24,16))</f>
        <v>32</v>
      </c>
      <c r="Z67" s="15">
        <f>IF(COUNTIF('Résultats des tournois'!$B67:'Résultats des tournois'!Z67,"&lt;&gt;")&lt;=5,32,IF(COUNTIF('Résultats des tournois'!$B67:'Résultats des tournois'!Z67,"&lt;&gt;")&lt;=15,24,16))</f>
        <v>32</v>
      </c>
      <c r="AA67" s="15">
        <f>IF(COUNTIF('Résultats des tournois'!$B67:'Résultats des tournois'!AA67,"&lt;&gt;")&lt;=5,32,IF(COUNTIF('Résultats des tournois'!$B67:'Résultats des tournois'!AA67,"&lt;&gt;")&lt;=15,24,16))</f>
        <v>32</v>
      </c>
      <c r="AB67" s="15">
        <f>IF(COUNTIF('Résultats des tournois'!$B67:'Résultats des tournois'!AB67,"&lt;&gt;")&lt;=5,32,IF(COUNTIF('Résultats des tournois'!$B67:'Résultats des tournois'!AB67,"&lt;&gt;")&lt;=15,24,16))</f>
        <v>32</v>
      </c>
      <c r="AC67" s="15">
        <f>IF(COUNTIF('Résultats des tournois'!$B67:'Résultats des tournois'!AC67,"&lt;&gt;")&lt;=5,32,IF(COUNTIF('Résultats des tournois'!$B67:'Résultats des tournois'!AC67,"&lt;&gt;")&lt;=15,24,16))</f>
        <v>32</v>
      </c>
      <c r="AD67" s="15">
        <f>IF(COUNTIF('Résultats des tournois'!$B67:'Résultats des tournois'!AD67,"&lt;&gt;")&lt;=5,32,IF(COUNTIF('Résultats des tournois'!$B67:'Résultats des tournois'!AD67,"&lt;&gt;")&lt;=15,24,16))</f>
        <v>32</v>
      </c>
      <c r="AE67" s="15">
        <f>IF(COUNTIF('Résultats des tournois'!$B67:'Résultats des tournois'!AE67,"&lt;&gt;")&lt;=5,32,IF(COUNTIF('Résultats des tournois'!$B67:'Résultats des tournois'!AE67,"&lt;&gt;")&lt;=15,24,16))</f>
        <v>32</v>
      </c>
      <c r="AF67" s="15">
        <f>IF(COUNTIF('Résultats des tournois'!$B67:'Résultats des tournois'!AF67,"&lt;&gt;")&lt;=5,32,IF(COUNTIF('Résultats des tournois'!$B67:'Résultats des tournois'!AF67,"&lt;&gt;")&lt;=15,24,16))</f>
        <v>32</v>
      </c>
      <c r="AG67" s="15">
        <f>IF(COUNTIF('Résultats des tournois'!$B67:'Résultats des tournois'!AG67,"&lt;&gt;")&lt;=5,32,IF(COUNTIF('Résultats des tournois'!$B67:'Résultats des tournois'!AG67,"&lt;&gt;")&lt;=15,24,16))</f>
        <v>32</v>
      </c>
      <c r="AH67" s="15">
        <f>IF(COUNTIF('Résultats des tournois'!$B67:'Résultats des tournois'!AH67,"&lt;&gt;")&lt;=5,32,IF(COUNTIF('Résultats des tournois'!$B67:'Résultats des tournois'!AH67,"&lt;&gt;")&lt;=15,24,16))</f>
        <v>32</v>
      </c>
      <c r="AI67" s="15">
        <f>IF(COUNTIF('Résultats des tournois'!$B67:'Résultats des tournois'!AI67,"&lt;&gt;")&lt;=5,32,IF(COUNTIF('Résultats des tournois'!$B67:'Résultats des tournois'!AI67,"&lt;&gt;")&lt;=15,24,16))</f>
        <v>32</v>
      </c>
      <c r="AJ67" s="15">
        <f>IF(COUNTIF('Résultats des tournois'!$B67:'Résultats des tournois'!AJ67,"&lt;&gt;")&lt;=5,32,IF(COUNTIF('Résultats des tournois'!$B67:'Résultats des tournois'!AJ67,"&lt;&gt;")&lt;=15,24,16))</f>
        <v>32</v>
      </c>
      <c r="AK67" s="15">
        <f>IF(COUNTIF('Résultats des tournois'!$B67:'Résultats des tournois'!AK67,"&lt;&gt;")&lt;=5,32,IF(COUNTIF('Résultats des tournois'!$B67:'Résultats des tournois'!AK67,"&lt;&gt;")&lt;=15,24,16))</f>
        <v>32</v>
      </c>
      <c r="AL67" s="15">
        <f>IF(COUNTIF('Résultats des tournois'!$B67:'Résultats des tournois'!AL67,"&lt;&gt;")&lt;=5,32,IF(COUNTIF('Résultats des tournois'!$B67:'Résultats des tournois'!AL67,"&lt;&gt;")&lt;=15,24,16))</f>
        <v>32</v>
      </c>
      <c r="AM67" s="15">
        <f>IF(COUNTIF('Résultats des tournois'!$B67:'Résultats des tournois'!AM67,"&lt;&gt;")&lt;=5,32,IF(COUNTIF('Résultats des tournois'!$B67:'Résultats des tournois'!AM67,"&lt;&gt;")&lt;=15,24,16))</f>
        <v>32</v>
      </c>
      <c r="AN67" s="15">
        <f>IF(COUNTIF('Résultats des tournois'!$B67:'Résultats des tournois'!AN67,"&lt;&gt;")&lt;=5,32,IF(COUNTIF('Résultats des tournois'!$B67:'Résultats des tournois'!AN67,"&lt;&gt;")&lt;=15,24,16))</f>
        <v>32</v>
      </c>
      <c r="AO67" s="15">
        <f>IF(COUNTIF('Résultats des tournois'!$B67:'Résultats des tournois'!AO67,"&lt;&gt;")&lt;=5,32,IF(COUNTIF('Résultats des tournois'!$B67:'Résultats des tournois'!AO67,"&lt;&gt;")&lt;=15,24,16))</f>
        <v>32</v>
      </c>
      <c r="AP67" s="15">
        <f>IF(COUNTIF('Résultats des tournois'!$B67:'Résultats des tournois'!AP67,"&lt;&gt;")&lt;=5,32,IF(COUNTIF('Résultats des tournois'!$B67:'Résultats des tournois'!AP67,"&lt;&gt;")&lt;=15,24,16))</f>
        <v>32</v>
      </c>
      <c r="AQ67" s="15">
        <f>IF(COUNTIF('Résultats des tournois'!$B67:'Résultats des tournois'!AQ67,"&lt;&gt;")&lt;=5,32,IF(COUNTIF('Résultats des tournois'!$B67:'Résultats des tournois'!AQ67,"&lt;&gt;")&lt;=15,24,16))</f>
        <v>32</v>
      </c>
      <c r="AR67" s="15">
        <f>IF(COUNTIF('Résultats des tournois'!$B67:'Résultats des tournois'!AR67,"&lt;&gt;")&lt;=5,32,IF(COUNTIF('Résultats des tournois'!$B67:'Résultats des tournois'!AR67,"&lt;&gt;")&lt;=15,24,16))</f>
        <v>32</v>
      </c>
      <c r="AS67" s="15">
        <f>IF(COUNTIF('Résultats des tournois'!$B67:'Résultats des tournois'!AS67,"&lt;&gt;")&lt;=5,32,IF(COUNTIF('Résultats des tournois'!$B67:'Résultats des tournois'!AS67,"&lt;&gt;")&lt;=15,24,16))</f>
        <v>32</v>
      </c>
      <c r="AT67" s="15">
        <f>IF(COUNTIF('Résultats des tournois'!$B67:'Résultats des tournois'!AT67,"&lt;&gt;")&lt;=5,32,IF(COUNTIF('Résultats des tournois'!$B67:'Résultats des tournois'!AT67,"&lt;&gt;")&lt;=15,24,16))</f>
        <v>32</v>
      </c>
      <c r="AU67" s="15">
        <f>IF(COUNTIF('Résultats des tournois'!$B67:'Résultats des tournois'!AU67,"&lt;&gt;")&lt;=5,32,IF(COUNTIF('Résultats des tournois'!$B67:'Résultats des tournois'!AU67,"&lt;&gt;")&lt;=15,24,16))</f>
        <v>32</v>
      </c>
      <c r="AV67" s="15">
        <f>IF(COUNTIF('Résultats des tournois'!$B67:'Résultats des tournois'!AV67,"&lt;&gt;")&lt;=5,32,IF(COUNTIF('Résultats des tournois'!$B67:'Résultats des tournois'!AV67,"&lt;&gt;")&lt;=15,24,16))</f>
        <v>32</v>
      </c>
      <c r="AW67" s="15">
        <f>IF(COUNTIF('Résultats des tournois'!$B67:'Résultats des tournois'!AW67,"&lt;&gt;")&lt;=5,32,IF(COUNTIF('Résultats des tournois'!$B67:'Résultats des tournois'!AW67,"&lt;&gt;")&lt;=15,24,16))</f>
        <v>32</v>
      </c>
      <c r="AX67" s="15">
        <f>IF(COUNTIF('Résultats des tournois'!$B67:'Résultats des tournois'!AX67,"&lt;&gt;")&lt;=5,32,IF(COUNTIF('Résultats des tournois'!$B67:'Résultats des tournois'!AX67,"&lt;&gt;")&lt;=15,24,16))</f>
        <v>32</v>
      </c>
    </row>
    <row r="68" ht="14.25" customHeight="1">
      <c r="A68" s="15" t="str">
        <f>IF('Résultats des tournois'!A68="","",'Résultats des tournois'!A68)</f>
        <v/>
      </c>
      <c r="B68" s="15">
        <f>IF(COUNTIF('Résultats des tournois'!B68,"&lt;&gt;")&lt;=5,32,IF(COUNTIF('Résultats des tournois'!B68,"&lt;&gt;")&lt;=15,24,16))</f>
        <v>32</v>
      </c>
      <c r="C68" s="15">
        <f>IF(COUNTIF('Résultats des tournois'!$B68:'Résultats des tournois'!C68,"&lt;&gt;")&lt;=5,32,IF(COUNTIF('Résultats des tournois'!$B68:'Résultats des tournois'!C68,"&lt;&gt;")&lt;=15,24,16))</f>
        <v>32</v>
      </c>
      <c r="D68" s="15">
        <f>IF(COUNTIF('Résultats des tournois'!$B68:'Résultats des tournois'!D68,"&lt;&gt;")&lt;=5,32,IF(COUNTIF('Résultats des tournois'!$B68:'Résultats des tournois'!D68,"&lt;&gt;")&lt;=15,24,16))</f>
        <v>32</v>
      </c>
      <c r="E68" s="15">
        <f>IF(COUNTIF('Résultats des tournois'!$B68:'Résultats des tournois'!E68,"&lt;&gt;")&lt;=5,32,IF(COUNTIF('Résultats des tournois'!$B68:'Résultats des tournois'!E68,"&lt;&gt;")&lt;=15,24,16))</f>
        <v>32</v>
      </c>
      <c r="F68" s="15">
        <f>IF(COUNTIF('Résultats des tournois'!$B68:'Résultats des tournois'!F68,"&lt;&gt;")&lt;=5,32,IF(COUNTIF('Résultats des tournois'!$B68:'Résultats des tournois'!F68,"&lt;&gt;")&lt;=15,24,16))</f>
        <v>32</v>
      </c>
      <c r="G68" s="15">
        <f>IF(COUNTIF('Résultats des tournois'!$B68:'Résultats des tournois'!G68,"&lt;&gt;")&lt;=5,32,IF(COUNTIF('Résultats des tournois'!$B68:'Résultats des tournois'!G68,"&lt;&gt;")&lt;=15,24,16))</f>
        <v>32</v>
      </c>
      <c r="H68" s="15">
        <f>IF(COUNTIF('Résultats des tournois'!$B68:'Résultats des tournois'!H68,"&lt;&gt;")&lt;=5,32,IF(COUNTIF('Résultats des tournois'!$B68:'Résultats des tournois'!H68,"&lt;&gt;")&lt;=15,24,16))</f>
        <v>32</v>
      </c>
      <c r="I68" s="15">
        <f>IF(COUNTIF('Résultats des tournois'!$B68:'Résultats des tournois'!I68,"&lt;&gt;")&lt;=5,32,IF(COUNTIF('Résultats des tournois'!$B68:'Résultats des tournois'!I68,"&lt;&gt;")&lt;=15,24,16))</f>
        <v>32</v>
      </c>
      <c r="J68" s="15">
        <f>IF(COUNTIF('Résultats des tournois'!$B68:'Résultats des tournois'!J68,"&lt;&gt;")&lt;=5,32,IF(COUNTIF('Résultats des tournois'!$B68:'Résultats des tournois'!J68,"&lt;&gt;")&lt;=15,24,16))</f>
        <v>32</v>
      </c>
      <c r="K68" s="15">
        <f>IF(COUNTIF('Résultats des tournois'!$B68:'Résultats des tournois'!K68,"&lt;&gt;")&lt;=5,32,IF(COUNTIF('Résultats des tournois'!$B68:'Résultats des tournois'!K68,"&lt;&gt;")&lt;=15,24,16))</f>
        <v>32</v>
      </c>
      <c r="L68" s="15">
        <f>IF(COUNTIF('Résultats des tournois'!$B68:'Résultats des tournois'!L68,"&lt;&gt;")&lt;=5,32,IF(COUNTIF('Résultats des tournois'!$B68:'Résultats des tournois'!L68,"&lt;&gt;")&lt;=15,24,16))</f>
        <v>32</v>
      </c>
      <c r="M68" s="15">
        <f>IF(COUNTIF('Résultats des tournois'!$B68:'Résultats des tournois'!M68,"&lt;&gt;")&lt;=5,32,IF(COUNTIF('Résultats des tournois'!$B68:'Résultats des tournois'!M68,"&lt;&gt;")&lt;=15,24,16))</f>
        <v>32</v>
      </c>
      <c r="N68" s="15">
        <f>IF(COUNTIF('Résultats des tournois'!$B68:'Résultats des tournois'!N68,"&lt;&gt;")&lt;=5,32,IF(COUNTIF('Résultats des tournois'!$B68:'Résultats des tournois'!N68,"&lt;&gt;")&lt;=15,24,16))</f>
        <v>32</v>
      </c>
      <c r="O68" s="15">
        <f>IF(COUNTIF('Résultats des tournois'!$B68:'Résultats des tournois'!O68,"&lt;&gt;")&lt;=5,32,IF(COUNTIF('Résultats des tournois'!$B68:'Résultats des tournois'!O68,"&lt;&gt;")&lt;=15,24,16))</f>
        <v>32</v>
      </c>
      <c r="P68" s="15">
        <f>IF(COUNTIF('Résultats des tournois'!$B68:'Résultats des tournois'!P68,"&lt;&gt;")&lt;=5,32,IF(COUNTIF('Résultats des tournois'!$B68:'Résultats des tournois'!P68,"&lt;&gt;")&lt;=15,24,16))</f>
        <v>32</v>
      </c>
      <c r="Q68" s="15">
        <f>IF(COUNTIF('Résultats des tournois'!$B68:'Résultats des tournois'!Q68,"&lt;&gt;")&lt;=5,32,IF(COUNTIF('Résultats des tournois'!$B68:'Résultats des tournois'!Q68,"&lt;&gt;")&lt;=15,24,16))</f>
        <v>32</v>
      </c>
      <c r="R68" s="15">
        <f>IF(COUNTIF('Résultats des tournois'!$B68:'Résultats des tournois'!R68,"&lt;&gt;")&lt;=5,32,IF(COUNTIF('Résultats des tournois'!$B68:'Résultats des tournois'!R68,"&lt;&gt;")&lt;=15,24,16))</f>
        <v>32</v>
      </c>
      <c r="S68" s="15">
        <f>IF(COUNTIF('Résultats des tournois'!$B68:'Résultats des tournois'!S68,"&lt;&gt;")&lt;=5,32,IF(COUNTIF('Résultats des tournois'!$B68:'Résultats des tournois'!S68,"&lt;&gt;")&lt;=15,24,16))</f>
        <v>32</v>
      </c>
      <c r="T68" s="15">
        <f>IF(COUNTIF('Résultats des tournois'!$B68:'Résultats des tournois'!T68,"&lt;&gt;")&lt;=5,32,IF(COUNTIF('Résultats des tournois'!$B68:'Résultats des tournois'!T68,"&lt;&gt;")&lt;=15,24,16))</f>
        <v>32</v>
      </c>
      <c r="U68" s="15">
        <f>IF(COUNTIF('Résultats des tournois'!$B68:'Résultats des tournois'!U68,"&lt;&gt;")&lt;=5,32,IF(COUNTIF('Résultats des tournois'!$B68:'Résultats des tournois'!U68,"&lt;&gt;")&lt;=15,24,16))</f>
        <v>32</v>
      </c>
      <c r="V68" s="15">
        <f>IF(COUNTIF('Résultats des tournois'!$B68:'Résultats des tournois'!V68,"&lt;&gt;")&lt;=5,32,IF(COUNTIF('Résultats des tournois'!$B68:'Résultats des tournois'!V68,"&lt;&gt;")&lt;=15,24,16))</f>
        <v>32</v>
      </c>
      <c r="W68" s="15">
        <f>IF(COUNTIF('Résultats des tournois'!$B68:'Résultats des tournois'!W68,"&lt;&gt;")&lt;=5,32,IF(COUNTIF('Résultats des tournois'!$B68:'Résultats des tournois'!W68,"&lt;&gt;")&lt;=15,24,16))</f>
        <v>32</v>
      </c>
      <c r="X68" s="15">
        <f>IF(COUNTIF('Résultats des tournois'!$B68:'Résultats des tournois'!X68,"&lt;&gt;")&lt;=5,32,IF(COUNTIF('Résultats des tournois'!$B68:'Résultats des tournois'!X68,"&lt;&gt;")&lt;=15,24,16))</f>
        <v>32</v>
      </c>
      <c r="Y68" s="15">
        <f>IF(COUNTIF('Résultats des tournois'!$B68:'Résultats des tournois'!Y68,"&lt;&gt;")&lt;=5,32,IF(COUNTIF('Résultats des tournois'!$B68:'Résultats des tournois'!Y68,"&lt;&gt;")&lt;=15,24,16))</f>
        <v>32</v>
      </c>
      <c r="Z68" s="15">
        <f>IF(COUNTIF('Résultats des tournois'!$B68:'Résultats des tournois'!Z68,"&lt;&gt;")&lt;=5,32,IF(COUNTIF('Résultats des tournois'!$B68:'Résultats des tournois'!Z68,"&lt;&gt;")&lt;=15,24,16))</f>
        <v>32</v>
      </c>
      <c r="AA68" s="15">
        <f>IF(COUNTIF('Résultats des tournois'!$B68:'Résultats des tournois'!AA68,"&lt;&gt;")&lt;=5,32,IF(COUNTIF('Résultats des tournois'!$B68:'Résultats des tournois'!AA68,"&lt;&gt;")&lt;=15,24,16))</f>
        <v>32</v>
      </c>
      <c r="AB68" s="15">
        <f>IF(COUNTIF('Résultats des tournois'!$B68:'Résultats des tournois'!AB68,"&lt;&gt;")&lt;=5,32,IF(COUNTIF('Résultats des tournois'!$B68:'Résultats des tournois'!AB68,"&lt;&gt;")&lt;=15,24,16))</f>
        <v>32</v>
      </c>
      <c r="AC68" s="15">
        <f>IF(COUNTIF('Résultats des tournois'!$B68:'Résultats des tournois'!AC68,"&lt;&gt;")&lt;=5,32,IF(COUNTIF('Résultats des tournois'!$B68:'Résultats des tournois'!AC68,"&lt;&gt;")&lt;=15,24,16))</f>
        <v>32</v>
      </c>
      <c r="AD68" s="15">
        <f>IF(COUNTIF('Résultats des tournois'!$B68:'Résultats des tournois'!AD68,"&lt;&gt;")&lt;=5,32,IF(COUNTIF('Résultats des tournois'!$B68:'Résultats des tournois'!AD68,"&lt;&gt;")&lt;=15,24,16))</f>
        <v>32</v>
      </c>
      <c r="AE68" s="15">
        <f>IF(COUNTIF('Résultats des tournois'!$B68:'Résultats des tournois'!AE68,"&lt;&gt;")&lt;=5,32,IF(COUNTIF('Résultats des tournois'!$B68:'Résultats des tournois'!AE68,"&lt;&gt;")&lt;=15,24,16))</f>
        <v>32</v>
      </c>
      <c r="AF68" s="15">
        <f>IF(COUNTIF('Résultats des tournois'!$B68:'Résultats des tournois'!AF68,"&lt;&gt;")&lt;=5,32,IF(COUNTIF('Résultats des tournois'!$B68:'Résultats des tournois'!AF68,"&lt;&gt;")&lt;=15,24,16))</f>
        <v>32</v>
      </c>
      <c r="AG68" s="15">
        <f>IF(COUNTIF('Résultats des tournois'!$B68:'Résultats des tournois'!AG68,"&lt;&gt;")&lt;=5,32,IF(COUNTIF('Résultats des tournois'!$B68:'Résultats des tournois'!AG68,"&lt;&gt;")&lt;=15,24,16))</f>
        <v>32</v>
      </c>
      <c r="AH68" s="15">
        <f>IF(COUNTIF('Résultats des tournois'!$B68:'Résultats des tournois'!AH68,"&lt;&gt;")&lt;=5,32,IF(COUNTIF('Résultats des tournois'!$B68:'Résultats des tournois'!AH68,"&lt;&gt;")&lt;=15,24,16))</f>
        <v>32</v>
      </c>
      <c r="AI68" s="15">
        <f>IF(COUNTIF('Résultats des tournois'!$B68:'Résultats des tournois'!AI68,"&lt;&gt;")&lt;=5,32,IF(COUNTIF('Résultats des tournois'!$B68:'Résultats des tournois'!AI68,"&lt;&gt;")&lt;=15,24,16))</f>
        <v>32</v>
      </c>
      <c r="AJ68" s="15">
        <f>IF(COUNTIF('Résultats des tournois'!$B68:'Résultats des tournois'!AJ68,"&lt;&gt;")&lt;=5,32,IF(COUNTIF('Résultats des tournois'!$B68:'Résultats des tournois'!AJ68,"&lt;&gt;")&lt;=15,24,16))</f>
        <v>32</v>
      </c>
      <c r="AK68" s="15">
        <f>IF(COUNTIF('Résultats des tournois'!$B68:'Résultats des tournois'!AK68,"&lt;&gt;")&lt;=5,32,IF(COUNTIF('Résultats des tournois'!$B68:'Résultats des tournois'!AK68,"&lt;&gt;")&lt;=15,24,16))</f>
        <v>32</v>
      </c>
      <c r="AL68" s="15">
        <f>IF(COUNTIF('Résultats des tournois'!$B68:'Résultats des tournois'!AL68,"&lt;&gt;")&lt;=5,32,IF(COUNTIF('Résultats des tournois'!$B68:'Résultats des tournois'!AL68,"&lt;&gt;")&lt;=15,24,16))</f>
        <v>32</v>
      </c>
      <c r="AM68" s="15">
        <f>IF(COUNTIF('Résultats des tournois'!$B68:'Résultats des tournois'!AM68,"&lt;&gt;")&lt;=5,32,IF(COUNTIF('Résultats des tournois'!$B68:'Résultats des tournois'!AM68,"&lt;&gt;")&lt;=15,24,16))</f>
        <v>32</v>
      </c>
      <c r="AN68" s="15">
        <f>IF(COUNTIF('Résultats des tournois'!$B68:'Résultats des tournois'!AN68,"&lt;&gt;")&lt;=5,32,IF(COUNTIF('Résultats des tournois'!$B68:'Résultats des tournois'!AN68,"&lt;&gt;")&lt;=15,24,16))</f>
        <v>32</v>
      </c>
      <c r="AO68" s="15">
        <f>IF(COUNTIF('Résultats des tournois'!$B68:'Résultats des tournois'!AO68,"&lt;&gt;")&lt;=5,32,IF(COUNTIF('Résultats des tournois'!$B68:'Résultats des tournois'!AO68,"&lt;&gt;")&lt;=15,24,16))</f>
        <v>32</v>
      </c>
      <c r="AP68" s="15">
        <f>IF(COUNTIF('Résultats des tournois'!$B68:'Résultats des tournois'!AP68,"&lt;&gt;")&lt;=5,32,IF(COUNTIF('Résultats des tournois'!$B68:'Résultats des tournois'!AP68,"&lt;&gt;")&lt;=15,24,16))</f>
        <v>32</v>
      </c>
      <c r="AQ68" s="15">
        <f>IF(COUNTIF('Résultats des tournois'!$B68:'Résultats des tournois'!AQ68,"&lt;&gt;")&lt;=5,32,IF(COUNTIF('Résultats des tournois'!$B68:'Résultats des tournois'!AQ68,"&lt;&gt;")&lt;=15,24,16))</f>
        <v>32</v>
      </c>
      <c r="AR68" s="15">
        <f>IF(COUNTIF('Résultats des tournois'!$B68:'Résultats des tournois'!AR68,"&lt;&gt;")&lt;=5,32,IF(COUNTIF('Résultats des tournois'!$B68:'Résultats des tournois'!AR68,"&lt;&gt;")&lt;=15,24,16))</f>
        <v>32</v>
      </c>
      <c r="AS68" s="15">
        <f>IF(COUNTIF('Résultats des tournois'!$B68:'Résultats des tournois'!AS68,"&lt;&gt;")&lt;=5,32,IF(COUNTIF('Résultats des tournois'!$B68:'Résultats des tournois'!AS68,"&lt;&gt;")&lt;=15,24,16))</f>
        <v>32</v>
      </c>
      <c r="AT68" s="15">
        <f>IF(COUNTIF('Résultats des tournois'!$B68:'Résultats des tournois'!AT68,"&lt;&gt;")&lt;=5,32,IF(COUNTIF('Résultats des tournois'!$B68:'Résultats des tournois'!AT68,"&lt;&gt;")&lt;=15,24,16))</f>
        <v>32</v>
      </c>
      <c r="AU68" s="15">
        <f>IF(COUNTIF('Résultats des tournois'!$B68:'Résultats des tournois'!AU68,"&lt;&gt;")&lt;=5,32,IF(COUNTIF('Résultats des tournois'!$B68:'Résultats des tournois'!AU68,"&lt;&gt;")&lt;=15,24,16))</f>
        <v>32</v>
      </c>
      <c r="AV68" s="15">
        <f>IF(COUNTIF('Résultats des tournois'!$B68:'Résultats des tournois'!AV68,"&lt;&gt;")&lt;=5,32,IF(COUNTIF('Résultats des tournois'!$B68:'Résultats des tournois'!AV68,"&lt;&gt;")&lt;=15,24,16))</f>
        <v>32</v>
      </c>
      <c r="AW68" s="15">
        <f>IF(COUNTIF('Résultats des tournois'!$B68:'Résultats des tournois'!AW68,"&lt;&gt;")&lt;=5,32,IF(COUNTIF('Résultats des tournois'!$B68:'Résultats des tournois'!AW68,"&lt;&gt;")&lt;=15,24,16))</f>
        <v>32</v>
      </c>
      <c r="AX68" s="15">
        <f>IF(COUNTIF('Résultats des tournois'!$B68:'Résultats des tournois'!AX68,"&lt;&gt;")&lt;=5,32,IF(COUNTIF('Résultats des tournois'!$B68:'Résultats des tournois'!AX68,"&lt;&gt;")&lt;=15,24,16))</f>
        <v>32</v>
      </c>
    </row>
    <row r="69" ht="14.25" customHeight="1">
      <c r="A69" s="15" t="str">
        <f>IF('Résultats des tournois'!A69="","",'Résultats des tournois'!A69)</f>
        <v/>
      </c>
      <c r="B69" s="15">
        <f>IF(COUNTIF('Résultats des tournois'!B69,"&lt;&gt;")&lt;=5,32,IF(COUNTIF('Résultats des tournois'!B69,"&lt;&gt;")&lt;=15,24,16))</f>
        <v>32</v>
      </c>
      <c r="C69" s="15">
        <f>IF(COUNTIF('Résultats des tournois'!$B69:'Résultats des tournois'!C69,"&lt;&gt;")&lt;=5,32,IF(COUNTIF('Résultats des tournois'!$B69:'Résultats des tournois'!C69,"&lt;&gt;")&lt;=15,24,16))</f>
        <v>32</v>
      </c>
      <c r="D69" s="15">
        <f>IF(COUNTIF('Résultats des tournois'!$B69:'Résultats des tournois'!D69,"&lt;&gt;")&lt;=5,32,IF(COUNTIF('Résultats des tournois'!$B69:'Résultats des tournois'!D69,"&lt;&gt;")&lt;=15,24,16))</f>
        <v>32</v>
      </c>
      <c r="E69" s="15">
        <f>IF(COUNTIF('Résultats des tournois'!$B69:'Résultats des tournois'!E69,"&lt;&gt;")&lt;=5,32,IF(COUNTIF('Résultats des tournois'!$B69:'Résultats des tournois'!E69,"&lt;&gt;")&lt;=15,24,16))</f>
        <v>32</v>
      </c>
      <c r="F69" s="15">
        <f>IF(COUNTIF('Résultats des tournois'!$B69:'Résultats des tournois'!F69,"&lt;&gt;")&lt;=5,32,IF(COUNTIF('Résultats des tournois'!$B69:'Résultats des tournois'!F69,"&lt;&gt;")&lt;=15,24,16))</f>
        <v>32</v>
      </c>
      <c r="G69" s="15">
        <f>IF(COUNTIF('Résultats des tournois'!$B69:'Résultats des tournois'!G69,"&lt;&gt;")&lt;=5,32,IF(COUNTIF('Résultats des tournois'!$B69:'Résultats des tournois'!G69,"&lt;&gt;")&lt;=15,24,16))</f>
        <v>32</v>
      </c>
      <c r="H69" s="15">
        <f>IF(COUNTIF('Résultats des tournois'!$B69:'Résultats des tournois'!H69,"&lt;&gt;")&lt;=5,32,IF(COUNTIF('Résultats des tournois'!$B69:'Résultats des tournois'!H69,"&lt;&gt;")&lt;=15,24,16))</f>
        <v>32</v>
      </c>
      <c r="I69" s="15">
        <f>IF(COUNTIF('Résultats des tournois'!$B69:'Résultats des tournois'!I69,"&lt;&gt;")&lt;=5,32,IF(COUNTIF('Résultats des tournois'!$B69:'Résultats des tournois'!I69,"&lt;&gt;")&lt;=15,24,16))</f>
        <v>32</v>
      </c>
      <c r="J69" s="15">
        <f>IF(COUNTIF('Résultats des tournois'!$B69:'Résultats des tournois'!J69,"&lt;&gt;")&lt;=5,32,IF(COUNTIF('Résultats des tournois'!$B69:'Résultats des tournois'!J69,"&lt;&gt;")&lt;=15,24,16))</f>
        <v>32</v>
      </c>
      <c r="K69" s="15">
        <f>IF(COUNTIF('Résultats des tournois'!$B69:'Résultats des tournois'!K69,"&lt;&gt;")&lt;=5,32,IF(COUNTIF('Résultats des tournois'!$B69:'Résultats des tournois'!K69,"&lt;&gt;")&lt;=15,24,16))</f>
        <v>32</v>
      </c>
      <c r="L69" s="15">
        <f>IF(COUNTIF('Résultats des tournois'!$B69:'Résultats des tournois'!L69,"&lt;&gt;")&lt;=5,32,IF(COUNTIF('Résultats des tournois'!$B69:'Résultats des tournois'!L69,"&lt;&gt;")&lt;=15,24,16))</f>
        <v>32</v>
      </c>
      <c r="M69" s="15">
        <f>IF(COUNTIF('Résultats des tournois'!$B69:'Résultats des tournois'!M69,"&lt;&gt;")&lt;=5,32,IF(COUNTIF('Résultats des tournois'!$B69:'Résultats des tournois'!M69,"&lt;&gt;")&lt;=15,24,16))</f>
        <v>32</v>
      </c>
      <c r="N69" s="15">
        <f>IF(COUNTIF('Résultats des tournois'!$B69:'Résultats des tournois'!N69,"&lt;&gt;")&lt;=5,32,IF(COUNTIF('Résultats des tournois'!$B69:'Résultats des tournois'!N69,"&lt;&gt;")&lt;=15,24,16))</f>
        <v>32</v>
      </c>
      <c r="O69" s="15">
        <f>IF(COUNTIF('Résultats des tournois'!$B69:'Résultats des tournois'!O69,"&lt;&gt;")&lt;=5,32,IF(COUNTIF('Résultats des tournois'!$B69:'Résultats des tournois'!O69,"&lt;&gt;")&lt;=15,24,16))</f>
        <v>32</v>
      </c>
      <c r="P69" s="15">
        <f>IF(COUNTIF('Résultats des tournois'!$B69:'Résultats des tournois'!P69,"&lt;&gt;")&lt;=5,32,IF(COUNTIF('Résultats des tournois'!$B69:'Résultats des tournois'!P69,"&lt;&gt;")&lt;=15,24,16))</f>
        <v>32</v>
      </c>
      <c r="Q69" s="15">
        <f>IF(COUNTIF('Résultats des tournois'!$B69:'Résultats des tournois'!Q69,"&lt;&gt;")&lt;=5,32,IF(COUNTIF('Résultats des tournois'!$B69:'Résultats des tournois'!Q69,"&lt;&gt;")&lt;=15,24,16))</f>
        <v>32</v>
      </c>
      <c r="R69" s="15">
        <f>IF(COUNTIF('Résultats des tournois'!$B69:'Résultats des tournois'!R69,"&lt;&gt;")&lt;=5,32,IF(COUNTIF('Résultats des tournois'!$B69:'Résultats des tournois'!R69,"&lt;&gt;")&lt;=15,24,16))</f>
        <v>32</v>
      </c>
      <c r="S69" s="15">
        <f>IF(COUNTIF('Résultats des tournois'!$B69:'Résultats des tournois'!S69,"&lt;&gt;")&lt;=5,32,IF(COUNTIF('Résultats des tournois'!$B69:'Résultats des tournois'!S69,"&lt;&gt;")&lt;=15,24,16))</f>
        <v>32</v>
      </c>
      <c r="T69" s="15">
        <f>IF(COUNTIF('Résultats des tournois'!$B69:'Résultats des tournois'!T69,"&lt;&gt;")&lt;=5,32,IF(COUNTIF('Résultats des tournois'!$B69:'Résultats des tournois'!T69,"&lt;&gt;")&lt;=15,24,16))</f>
        <v>32</v>
      </c>
      <c r="U69" s="15">
        <f>IF(COUNTIF('Résultats des tournois'!$B69:'Résultats des tournois'!U69,"&lt;&gt;")&lt;=5,32,IF(COUNTIF('Résultats des tournois'!$B69:'Résultats des tournois'!U69,"&lt;&gt;")&lt;=15,24,16))</f>
        <v>32</v>
      </c>
      <c r="V69" s="15">
        <f>IF(COUNTIF('Résultats des tournois'!$B69:'Résultats des tournois'!V69,"&lt;&gt;")&lt;=5,32,IF(COUNTIF('Résultats des tournois'!$B69:'Résultats des tournois'!V69,"&lt;&gt;")&lt;=15,24,16))</f>
        <v>32</v>
      </c>
      <c r="W69" s="15">
        <f>IF(COUNTIF('Résultats des tournois'!$B69:'Résultats des tournois'!W69,"&lt;&gt;")&lt;=5,32,IF(COUNTIF('Résultats des tournois'!$B69:'Résultats des tournois'!W69,"&lt;&gt;")&lt;=15,24,16))</f>
        <v>32</v>
      </c>
      <c r="X69" s="15">
        <f>IF(COUNTIF('Résultats des tournois'!$B69:'Résultats des tournois'!X69,"&lt;&gt;")&lt;=5,32,IF(COUNTIF('Résultats des tournois'!$B69:'Résultats des tournois'!X69,"&lt;&gt;")&lt;=15,24,16))</f>
        <v>32</v>
      </c>
      <c r="Y69" s="15">
        <f>IF(COUNTIF('Résultats des tournois'!$B69:'Résultats des tournois'!Y69,"&lt;&gt;")&lt;=5,32,IF(COUNTIF('Résultats des tournois'!$B69:'Résultats des tournois'!Y69,"&lt;&gt;")&lt;=15,24,16))</f>
        <v>32</v>
      </c>
      <c r="Z69" s="15">
        <f>IF(COUNTIF('Résultats des tournois'!$B69:'Résultats des tournois'!Z69,"&lt;&gt;")&lt;=5,32,IF(COUNTIF('Résultats des tournois'!$B69:'Résultats des tournois'!Z69,"&lt;&gt;")&lt;=15,24,16))</f>
        <v>32</v>
      </c>
      <c r="AA69" s="15">
        <f>IF(COUNTIF('Résultats des tournois'!$B69:'Résultats des tournois'!AA69,"&lt;&gt;")&lt;=5,32,IF(COUNTIF('Résultats des tournois'!$B69:'Résultats des tournois'!AA69,"&lt;&gt;")&lt;=15,24,16))</f>
        <v>32</v>
      </c>
      <c r="AB69" s="15">
        <f>IF(COUNTIF('Résultats des tournois'!$B69:'Résultats des tournois'!AB69,"&lt;&gt;")&lt;=5,32,IF(COUNTIF('Résultats des tournois'!$B69:'Résultats des tournois'!AB69,"&lt;&gt;")&lt;=15,24,16))</f>
        <v>32</v>
      </c>
      <c r="AC69" s="15">
        <f>IF(COUNTIF('Résultats des tournois'!$B69:'Résultats des tournois'!AC69,"&lt;&gt;")&lt;=5,32,IF(COUNTIF('Résultats des tournois'!$B69:'Résultats des tournois'!AC69,"&lt;&gt;")&lt;=15,24,16))</f>
        <v>32</v>
      </c>
      <c r="AD69" s="15">
        <f>IF(COUNTIF('Résultats des tournois'!$B69:'Résultats des tournois'!AD69,"&lt;&gt;")&lt;=5,32,IF(COUNTIF('Résultats des tournois'!$B69:'Résultats des tournois'!AD69,"&lt;&gt;")&lt;=15,24,16))</f>
        <v>32</v>
      </c>
      <c r="AE69" s="15">
        <f>IF(COUNTIF('Résultats des tournois'!$B69:'Résultats des tournois'!AE69,"&lt;&gt;")&lt;=5,32,IF(COUNTIF('Résultats des tournois'!$B69:'Résultats des tournois'!AE69,"&lt;&gt;")&lt;=15,24,16))</f>
        <v>32</v>
      </c>
      <c r="AF69" s="15">
        <f>IF(COUNTIF('Résultats des tournois'!$B69:'Résultats des tournois'!AF69,"&lt;&gt;")&lt;=5,32,IF(COUNTIF('Résultats des tournois'!$B69:'Résultats des tournois'!AF69,"&lt;&gt;")&lt;=15,24,16))</f>
        <v>32</v>
      </c>
      <c r="AG69" s="15">
        <f>IF(COUNTIF('Résultats des tournois'!$B69:'Résultats des tournois'!AG69,"&lt;&gt;")&lt;=5,32,IF(COUNTIF('Résultats des tournois'!$B69:'Résultats des tournois'!AG69,"&lt;&gt;")&lt;=15,24,16))</f>
        <v>32</v>
      </c>
      <c r="AH69" s="15">
        <f>IF(COUNTIF('Résultats des tournois'!$B69:'Résultats des tournois'!AH69,"&lt;&gt;")&lt;=5,32,IF(COUNTIF('Résultats des tournois'!$B69:'Résultats des tournois'!AH69,"&lt;&gt;")&lt;=15,24,16))</f>
        <v>32</v>
      </c>
      <c r="AI69" s="15">
        <f>IF(COUNTIF('Résultats des tournois'!$B69:'Résultats des tournois'!AI69,"&lt;&gt;")&lt;=5,32,IF(COUNTIF('Résultats des tournois'!$B69:'Résultats des tournois'!AI69,"&lt;&gt;")&lt;=15,24,16))</f>
        <v>32</v>
      </c>
      <c r="AJ69" s="15">
        <f>IF(COUNTIF('Résultats des tournois'!$B69:'Résultats des tournois'!AJ69,"&lt;&gt;")&lt;=5,32,IF(COUNTIF('Résultats des tournois'!$B69:'Résultats des tournois'!AJ69,"&lt;&gt;")&lt;=15,24,16))</f>
        <v>32</v>
      </c>
      <c r="AK69" s="15">
        <f>IF(COUNTIF('Résultats des tournois'!$B69:'Résultats des tournois'!AK69,"&lt;&gt;")&lt;=5,32,IF(COUNTIF('Résultats des tournois'!$B69:'Résultats des tournois'!AK69,"&lt;&gt;")&lt;=15,24,16))</f>
        <v>32</v>
      </c>
      <c r="AL69" s="15">
        <f>IF(COUNTIF('Résultats des tournois'!$B69:'Résultats des tournois'!AL69,"&lt;&gt;")&lt;=5,32,IF(COUNTIF('Résultats des tournois'!$B69:'Résultats des tournois'!AL69,"&lt;&gt;")&lt;=15,24,16))</f>
        <v>32</v>
      </c>
      <c r="AM69" s="15">
        <f>IF(COUNTIF('Résultats des tournois'!$B69:'Résultats des tournois'!AM69,"&lt;&gt;")&lt;=5,32,IF(COUNTIF('Résultats des tournois'!$B69:'Résultats des tournois'!AM69,"&lt;&gt;")&lt;=15,24,16))</f>
        <v>32</v>
      </c>
      <c r="AN69" s="15">
        <f>IF(COUNTIF('Résultats des tournois'!$B69:'Résultats des tournois'!AN69,"&lt;&gt;")&lt;=5,32,IF(COUNTIF('Résultats des tournois'!$B69:'Résultats des tournois'!AN69,"&lt;&gt;")&lt;=15,24,16))</f>
        <v>32</v>
      </c>
      <c r="AO69" s="15">
        <f>IF(COUNTIF('Résultats des tournois'!$B69:'Résultats des tournois'!AO69,"&lt;&gt;")&lt;=5,32,IF(COUNTIF('Résultats des tournois'!$B69:'Résultats des tournois'!AO69,"&lt;&gt;")&lt;=15,24,16))</f>
        <v>32</v>
      </c>
      <c r="AP69" s="15">
        <f>IF(COUNTIF('Résultats des tournois'!$B69:'Résultats des tournois'!AP69,"&lt;&gt;")&lt;=5,32,IF(COUNTIF('Résultats des tournois'!$B69:'Résultats des tournois'!AP69,"&lt;&gt;")&lt;=15,24,16))</f>
        <v>32</v>
      </c>
      <c r="AQ69" s="15">
        <f>IF(COUNTIF('Résultats des tournois'!$B69:'Résultats des tournois'!AQ69,"&lt;&gt;")&lt;=5,32,IF(COUNTIF('Résultats des tournois'!$B69:'Résultats des tournois'!AQ69,"&lt;&gt;")&lt;=15,24,16))</f>
        <v>32</v>
      </c>
      <c r="AR69" s="15">
        <f>IF(COUNTIF('Résultats des tournois'!$B69:'Résultats des tournois'!AR69,"&lt;&gt;")&lt;=5,32,IF(COUNTIF('Résultats des tournois'!$B69:'Résultats des tournois'!AR69,"&lt;&gt;")&lt;=15,24,16))</f>
        <v>32</v>
      </c>
      <c r="AS69" s="15">
        <f>IF(COUNTIF('Résultats des tournois'!$B69:'Résultats des tournois'!AS69,"&lt;&gt;")&lt;=5,32,IF(COUNTIF('Résultats des tournois'!$B69:'Résultats des tournois'!AS69,"&lt;&gt;")&lt;=15,24,16))</f>
        <v>32</v>
      </c>
      <c r="AT69" s="15">
        <f>IF(COUNTIF('Résultats des tournois'!$B69:'Résultats des tournois'!AT69,"&lt;&gt;")&lt;=5,32,IF(COUNTIF('Résultats des tournois'!$B69:'Résultats des tournois'!AT69,"&lt;&gt;")&lt;=15,24,16))</f>
        <v>32</v>
      </c>
      <c r="AU69" s="15">
        <f>IF(COUNTIF('Résultats des tournois'!$B69:'Résultats des tournois'!AU69,"&lt;&gt;")&lt;=5,32,IF(COUNTIF('Résultats des tournois'!$B69:'Résultats des tournois'!AU69,"&lt;&gt;")&lt;=15,24,16))</f>
        <v>32</v>
      </c>
      <c r="AV69" s="15">
        <f>IF(COUNTIF('Résultats des tournois'!$B69:'Résultats des tournois'!AV69,"&lt;&gt;")&lt;=5,32,IF(COUNTIF('Résultats des tournois'!$B69:'Résultats des tournois'!AV69,"&lt;&gt;")&lt;=15,24,16))</f>
        <v>32</v>
      </c>
      <c r="AW69" s="15">
        <f>IF(COUNTIF('Résultats des tournois'!$B69:'Résultats des tournois'!AW69,"&lt;&gt;")&lt;=5,32,IF(COUNTIF('Résultats des tournois'!$B69:'Résultats des tournois'!AW69,"&lt;&gt;")&lt;=15,24,16))</f>
        <v>32</v>
      </c>
      <c r="AX69" s="15">
        <f>IF(COUNTIF('Résultats des tournois'!$B69:'Résultats des tournois'!AX69,"&lt;&gt;")&lt;=5,32,IF(COUNTIF('Résultats des tournois'!$B69:'Résultats des tournois'!AX69,"&lt;&gt;")&lt;=15,24,16))</f>
        <v>32</v>
      </c>
    </row>
    <row r="70" ht="14.25" customHeight="1">
      <c r="A70" s="15" t="str">
        <f>IF('Résultats des tournois'!A70="","",'Résultats des tournois'!A70)</f>
        <v/>
      </c>
      <c r="B70" s="15">
        <f>IF(COUNTIF('Résultats des tournois'!B70,"&lt;&gt;")&lt;=5,32,IF(COUNTIF('Résultats des tournois'!B70,"&lt;&gt;")&lt;=15,24,16))</f>
        <v>32</v>
      </c>
      <c r="C70" s="15">
        <f>IF(COUNTIF('Résultats des tournois'!$B70:'Résultats des tournois'!C70,"&lt;&gt;")&lt;=5,32,IF(COUNTIF('Résultats des tournois'!$B70:'Résultats des tournois'!C70,"&lt;&gt;")&lt;=15,24,16))</f>
        <v>32</v>
      </c>
      <c r="D70" s="15">
        <f>IF(COUNTIF('Résultats des tournois'!$B70:'Résultats des tournois'!D70,"&lt;&gt;")&lt;=5,32,IF(COUNTIF('Résultats des tournois'!$B70:'Résultats des tournois'!D70,"&lt;&gt;")&lt;=15,24,16))</f>
        <v>32</v>
      </c>
      <c r="E70" s="15">
        <f>IF(COUNTIF('Résultats des tournois'!$B70:'Résultats des tournois'!E70,"&lt;&gt;")&lt;=5,32,IF(COUNTIF('Résultats des tournois'!$B70:'Résultats des tournois'!E70,"&lt;&gt;")&lt;=15,24,16))</f>
        <v>32</v>
      </c>
      <c r="F70" s="15">
        <f>IF(COUNTIF('Résultats des tournois'!$B70:'Résultats des tournois'!F70,"&lt;&gt;")&lt;=5,32,IF(COUNTIF('Résultats des tournois'!$B70:'Résultats des tournois'!F70,"&lt;&gt;")&lt;=15,24,16))</f>
        <v>32</v>
      </c>
      <c r="G70" s="15">
        <f>IF(COUNTIF('Résultats des tournois'!$B70:'Résultats des tournois'!G70,"&lt;&gt;")&lt;=5,32,IF(COUNTIF('Résultats des tournois'!$B70:'Résultats des tournois'!G70,"&lt;&gt;")&lt;=15,24,16))</f>
        <v>32</v>
      </c>
      <c r="H70" s="15">
        <f>IF(COUNTIF('Résultats des tournois'!$B70:'Résultats des tournois'!H70,"&lt;&gt;")&lt;=5,32,IF(COUNTIF('Résultats des tournois'!$B70:'Résultats des tournois'!H70,"&lt;&gt;")&lt;=15,24,16))</f>
        <v>32</v>
      </c>
      <c r="I70" s="15">
        <f>IF(COUNTIF('Résultats des tournois'!$B70:'Résultats des tournois'!I70,"&lt;&gt;")&lt;=5,32,IF(COUNTIF('Résultats des tournois'!$B70:'Résultats des tournois'!I70,"&lt;&gt;")&lt;=15,24,16))</f>
        <v>32</v>
      </c>
      <c r="J70" s="15">
        <f>IF(COUNTIF('Résultats des tournois'!$B70:'Résultats des tournois'!J70,"&lt;&gt;")&lt;=5,32,IF(COUNTIF('Résultats des tournois'!$B70:'Résultats des tournois'!J70,"&lt;&gt;")&lt;=15,24,16))</f>
        <v>32</v>
      </c>
      <c r="K70" s="15">
        <f>IF(COUNTIF('Résultats des tournois'!$B70:'Résultats des tournois'!K70,"&lt;&gt;")&lt;=5,32,IF(COUNTIF('Résultats des tournois'!$B70:'Résultats des tournois'!K70,"&lt;&gt;")&lt;=15,24,16))</f>
        <v>32</v>
      </c>
      <c r="L70" s="15">
        <f>IF(COUNTIF('Résultats des tournois'!$B70:'Résultats des tournois'!L70,"&lt;&gt;")&lt;=5,32,IF(COUNTIF('Résultats des tournois'!$B70:'Résultats des tournois'!L70,"&lt;&gt;")&lt;=15,24,16))</f>
        <v>32</v>
      </c>
      <c r="M70" s="15">
        <f>IF(COUNTIF('Résultats des tournois'!$B70:'Résultats des tournois'!M70,"&lt;&gt;")&lt;=5,32,IF(COUNTIF('Résultats des tournois'!$B70:'Résultats des tournois'!M70,"&lt;&gt;")&lt;=15,24,16))</f>
        <v>32</v>
      </c>
      <c r="N70" s="15">
        <f>IF(COUNTIF('Résultats des tournois'!$B70:'Résultats des tournois'!N70,"&lt;&gt;")&lt;=5,32,IF(COUNTIF('Résultats des tournois'!$B70:'Résultats des tournois'!N70,"&lt;&gt;")&lt;=15,24,16))</f>
        <v>32</v>
      </c>
      <c r="O70" s="15">
        <f>IF(COUNTIF('Résultats des tournois'!$B70:'Résultats des tournois'!O70,"&lt;&gt;")&lt;=5,32,IF(COUNTIF('Résultats des tournois'!$B70:'Résultats des tournois'!O70,"&lt;&gt;")&lt;=15,24,16))</f>
        <v>32</v>
      </c>
      <c r="P70" s="15">
        <f>IF(COUNTIF('Résultats des tournois'!$B70:'Résultats des tournois'!P70,"&lt;&gt;")&lt;=5,32,IF(COUNTIF('Résultats des tournois'!$B70:'Résultats des tournois'!P70,"&lt;&gt;")&lt;=15,24,16))</f>
        <v>32</v>
      </c>
      <c r="Q70" s="15">
        <f>IF(COUNTIF('Résultats des tournois'!$B70:'Résultats des tournois'!Q70,"&lt;&gt;")&lt;=5,32,IF(COUNTIF('Résultats des tournois'!$B70:'Résultats des tournois'!Q70,"&lt;&gt;")&lt;=15,24,16))</f>
        <v>32</v>
      </c>
      <c r="R70" s="15">
        <f>IF(COUNTIF('Résultats des tournois'!$B70:'Résultats des tournois'!R70,"&lt;&gt;")&lt;=5,32,IF(COUNTIF('Résultats des tournois'!$B70:'Résultats des tournois'!R70,"&lt;&gt;")&lt;=15,24,16))</f>
        <v>32</v>
      </c>
      <c r="S70" s="15">
        <f>IF(COUNTIF('Résultats des tournois'!$B70:'Résultats des tournois'!S70,"&lt;&gt;")&lt;=5,32,IF(COUNTIF('Résultats des tournois'!$B70:'Résultats des tournois'!S70,"&lt;&gt;")&lt;=15,24,16))</f>
        <v>32</v>
      </c>
      <c r="T70" s="15">
        <f>IF(COUNTIF('Résultats des tournois'!$B70:'Résultats des tournois'!T70,"&lt;&gt;")&lt;=5,32,IF(COUNTIF('Résultats des tournois'!$B70:'Résultats des tournois'!T70,"&lt;&gt;")&lt;=15,24,16))</f>
        <v>32</v>
      </c>
      <c r="U70" s="15">
        <f>IF(COUNTIF('Résultats des tournois'!$B70:'Résultats des tournois'!U70,"&lt;&gt;")&lt;=5,32,IF(COUNTIF('Résultats des tournois'!$B70:'Résultats des tournois'!U70,"&lt;&gt;")&lt;=15,24,16))</f>
        <v>32</v>
      </c>
      <c r="V70" s="15">
        <f>IF(COUNTIF('Résultats des tournois'!$B70:'Résultats des tournois'!V70,"&lt;&gt;")&lt;=5,32,IF(COUNTIF('Résultats des tournois'!$B70:'Résultats des tournois'!V70,"&lt;&gt;")&lt;=15,24,16))</f>
        <v>32</v>
      </c>
      <c r="W70" s="15">
        <f>IF(COUNTIF('Résultats des tournois'!$B70:'Résultats des tournois'!W70,"&lt;&gt;")&lt;=5,32,IF(COUNTIF('Résultats des tournois'!$B70:'Résultats des tournois'!W70,"&lt;&gt;")&lt;=15,24,16))</f>
        <v>32</v>
      </c>
      <c r="X70" s="15">
        <f>IF(COUNTIF('Résultats des tournois'!$B70:'Résultats des tournois'!X70,"&lt;&gt;")&lt;=5,32,IF(COUNTIF('Résultats des tournois'!$B70:'Résultats des tournois'!X70,"&lt;&gt;")&lt;=15,24,16))</f>
        <v>32</v>
      </c>
      <c r="Y70" s="15">
        <f>IF(COUNTIF('Résultats des tournois'!$B70:'Résultats des tournois'!Y70,"&lt;&gt;")&lt;=5,32,IF(COUNTIF('Résultats des tournois'!$B70:'Résultats des tournois'!Y70,"&lt;&gt;")&lt;=15,24,16))</f>
        <v>32</v>
      </c>
      <c r="Z70" s="15">
        <f>IF(COUNTIF('Résultats des tournois'!$B70:'Résultats des tournois'!Z70,"&lt;&gt;")&lt;=5,32,IF(COUNTIF('Résultats des tournois'!$B70:'Résultats des tournois'!Z70,"&lt;&gt;")&lt;=15,24,16))</f>
        <v>32</v>
      </c>
      <c r="AA70" s="15">
        <f>IF(COUNTIF('Résultats des tournois'!$B70:'Résultats des tournois'!AA70,"&lt;&gt;")&lt;=5,32,IF(COUNTIF('Résultats des tournois'!$B70:'Résultats des tournois'!AA70,"&lt;&gt;")&lt;=15,24,16))</f>
        <v>32</v>
      </c>
      <c r="AB70" s="15">
        <f>IF(COUNTIF('Résultats des tournois'!$B70:'Résultats des tournois'!AB70,"&lt;&gt;")&lt;=5,32,IF(COUNTIF('Résultats des tournois'!$B70:'Résultats des tournois'!AB70,"&lt;&gt;")&lt;=15,24,16))</f>
        <v>32</v>
      </c>
      <c r="AC70" s="15">
        <f>IF(COUNTIF('Résultats des tournois'!$B70:'Résultats des tournois'!AC70,"&lt;&gt;")&lt;=5,32,IF(COUNTIF('Résultats des tournois'!$B70:'Résultats des tournois'!AC70,"&lt;&gt;")&lt;=15,24,16))</f>
        <v>32</v>
      </c>
      <c r="AD70" s="15">
        <f>IF(COUNTIF('Résultats des tournois'!$B70:'Résultats des tournois'!AD70,"&lt;&gt;")&lt;=5,32,IF(COUNTIF('Résultats des tournois'!$B70:'Résultats des tournois'!AD70,"&lt;&gt;")&lt;=15,24,16))</f>
        <v>32</v>
      </c>
      <c r="AE70" s="15">
        <f>IF(COUNTIF('Résultats des tournois'!$B70:'Résultats des tournois'!AE70,"&lt;&gt;")&lt;=5,32,IF(COUNTIF('Résultats des tournois'!$B70:'Résultats des tournois'!AE70,"&lt;&gt;")&lt;=15,24,16))</f>
        <v>32</v>
      </c>
      <c r="AF70" s="15">
        <f>IF(COUNTIF('Résultats des tournois'!$B70:'Résultats des tournois'!AF70,"&lt;&gt;")&lt;=5,32,IF(COUNTIF('Résultats des tournois'!$B70:'Résultats des tournois'!AF70,"&lt;&gt;")&lt;=15,24,16))</f>
        <v>32</v>
      </c>
      <c r="AG70" s="15">
        <f>IF(COUNTIF('Résultats des tournois'!$B70:'Résultats des tournois'!AG70,"&lt;&gt;")&lt;=5,32,IF(COUNTIF('Résultats des tournois'!$B70:'Résultats des tournois'!AG70,"&lt;&gt;")&lt;=15,24,16))</f>
        <v>32</v>
      </c>
      <c r="AH70" s="15">
        <f>IF(COUNTIF('Résultats des tournois'!$B70:'Résultats des tournois'!AH70,"&lt;&gt;")&lt;=5,32,IF(COUNTIF('Résultats des tournois'!$B70:'Résultats des tournois'!AH70,"&lt;&gt;")&lt;=15,24,16))</f>
        <v>32</v>
      </c>
      <c r="AI70" s="15">
        <f>IF(COUNTIF('Résultats des tournois'!$B70:'Résultats des tournois'!AI70,"&lt;&gt;")&lt;=5,32,IF(COUNTIF('Résultats des tournois'!$B70:'Résultats des tournois'!AI70,"&lt;&gt;")&lt;=15,24,16))</f>
        <v>32</v>
      </c>
      <c r="AJ70" s="15">
        <f>IF(COUNTIF('Résultats des tournois'!$B70:'Résultats des tournois'!AJ70,"&lt;&gt;")&lt;=5,32,IF(COUNTIF('Résultats des tournois'!$B70:'Résultats des tournois'!AJ70,"&lt;&gt;")&lt;=15,24,16))</f>
        <v>32</v>
      </c>
      <c r="AK70" s="15">
        <f>IF(COUNTIF('Résultats des tournois'!$B70:'Résultats des tournois'!AK70,"&lt;&gt;")&lt;=5,32,IF(COUNTIF('Résultats des tournois'!$B70:'Résultats des tournois'!AK70,"&lt;&gt;")&lt;=15,24,16))</f>
        <v>32</v>
      </c>
      <c r="AL70" s="15">
        <f>IF(COUNTIF('Résultats des tournois'!$B70:'Résultats des tournois'!AL70,"&lt;&gt;")&lt;=5,32,IF(COUNTIF('Résultats des tournois'!$B70:'Résultats des tournois'!AL70,"&lt;&gt;")&lt;=15,24,16))</f>
        <v>32</v>
      </c>
      <c r="AM70" s="15">
        <f>IF(COUNTIF('Résultats des tournois'!$B70:'Résultats des tournois'!AM70,"&lt;&gt;")&lt;=5,32,IF(COUNTIF('Résultats des tournois'!$B70:'Résultats des tournois'!AM70,"&lt;&gt;")&lt;=15,24,16))</f>
        <v>32</v>
      </c>
      <c r="AN70" s="15">
        <f>IF(COUNTIF('Résultats des tournois'!$B70:'Résultats des tournois'!AN70,"&lt;&gt;")&lt;=5,32,IF(COUNTIF('Résultats des tournois'!$B70:'Résultats des tournois'!AN70,"&lt;&gt;")&lt;=15,24,16))</f>
        <v>32</v>
      </c>
      <c r="AO70" s="15">
        <f>IF(COUNTIF('Résultats des tournois'!$B70:'Résultats des tournois'!AO70,"&lt;&gt;")&lt;=5,32,IF(COUNTIF('Résultats des tournois'!$B70:'Résultats des tournois'!AO70,"&lt;&gt;")&lt;=15,24,16))</f>
        <v>32</v>
      </c>
      <c r="AP70" s="15">
        <f>IF(COUNTIF('Résultats des tournois'!$B70:'Résultats des tournois'!AP70,"&lt;&gt;")&lt;=5,32,IF(COUNTIF('Résultats des tournois'!$B70:'Résultats des tournois'!AP70,"&lt;&gt;")&lt;=15,24,16))</f>
        <v>32</v>
      </c>
      <c r="AQ70" s="15">
        <f>IF(COUNTIF('Résultats des tournois'!$B70:'Résultats des tournois'!AQ70,"&lt;&gt;")&lt;=5,32,IF(COUNTIF('Résultats des tournois'!$B70:'Résultats des tournois'!AQ70,"&lt;&gt;")&lt;=15,24,16))</f>
        <v>32</v>
      </c>
      <c r="AR70" s="15">
        <f>IF(COUNTIF('Résultats des tournois'!$B70:'Résultats des tournois'!AR70,"&lt;&gt;")&lt;=5,32,IF(COUNTIF('Résultats des tournois'!$B70:'Résultats des tournois'!AR70,"&lt;&gt;")&lt;=15,24,16))</f>
        <v>32</v>
      </c>
      <c r="AS70" s="15">
        <f>IF(COUNTIF('Résultats des tournois'!$B70:'Résultats des tournois'!AS70,"&lt;&gt;")&lt;=5,32,IF(COUNTIF('Résultats des tournois'!$B70:'Résultats des tournois'!AS70,"&lt;&gt;")&lt;=15,24,16))</f>
        <v>32</v>
      </c>
      <c r="AT70" s="15">
        <f>IF(COUNTIF('Résultats des tournois'!$B70:'Résultats des tournois'!AT70,"&lt;&gt;")&lt;=5,32,IF(COUNTIF('Résultats des tournois'!$B70:'Résultats des tournois'!AT70,"&lt;&gt;")&lt;=15,24,16))</f>
        <v>32</v>
      </c>
      <c r="AU70" s="15">
        <f>IF(COUNTIF('Résultats des tournois'!$B70:'Résultats des tournois'!AU70,"&lt;&gt;")&lt;=5,32,IF(COUNTIF('Résultats des tournois'!$B70:'Résultats des tournois'!AU70,"&lt;&gt;")&lt;=15,24,16))</f>
        <v>32</v>
      </c>
      <c r="AV70" s="15">
        <f>IF(COUNTIF('Résultats des tournois'!$B70:'Résultats des tournois'!AV70,"&lt;&gt;")&lt;=5,32,IF(COUNTIF('Résultats des tournois'!$B70:'Résultats des tournois'!AV70,"&lt;&gt;")&lt;=15,24,16))</f>
        <v>32</v>
      </c>
      <c r="AW70" s="15">
        <f>IF(COUNTIF('Résultats des tournois'!$B70:'Résultats des tournois'!AW70,"&lt;&gt;")&lt;=5,32,IF(COUNTIF('Résultats des tournois'!$B70:'Résultats des tournois'!AW70,"&lt;&gt;")&lt;=15,24,16))</f>
        <v>32</v>
      </c>
      <c r="AX70" s="15">
        <f>IF(COUNTIF('Résultats des tournois'!$B70:'Résultats des tournois'!AX70,"&lt;&gt;")&lt;=5,32,IF(COUNTIF('Résultats des tournois'!$B70:'Résultats des tournois'!AX70,"&lt;&gt;")&lt;=15,24,16))</f>
        <v>32</v>
      </c>
    </row>
    <row r="71" ht="14.25" customHeight="1">
      <c r="A71" s="15" t="str">
        <f>IF('Résultats des tournois'!A71="","",'Résultats des tournois'!A71)</f>
        <v/>
      </c>
      <c r="B71" s="15">
        <f>IF(COUNTIF('Résultats des tournois'!B71,"&lt;&gt;")&lt;=5,32,IF(COUNTIF('Résultats des tournois'!B71,"&lt;&gt;")&lt;=15,24,16))</f>
        <v>32</v>
      </c>
      <c r="C71" s="15">
        <f>IF(COUNTIF('Résultats des tournois'!$B71:'Résultats des tournois'!C71,"&lt;&gt;")&lt;=5,32,IF(COUNTIF('Résultats des tournois'!$B71:'Résultats des tournois'!C71,"&lt;&gt;")&lt;=15,24,16))</f>
        <v>32</v>
      </c>
      <c r="D71" s="15">
        <f>IF(COUNTIF('Résultats des tournois'!$B71:'Résultats des tournois'!D71,"&lt;&gt;")&lt;=5,32,IF(COUNTIF('Résultats des tournois'!$B71:'Résultats des tournois'!D71,"&lt;&gt;")&lt;=15,24,16))</f>
        <v>32</v>
      </c>
      <c r="E71" s="15">
        <f>IF(COUNTIF('Résultats des tournois'!$B71:'Résultats des tournois'!E71,"&lt;&gt;")&lt;=5,32,IF(COUNTIF('Résultats des tournois'!$B71:'Résultats des tournois'!E71,"&lt;&gt;")&lt;=15,24,16))</f>
        <v>32</v>
      </c>
      <c r="F71" s="15">
        <f>IF(COUNTIF('Résultats des tournois'!$B71:'Résultats des tournois'!F71,"&lt;&gt;")&lt;=5,32,IF(COUNTIF('Résultats des tournois'!$B71:'Résultats des tournois'!F71,"&lt;&gt;")&lt;=15,24,16))</f>
        <v>32</v>
      </c>
      <c r="G71" s="15">
        <f>IF(COUNTIF('Résultats des tournois'!$B71:'Résultats des tournois'!G71,"&lt;&gt;")&lt;=5,32,IF(COUNTIF('Résultats des tournois'!$B71:'Résultats des tournois'!G71,"&lt;&gt;")&lt;=15,24,16))</f>
        <v>32</v>
      </c>
      <c r="H71" s="15">
        <f>IF(COUNTIF('Résultats des tournois'!$B71:'Résultats des tournois'!H71,"&lt;&gt;")&lt;=5,32,IF(COUNTIF('Résultats des tournois'!$B71:'Résultats des tournois'!H71,"&lt;&gt;")&lt;=15,24,16))</f>
        <v>32</v>
      </c>
      <c r="I71" s="15">
        <f>IF(COUNTIF('Résultats des tournois'!$B71:'Résultats des tournois'!I71,"&lt;&gt;")&lt;=5,32,IF(COUNTIF('Résultats des tournois'!$B71:'Résultats des tournois'!I71,"&lt;&gt;")&lt;=15,24,16))</f>
        <v>32</v>
      </c>
      <c r="J71" s="15">
        <f>IF(COUNTIF('Résultats des tournois'!$B71:'Résultats des tournois'!J71,"&lt;&gt;")&lt;=5,32,IF(COUNTIF('Résultats des tournois'!$B71:'Résultats des tournois'!J71,"&lt;&gt;")&lt;=15,24,16))</f>
        <v>32</v>
      </c>
      <c r="K71" s="15">
        <f>IF(COUNTIF('Résultats des tournois'!$B71:'Résultats des tournois'!K71,"&lt;&gt;")&lt;=5,32,IF(COUNTIF('Résultats des tournois'!$B71:'Résultats des tournois'!K71,"&lt;&gt;")&lt;=15,24,16))</f>
        <v>32</v>
      </c>
      <c r="L71" s="15">
        <f>IF(COUNTIF('Résultats des tournois'!$B71:'Résultats des tournois'!L71,"&lt;&gt;")&lt;=5,32,IF(COUNTIF('Résultats des tournois'!$B71:'Résultats des tournois'!L71,"&lt;&gt;")&lt;=15,24,16))</f>
        <v>32</v>
      </c>
      <c r="M71" s="15">
        <f>IF(COUNTIF('Résultats des tournois'!$B71:'Résultats des tournois'!M71,"&lt;&gt;")&lt;=5,32,IF(COUNTIF('Résultats des tournois'!$B71:'Résultats des tournois'!M71,"&lt;&gt;")&lt;=15,24,16))</f>
        <v>32</v>
      </c>
      <c r="N71" s="15">
        <f>IF(COUNTIF('Résultats des tournois'!$B71:'Résultats des tournois'!N71,"&lt;&gt;")&lt;=5,32,IF(COUNTIF('Résultats des tournois'!$B71:'Résultats des tournois'!N71,"&lt;&gt;")&lt;=15,24,16))</f>
        <v>32</v>
      </c>
      <c r="O71" s="15">
        <f>IF(COUNTIF('Résultats des tournois'!$B71:'Résultats des tournois'!O71,"&lt;&gt;")&lt;=5,32,IF(COUNTIF('Résultats des tournois'!$B71:'Résultats des tournois'!O71,"&lt;&gt;")&lt;=15,24,16))</f>
        <v>32</v>
      </c>
      <c r="P71" s="15">
        <f>IF(COUNTIF('Résultats des tournois'!$B71:'Résultats des tournois'!P71,"&lt;&gt;")&lt;=5,32,IF(COUNTIF('Résultats des tournois'!$B71:'Résultats des tournois'!P71,"&lt;&gt;")&lt;=15,24,16))</f>
        <v>32</v>
      </c>
      <c r="Q71" s="15">
        <f>IF(COUNTIF('Résultats des tournois'!$B71:'Résultats des tournois'!Q71,"&lt;&gt;")&lt;=5,32,IF(COUNTIF('Résultats des tournois'!$B71:'Résultats des tournois'!Q71,"&lt;&gt;")&lt;=15,24,16))</f>
        <v>32</v>
      </c>
      <c r="R71" s="15">
        <f>IF(COUNTIF('Résultats des tournois'!$B71:'Résultats des tournois'!R71,"&lt;&gt;")&lt;=5,32,IF(COUNTIF('Résultats des tournois'!$B71:'Résultats des tournois'!R71,"&lt;&gt;")&lt;=15,24,16))</f>
        <v>32</v>
      </c>
      <c r="S71" s="15">
        <f>IF(COUNTIF('Résultats des tournois'!$B71:'Résultats des tournois'!S71,"&lt;&gt;")&lt;=5,32,IF(COUNTIF('Résultats des tournois'!$B71:'Résultats des tournois'!S71,"&lt;&gt;")&lt;=15,24,16))</f>
        <v>32</v>
      </c>
      <c r="T71" s="15">
        <f>IF(COUNTIF('Résultats des tournois'!$B71:'Résultats des tournois'!T71,"&lt;&gt;")&lt;=5,32,IF(COUNTIF('Résultats des tournois'!$B71:'Résultats des tournois'!T71,"&lt;&gt;")&lt;=15,24,16))</f>
        <v>32</v>
      </c>
      <c r="U71" s="15">
        <f>IF(COUNTIF('Résultats des tournois'!$B71:'Résultats des tournois'!U71,"&lt;&gt;")&lt;=5,32,IF(COUNTIF('Résultats des tournois'!$B71:'Résultats des tournois'!U71,"&lt;&gt;")&lt;=15,24,16))</f>
        <v>32</v>
      </c>
      <c r="V71" s="15">
        <f>IF(COUNTIF('Résultats des tournois'!$B71:'Résultats des tournois'!V71,"&lt;&gt;")&lt;=5,32,IF(COUNTIF('Résultats des tournois'!$B71:'Résultats des tournois'!V71,"&lt;&gt;")&lt;=15,24,16))</f>
        <v>32</v>
      </c>
      <c r="W71" s="15">
        <f>IF(COUNTIF('Résultats des tournois'!$B71:'Résultats des tournois'!W71,"&lt;&gt;")&lt;=5,32,IF(COUNTIF('Résultats des tournois'!$B71:'Résultats des tournois'!W71,"&lt;&gt;")&lt;=15,24,16))</f>
        <v>32</v>
      </c>
      <c r="X71" s="15">
        <f>IF(COUNTIF('Résultats des tournois'!$B71:'Résultats des tournois'!X71,"&lt;&gt;")&lt;=5,32,IF(COUNTIF('Résultats des tournois'!$B71:'Résultats des tournois'!X71,"&lt;&gt;")&lt;=15,24,16))</f>
        <v>32</v>
      </c>
      <c r="Y71" s="15">
        <f>IF(COUNTIF('Résultats des tournois'!$B71:'Résultats des tournois'!Y71,"&lt;&gt;")&lt;=5,32,IF(COUNTIF('Résultats des tournois'!$B71:'Résultats des tournois'!Y71,"&lt;&gt;")&lt;=15,24,16))</f>
        <v>32</v>
      </c>
      <c r="Z71" s="15">
        <f>IF(COUNTIF('Résultats des tournois'!$B71:'Résultats des tournois'!Z71,"&lt;&gt;")&lt;=5,32,IF(COUNTIF('Résultats des tournois'!$B71:'Résultats des tournois'!Z71,"&lt;&gt;")&lt;=15,24,16))</f>
        <v>32</v>
      </c>
      <c r="AA71" s="15">
        <f>IF(COUNTIF('Résultats des tournois'!$B71:'Résultats des tournois'!AA71,"&lt;&gt;")&lt;=5,32,IF(COUNTIF('Résultats des tournois'!$B71:'Résultats des tournois'!AA71,"&lt;&gt;")&lt;=15,24,16))</f>
        <v>32</v>
      </c>
      <c r="AB71" s="15">
        <f>IF(COUNTIF('Résultats des tournois'!$B71:'Résultats des tournois'!AB71,"&lt;&gt;")&lt;=5,32,IF(COUNTIF('Résultats des tournois'!$B71:'Résultats des tournois'!AB71,"&lt;&gt;")&lt;=15,24,16))</f>
        <v>32</v>
      </c>
      <c r="AC71" s="15">
        <f>IF(COUNTIF('Résultats des tournois'!$B71:'Résultats des tournois'!AC71,"&lt;&gt;")&lt;=5,32,IF(COUNTIF('Résultats des tournois'!$B71:'Résultats des tournois'!AC71,"&lt;&gt;")&lt;=15,24,16))</f>
        <v>32</v>
      </c>
      <c r="AD71" s="15">
        <f>IF(COUNTIF('Résultats des tournois'!$B71:'Résultats des tournois'!AD71,"&lt;&gt;")&lt;=5,32,IF(COUNTIF('Résultats des tournois'!$B71:'Résultats des tournois'!AD71,"&lt;&gt;")&lt;=15,24,16))</f>
        <v>32</v>
      </c>
      <c r="AE71" s="15">
        <f>IF(COUNTIF('Résultats des tournois'!$B71:'Résultats des tournois'!AE71,"&lt;&gt;")&lt;=5,32,IF(COUNTIF('Résultats des tournois'!$B71:'Résultats des tournois'!AE71,"&lt;&gt;")&lt;=15,24,16))</f>
        <v>32</v>
      </c>
      <c r="AF71" s="15">
        <f>IF(COUNTIF('Résultats des tournois'!$B71:'Résultats des tournois'!AF71,"&lt;&gt;")&lt;=5,32,IF(COUNTIF('Résultats des tournois'!$B71:'Résultats des tournois'!AF71,"&lt;&gt;")&lt;=15,24,16))</f>
        <v>32</v>
      </c>
      <c r="AG71" s="15">
        <f>IF(COUNTIF('Résultats des tournois'!$B71:'Résultats des tournois'!AG71,"&lt;&gt;")&lt;=5,32,IF(COUNTIF('Résultats des tournois'!$B71:'Résultats des tournois'!AG71,"&lt;&gt;")&lt;=15,24,16))</f>
        <v>32</v>
      </c>
      <c r="AH71" s="15">
        <f>IF(COUNTIF('Résultats des tournois'!$B71:'Résultats des tournois'!AH71,"&lt;&gt;")&lt;=5,32,IF(COUNTIF('Résultats des tournois'!$B71:'Résultats des tournois'!AH71,"&lt;&gt;")&lt;=15,24,16))</f>
        <v>32</v>
      </c>
      <c r="AI71" s="15">
        <f>IF(COUNTIF('Résultats des tournois'!$B71:'Résultats des tournois'!AI71,"&lt;&gt;")&lt;=5,32,IF(COUNTIF('Résultats des tournois'!$B71:'Résultats des tournois'!AI71,"&lt;&gt;")&lt;=15,24,16))</f>
        <v>32</v>
      </c>
      <c r="AJ71" s="15">
        <f>IF(COUNTIF('Résultats des tournois'!$B71:'Résultats des tournois'!AJ71,"&lt;&gt;")&lt;=5,32,IF(COUNTIF('Résultats des tournois'!$B71:'Résultats des tournois'!AJ71,"&lt;&gt;")&lt;=15,24,16))</f>
        <v>32</v>
      </c>
      <c r="AK71" s="15">
        <f>IF(COUNTIF('Résultats des tournois'!$B71:'Résultats des tournois'!AK71,"&lt;&gt;")&lt;=5,32,IF(COUNTIF('Résultats des tournois'!$B71:'Résultats des tournois'!AK71,"&lt;&gt;")&lt;=15,24,16))</f>
        <v>32</v>
      </c>
      <c r="AL71" s="15">
        <f>IF(COUNTIF('Résultats des tournois'!$B71:'Résultats des tournois'!AL71,"&lt;&gt;")&lt;=5,32,IF(COUNTIF('Résultats des tournois'!$B71:'Résultats des tournois'!AL71,"&lt;&gt;")&lt;=15,24,16))</f>
        <v>32</v>
      </c>
      <c r="AM71" s="15">
        <f>IF(COUNTIF('Résultats des tournois'!$B71:'Résultats des tournois'!AM71,"&lt;&gt;")&lt;=5,32,IF(COUNTIF('Résultats des tournois'!$B71:'Résultats des tournois'!AM71,"&lt;&gt;")&lt;=15,24,16))</f>
        <v>32</v>
      </c>
      <c r="AN71" s="15">
        <f>IF(COUNTIF('Résultats des tournois'!$B71:'Résultats des tournois'!AN71,"&lt;&gt;")&lt;=5,32,IF(COUNTIF('Résultats des tournois'!$B71:'Résultats des tournois'!AN71,"&lt;&gt;")&lt;=15,24,16))</f>
        <v>32</v>
      </c>
      <c r="AO71" s="15">
        <f>IF(COUNTIF('Résultats des tournois'!$B71:'Résultats des tournois'!AO71,"&lt;&gt;")&lt;=5,32,IF(COUNTIF('Résultats des tournois'!$B71:'Résultats des tournois'!AO71,"&lt;&gt;")&lt;=15,24,16))</f>
        <v>32</v>
      </c>
      <c r="AP71" s="15">
        <f>IF(COUNTIF('Résultats des tournois'!$B71:'Résultats des tournois'!AP71,"&lt;&gt;")&lt;=5,32,IF(COUNTIF('Résultats des tournois'!$B71:'Résultats des tournois'!AP71,"&lt;&gt;")&lt;=15,24,16))</f>
        <v>32</v>
      </c>
      <c r="AQ71" s="15">
        <f>IF(COUNTIF('Résultats des tournois'!$B71:'Résultats des tournois'!AQ71,"&lt;&gt;")&lt;=5,32,IF(COUNTIF('Résultats des tournois'!$B71:'Résultats des tournois'!AQ71,"&lt;&gt;")&lt;=15,24,16))</f>
        <v>32</v>
      </c>
      <c r="AR71" s="15">
        <f>IF(COUNTIF('Résultats des tournois'!$B71:'Résultats des tournois'!AR71,"&lt;&gt;")&lt;=5,32,IF(COUNTIF('Résultats des tournois'!$B71:'Résultats des tournois'!AR71,"&lt;&gt;")&lt;=15,24,16))</f>
        <v>32</v>
      </c>
      <c r="AS71" s="15">
        <f>IF(COUNTIF('Résultats des tournois'!$B71:'Résultats des tournois'!AS71,"&lt;&gt;")&lt;=5,32,IF(COUNTIF('Résultats des tournois'!$B71:'Résultats des tournois'!AS71,"&lt;&gt;")&lt;=15,24,16))</f>
        <v>32</v>
      </c>
      <c r="AT71" s="15">
        <f>IF(COUNTIF('Résultats des tournois'!$B71:'Résultats des tournois'!AT71,"&lt;&gt;")&lt;=5,32,IF(COUNTIF('Résultats des tournois'!$B71:'Résultats des tournois'!AT71,"&lt;&gt;")&lt;=15,24,16))</f>
        <v>32</v>
      </c>
      <c r="AU71" s="15">
        <f>IF(COUNTIF('Résultats des tournois'!$B71:'Résultats des tournois'!AU71,"&lt;&gt;")&lt;=5,32,IF(COUNTIF('Résultats des tournois'!$B71:'Résultats des tournois'!AU71,"&lt;&gt;")&lt;=15,24,16))</f>
        <v>32</v>
      </c>
      <c r="AV71" s="15">
        <f>IF(COUNTIF('Résultats des tournois'!$B71:'Résultats des tournois'!AV71,"&lt;&gt;")&lt;=5,32,IF(COUNTIF('Résultats des tournois'!$B71:'Résultats des tournois'!AV71,"&lt;&gt;")&lt;=15,24,16))</f>
        <v>32</v>
      </c>
      <c r="AW71" s="15">
        <f>IF(COUNTIF('Résultats des tournois'!$B71:'Résultats des tournois'!AW71,"&lt;&gt;")&lt;=5,32,IF(COUNTIF('Résultats des tournois'!$B71:'Résultats des tournois'!AW71,"&lt;&gt;")&lt;=15,24,16))</f>
        <v>32</v>
      </c>
      <c r="AX71" s="15">
        <f>IF(COUNTIF('Résultats des tournois'!$B71:'Résultats des tournois'!AX71,"&lt;&gt;")&lt;=5,32,IF(COUNTIF('Résultats des tournois'!$B71:'Résultats des tournois'!AX71,"&lt;&gt;")&lt;=15,24,16))</f>
        <v>32</v>
      </c>
    </row>
    <row r="72" ht="14.25" customHeight="1">
      <c r="A72" s="15" t="str">
        <f>IF('Résultats des tournois'!A72="","",'Résultats des tournois'!A72)</f>
        <v/>
      </c>
      <c r="B72" s="15">
        <f>IF(COUNTIF('Résultats des tournois'!B72,"&lt;&gt;")&lt;=5,32,IF(COUNTIF('Résultats des tournois'!B72,"&lt;&gt;")&lt;=15,24,16))</f>
        <v>32</v>
      </c>
      <c r="C72" s="15">
        <f>IF(COUNTIF('Résultats des tournois'!$B72:'Résultats des tournois'!C72,"&lt;&gt;")&lt;=5,32,IF(COUNTIF('Résultats des tournois'!$B72:'Résultats des tournois'!C72,"&lt;&gt;")&lt;=15,24,16))</f>
        <v>32</v>
      </c>
      <c r="D72" s="15">
        <f>IF(COUNTIF('Résultats des tournois'!$B72:'Résultats des tournois'!D72,"&lt;&gt;")&lt;=5,32,IF(COUNTIF('Résultats des tournois'!$B72:'Résultats des tournois'!D72,"&lt;&gt;")&lt;=15,24,16))</f>
        <v>32</v>
      </c>
      <c r="E72" s="15">
        <f>IF(COUNTIF('Résultats des tournois'!$B72:'Résultats des tournois'!E72,"&lt;&gt;")&lt;=5,32,IF(COUNTIF('Résultats des tournois'!$B72:'Résultats des tournois'!E72,"&lt;&gt;")&lt;=15,24,16))</f>
        <v>32</v>
      </c>
      <c r="F72" s="15">
        <f>IF(COUNTIF('Résultats des tournois'!$B72:'Résultats des tournois'!F72,"&lt;&gt;")&lt;=5,32,IF(COUNTIF('Résultats des tournois'!$B72:'Résultats des tournois'!F72,"&lt;&gt;")&lt;=15,24,16))</f>
        <v>32</v>
      </c>
      <c r="G72" s="15">
        <f>IF(COUNTIF('Résultats des tournois'!$B72:'Résultats des tournois'!G72,"&lt;&gt;")&lt;=5,32,IF(COUNTIF('Résultats des tournois'!$B72:'Résultats des tournois'!G72,"&lt;&gt;")&lt;=15,24,16))</f>
        <v>32</v>
      </c>
      <c r="H72" s="15">
        <f>IF(COUNTIF('Résultats des tournois'!$B72:'Résultats des tournois'!H72,"&lt;&gt;")&lt;=5,32,IF(COUNTIF('Résultats des tournois'!$B72:'Résultats des tournois'!H72,"&lt;&gt;")&lt;=15,24,16))</f>
        <v>32</v>
      </c>
      <c r="I72" s="15">
        <f>IF(COUNTIF('Résultats des tournois'!$B72:'Résultats des tournois'!I72,"&lt;&gt;")&lt;=5,32,IF(COUNTIF('Résultats des tournois'!$B72:'Résultats des tournois'!I72,"&lt;&gt;")&lt;=15,24,16))</f>
        <v>32</v>
      </c>
      <c r="J72" s="15">
        <f>IF(COUNTIF('Résultats des tournois'!$B72:'Résultats des tournois'!J72,"&lt;&gt;")&lt;=5,32,IF(COUNTIF('Résultats des tournois'!$B72:'Résultats des tournois'!J72,"&lt;&gt;")&lt;=15,24,16))</f>
        <v>32</v>
      </c>
      <c r="K72" s="15">
        <f>IF(COUNTIF('Résultats des tournois'!$B72:'Résultats des tournois'!K72,"&lt;&gt;")&lt;=5,32,IF(COUNTIF('Résultats des tournois'!$B72:'Résultats des tournois'!K72,"&lt;&gt;")&lt;=15,24,16))</f>
        <v>32</v>
      </c>
      <c r="L72" s="15">
        <f>IF(COUNTIF('Résultats des tournois'!$B72:'Résultats des tournois'!L72,"&lt;&gt;")&lt;=5,32,IF(COUNTIF('Résultats des tournois'!$B72:'Résultats des tournois'!L72,"&lt;&gt;")&lt;=15,24,16))</f>
        <v>32</v>
      </c>
      <c r="M72" s="15">
        <f>IF(COUNTIF('Résultats des tournois'!$B72:'Résultats des tournois'!M72,"&lt;&gt;")&lt;=5,32,IF(COUNTIF('Résultats des tournois'!$B72:'Résultats des tournois'!M72,"&lt;&gt;")&lt;=15,24,16))</f>
        <v>32</v>
      </c>
      <c r="N72" s="15">
        <f>IF(COUNTIF('Résultats des tournois'!$B72:'Résultats des tournois'!N72,"&lt;&gt;")&lt;=5,32,IF(COUNTIF('Résultats des tournois'!$B72:'Résultats des tournois'!N72,"&lt;&gt;")&lt;=15,24,16))</f>
        <v>32</v>
      </c>
      <c r="O72" s="15">
        <f>IF(COUNTIF('Résultats des tournois'!$B72:'Résultats des tournois'!O72,"&lt;&gt;")&lt;=5,32,IF(COUNTIF('Résultats des tournois'!$B72:'Résultats des tournois'!O72,"&lt;&gt;")&lt;=15,24,16))</f>
        <v>32</v>
      </c>
      <c r="P72" s="15">
        <f>IF(COUNTIF('Résultats des tournois'!$B72:'Résultats des tournois'!P72,"&lt;&gt;")&lt;=5,32,IF(COUNTIF('Résultats des tournois'!$B72:'Résultats des tournois'!P72,"&lt;&gt;")&lt;=15,24,16))</f>
        <v>32</v>
      </c>
      <c r="Q72" s="15">
        <f>IF(COUNTIF('Résultats des tournois'!$B72:'Résultats des tournois'!Q72,"&lt;&gt;")&lt;=5,32,IF(COUNTIF('Résultats des tournois'!$B72:'Résultats des tournois'!Q72,"&lt;&gt;")&lt;=15,24,16))</f>
        <v>32</v>
      </c>
      <c r="R72" s="15">
        <f>IF(COUNTIF('Résultats des tournois'!$B72:'Résultats des tournois'!R72,"&lt;&gt;")&lt;=5,32,IF(COUNTIF('Résultats des tournois'!$B72:'Résultats des tournois'!R72,"&lt;&gt;")&lt;=15,24,16))</f>
        <v>32</v>
      </c>
      <c r="S72" s="15">
        <f>IF(COUNTIF('Résultats des tournois'!$B72:'Résultats des tournois'!S72,"&lt;&gt;")&lt;=5,32,IF(COUNTIF('Résultats des tournois'!$B72:'Résultats des tournois'!S72,"&lt;&gt;")&lt;=15,24,16))</f>
        <v>32</v>
      </c>
      <c r="T72" s="15">
        <f>IF(COUNTIF('Résultats des tournois'!$B72:'Résultats des tournois'!T72,"&lt;&gt;")&lt;=5,32,IF(COUNTIF('Résultats des tournois'!$B72:'Résultats des tournois'!T72,"&lt;&gt;")&lt;=15,24,16))</f>
        <v>32</v>
      </c>
      <c r="U72" s="15">
        <f>IF(COUNTIF('Résultats des tournois'!$B72:'Résultats des tournois'!U72,"&lt;&gt;")&lt;=5,32,IF(COUNTIF('Résultats des tournois'!$B72:'Résultats des tournois'!U72,"&lt;&gt;")&lt;=15,24,16))</f>
        <v>32</v>
      </c>
      <c r="V72" s="15">
        <f>IF(COUNTIF('Résultats des tournois'!$B72:'Résultats des tournois'!V72,"&lt;&gt;")&lt;=5,32,IF(COUNTIF('Résultats des tournois'!$B72:'Résultats des tournois'!V72,"&lt;&gt;")&lt;=15,24,16))</f>
        <v>32</v>
      </c>
      <c r="W72" s="15">
        <f>IF(COUNTIF('Résultats des tournois'!$B72:'Résultats des tournois'!W72,"&lt;&gt;")&lt;=5,32,IF(COUNTIF('Résultats des tournois'!$B72:'Résultats des tournois'!W72,"&lt;&gt;")&lt;=15,24,16))</f>
        <v>32</v>
      </c>
      <c r="X72" s="15">
        <f>IF(COUNTIF('Résultats des tournois'!$B72:'Résultats des tournois'!X72,"&lt;&gt;")&lt;=5,32,IF(COUNTIF('Résultats des tournois'!$B72:'Résultats des tournois'!X72,"&lt;&gt;")&lt;=15,24,16))</f>
        <v>32</v>
      </c>
      <c r="Y72" s="15">
        <f>IF(COUNTIF('Résultats des tournois'!$B72:'Résultats des tournois'!Y72,"&lt;&gt;")&lt;=5,32,IF(COUNTIF('Résultats des tournois'!$B72:'Résultats des tournois'!Y72,"&lt;&gt;")&lt;=15,24,16))</f>
        <v>32</v>
      </c>
      <c r="Z72" s="15">
        <f>IF(COUNTIF('Résultats des tournois'!$B72:'Résultats des tournois'!Z72,"&lt;&gt;")&lt;=5,32,IF(COUNTIF('Résultats des tournois'!$B72:'Résultats des tournois'!Z72,"&lt;&gt;")&lt;=15,24,16))</f>
        <v>32</v>
      </c>
      <c r="AA72" s="15">
        <f>IF(COUNTIF('Résultats des tournois'!$B72:'Résultats des tournois'!AA72,"&lt;&gt;")&lt;=5,32,IF(COUNTIF('Résultats des tournois'!$B72:'Résultats des tournois'!AA72,"&lt;&gt;")&lt;=15,24,16))</f>
        <v>32</v>
      </c>
      <c r="AB72" s="15">
        <f>IF(COUNTIF('Résultats des tournois'!$B72:'Résultats des tournois'!AB72,"&lt;&gt;")&lt;=5,32,IF(COUNTIF('Résultats des tournois'!$B72:'Résultats des tournois'!AB72,"&lt;&gt;")&lt;=15,24,16))</f>
        <v>32</v>
      </c>
      <c r="AC72" s="15">
        <f>IF(COUNTIF('Résultats des tournois'!$B72:'Résultats des tournois'!AC72,"&lt;&gt;")&lt;=5,32,IF(COUNTIF('Résultats des tournois'!$B72:'Résultats des tournois'!AC72,"&lt;&gt;")&lt;=15,24,16))</f>
        <v>32</v>
      </c>
      <c r="AD72" s="15">
        <f>IF(COUNTIF('Résultats des tournois'!$B72:'Résultats des tournois'!AD72,"&lt;&gt;")&lt;=5,32,IF(COUNTIF('Résultats des tournois'!$B72:'Résultats des tournois'!AD72,"&lt;&gt;")&lt;=15,24,16))</f>
        <v>32</v>
      </c>
      <c r="AE72" s="15">
        <f>IF(COUNTIF('Résultats des tournois'!$B72:'Résultats des tournois'!AE72,"&lt;&gt;")&lt;=5,32,IF(COUNTIF('Résultats des tournois'!$B72:'Résultats des tournois'!AE72,"&lt;&gt;")&lt;=15,24,16))</f>
        <v>32</v>
      </c>
      <c r="AF72" s="15">
        <f>IF(COUNTIF('Résultats des tournois'!$B72:'Résultats des tournois'!AF72,"&lt;&gt;")&lt;=5,32,IF(COUNTIF('Résultats des tournois'!$B72:'Résultats des tournois'!AF72,"&lt;&gt;")&lt;=15,24,16))</f>
        <v>32</v>
      </c>
      <c r="AG72" s="15">
        <f>IF(COUNTIF('Résultats des tournois'!$B72:'Résultats des tournois'!AG72,"&lt;&gt;")&lt;=5,32,IF(COUNTIF('Résultats des tournois'!$B72:'Résultats des tournois'!AG72,"&lt;&gt;")&lt;=15,24,16))</f>
        <v>32</v>
      </c>
      <c r="AH72" s="15">
        <f>IF(COUNTIF('Résultats des tournois'!$B72:'Résultats des tournois'!AH72,"&lt;&gt;")&lt;=5,32,IF(COUNTIF('Résultats des tournois'!$B72:'Résultats des tournois'!AH72,"&lt;&gt;")&lt;=15,24,16))</f>
        <v>32</v>
      </c>
      <c r="AI72" s="15">
        <f>IF(COUNTIF('Résultats des tournois'!$B72:'Résultats des tournois'!AI72,"&lt;&gt;")&lt;=5,32,IF(COUNTIF('Résultats des tournois'!$B72:'Résultats des tournois'!AI72,"&lt;&gt;")&lt;=15,24,16))</f>
        <v>32</v>
      </c>
      <c r="AJ72" s="15">
        <f>IF(COUNTIF('Résultats des tournois'!$B72:'Résultats des tournois'!AJ72,"&lt;&gt;")&lt;=5,32,IF(COUNTIF('Résultats des tournois'!$B72:'Résultats des tournois'!AJ72,"&lt;&gt;")&lt;=15,24,16))</f>
        <v>32</v>
      </c>
      <c r="AK72" s="15">
        <f>IF(COUNTIF('Résultats des tournois'!$B72:'Résultats des tournois'!AK72,"&lt;&gt;")&lt;=5,32,IF(COUNTIF('Résultats des tournois'!$B72:'Résultats des tournois'!AK72,"&lt;&gt;")&lt;=15,24,16))</f>
        <v>32</v>
      </c>
      <c r="AL72" s="15">
        <f>IF(COUNTIF('Résultats des tournois'!$B72:'Résultats des tournois'!AL72,"&lt;&gt;")&lt;=5,32,IF(COUNTIF('Résultats des tournois'!$B72:'Résultats des tournois'!AL72,"&lt;&gt;")&lt;=15,24,16))</f>
        <v>32</v>
      </c>
      <c r="AM72" s="15">
        <f>IF(COUNTIF('Résultats des tournois'!$B72:'Résultats des tournois'!AM72,"&lt;&gt;")&lt;=5,32,IF(COUNTIF('Résultats des tournois'!$B72:'Résultats des tournois'!AM72,"&lt;&gt;")&lt;=15,24,16))</f>
        <v>32</v>
      </c>
      <c r="AN72" s="15">
        <f>IF(COUNTIF('Résultats des tournois'!$B72:'Résultats des tournois'!AN72,"&lt;&gt;")&lt;=5,32,IF(COUNTIF('Résultats des tournois'!$B72:'Résultats des tournois'!AN72,"&lt;&gt;")&lt;=15,24,16))</f>
        <v>32</v>
      </c>
      <c r="AO72" s="15">
        <f>IF(COUNTIF('Résultats des tournois'!$B72:'Résultats des tournois'!AO72,"&lt;&gt;")&lt;=5,32,IF(COUNTIF('Résultats des tournois'!$B72:'Résultats des tournois'!AO72,"&lt;&gt;")&lt;=15,24,16))</f>
        <v>32</v>
      </c>
      <c r="AP72" s="15">
        <f>IF(COUNTIF('Résultats des tournois'!$B72:'Résultats des tournois'!AP72,"&lt;&gt;")&lt;=5,32,IF(COUNTIF('Résultats des tournois'!$B72:'Résultats des tournois'!AP72,"&lt;&gt;")&lt;=15,24,16))</f>
        <v>32</v>
      </c>
      <c r="AQ72" s="15">
        <f>IF(COUNTIF('Résultats des tournois'!$B72:'Résultats des tournois'!AQ72,"&lt;&gt;")&lt;=5,32,IF(COUNTIF('Résultats des tournois'!$B72:'Résultats des tournois'!AQ72,"&lt;&gt;")&lt;=15,24,16))</f>
        <v>32</v>
      </c>
      <c r="AR72" s="15">
        <f>IF(COUNTIF('Résultats des tournois'!$B72:'Résultats des tournois'!AR72,"&lt;&gt;")&lt;=5,32,IF(COUNTIF('Résultats des tournois'!$B72:'Résultats des tournois'!AR72,"&lt;&gt;")&lt;=15,24,16))</f>
        <v>32</v>
      </c>
      <c r="AS72" s="15">
        <f>IF(COUNTIF('Résultats des tournois'!$B72:'Résultats des tournois'!AS72,"&lt;&gt;")&lt;=5,32,IF(COUNTIF('Résultats des tournois'!$B72:'Résultats des tournois'!AS72,"&lt;&gt;")&lt;=15,24,16))</f>
        <v>32</v>
      </c>
      <c r="AT72" s="15">
        <f>IF(COUNTIF('Résultats des tournois'!$B72:'Résultats des tournois'!AT72,"&lt;&gt;")&lt;=5,32,IF(COUNTIF('Résultats des tournois'!$B72:'Résultats des tournois'!AT72,"&lt;&gt;")&lt;=15,24,16))</f>
        <v>32</v>
      </c>
      <c r="AU72" s="15">
        <f>IF(COUNTIF('Résultats des tournois'!$B72:'Résultats des tournois'!AU72,"&lt;&gt;")&lt;=5,32,IF(COUNTIF('Résultats des tournois'!$B72:'Résultats des tournois'!AU72,"&lt;&gt;")&lt;=15,24,16))</f>
        <v>32</v>
      </c>
      <c r="AV72" s="15">
        <f>IF(COUNTIF('Résultats des tournois'!$B72:'Résultats des tournois'!AV72,"&lt;&gt;")&lt;=5,32,IF(COUNTIF('Résultats des tournois'!$B72:'Résultats des tournois'!AV72,"&lt;&gt;")&lt;=15,24,16))</f>
        <v>32</v>
      </c>
      <c r="AW72" s="15">
        <f>IF(COUNTIF('Résultats des tournois'!$B72:'Résultats des tournois'!AW72,"&lt;&gt;")&lt;=5,32,IF(COUNTIF('Résultats des tournois'!$B72:'Résultats des tournois'!AW72,"&lt;&gt;")&lt;=15,24,16))</f>
        <v>32</v>
      </c>
      <c r="AX72" s="15">
        <f>IF(COUNTIF('Résultats des tournois'!$B72:'Résultats des tournois'!AX72,"&lt;&gt;")&lt;=5,32,IF(COUNTIF('Résultats des tournois'!$B72:'Résultats des tournois'!AX72,"&lt;&gt;")&lt;=15,24,16))</f>
        <v>32</v>
      </c>
    </row>
    <row r="73" ht="14.25" customHeight="1">
      <c r="A73" s="15" t="str">
        <f>IF('Résultats des tournois'!A73="","",'Résultats des tournois'!A73)</f>
        <v/>
      </c>
      <c r="B73" s="15">
        <f>IF(COUNTIF('Résultats des tournois'!B73,"&lt;&gt;")&lt;=5,32,IF(COUNTIF('Résultats des tournois'!B73,"&lt;&gt;")&lt;=15,24,16))</f>
        <v>32</v>
      </c>
      <c r="C73" s="15">
        <f>IF(COUNTIF('Résultats des tournois'!$B73:'Résultats des tournois'!C73,"&lt;&gt;")&lt;=5,32,IF(COUNTIF('Résultats des tournois'!$B73:'Résultats des tournois'!C73,"&lt;&gt;")&lt;=15,24,16))</f>
        <v>32</v>
      </c>
      <c r="D73" s="15">
        <f>IF(COUNTIF('Résultats des tournois'!$B73:'Résultats des tournois'!D73,"&lt;&gt;")&lt;=5,32,IF(COUNTIF('Résultats des tournois'!$B73:'Résultats des tournois'!D73,"&lt;&gt;")&lt;=15,24,16))</f>
        <v>32</v>
      </c>
      <c r="E73" s="15">
        <f>IF(COUNTIF('Résultats des tournois'!$B73:'Résultats des tournois'!E73,"&lt;&gt;")&lt;=5,32,IF(COUNTIF('Résultats des tournois'!$B73:'Résultats des tournois'!E73,"&lt;&gt;")&lt;=15,24,16))</f>
        <v>32</v>
      </c>
      <c r="F73" s="15">
        <f>IF(COUNTIF('Résultats des tournois'!$B73:'Résultats des tournois'!F73,"&lt;&gt;")&lt;=5,32,IF(COUNTIF('Résultats des tournois'!$B73:'Résultats des tournois'!F73,"&lt;&gt;")&lt;=15,24,16))</f>
        <v>32</v>
      </c>
      <c r="G73" s="15">
        <f>IF(COUNTIF('Résultats des tournois'!$B73:'Résultats des tournois'!G73,"&lt;&gt;")&lt;=5,32,IF(COUNTIF('Résultats des tournois'!$B73:'Résultats des tournois'!G73,"&lt;&gt;")&lt;=15,24,16))</f>
        <v>32</v>
      </c>
      <c r="H73" s="15">
        <f>IF(COUNTIF('Résultats des tournois'!$B73:'Résultats des tournois'!H73,"&lt;&gt;")&lt;=5,32,IF(COUNTIF('Résultats des tournois'!$B73:'Résultats des tournois'!H73,"&lt;&gt;")&lt;=15,24,16))</f>
        <v>32</v>
      </c>
      <c r="I73" s="15">
        <f>IF(COUNTIF('Résultats des tournois'!$B73:'Résultats des tournois'!I73,"&lt;&gt;")&lt;=5,32,IF(COUNTIF('Résultats des tournois'!$B73:'Résultats des tournois'!I73,"&lt;&gt;")&lt;=15,24,16))</f>
        <v>32</v>
      </c>
      <c r="J73" s="15">
        <f>IF(COUNTIF('Résultats des tournois'!$B73:'Résultats des tournois'!J73,"&lt;&gt;")&lt;=5,32,IF(COUNTIF('Résultats des tournois'!$B73:'Résultats des tournois'!J73,"&lt;&gt;")&lt;=15,24,16))</f>
        <v>32</v>
      </c>
      <c r="K73" s="15">
        <f>IF(COUNTIF('Résultats des tournois'!$B73:'Résultats des tournois'!K73,"&lt;&gt;")&lt;=5,32,IF(COUNTIF('Résultats des tournois'!$B73:'Résultats des tournois'!K73,"&lt;&gt;")&lt;=15,24,16))</f>
        <v>32</v>
      </c>
      <c r="L73" s="15">
        <f>IF(COUNTIF('Résultats des tournois'!$B73:'Résultats des tournois'!L73,"&lt;&gt;")&lt;=5,32,IF(COUNTIF('Résultats des tournois'!$B73:'Résultats des tournois'!L73,"&lt;&gt;")&lt;=15,24,16))</f>
        <v>32</v>
      </c>
      <c r="M73" s="15">
        <f>IF(COUNTIF('Résultats des tournois'!$B73:'Résultats des tournois'!M73,"&lt;&gt;")&lt;=5,32,IF(COUNTIF('Résultats des tournois'!$B73:'Résultats des tournois'!M73,"&lt;&gt;")&lt;=15,24,16))</f>
        <v>32</v>
      </c>
      <c r="N73" s="15">
        <f>IF(COUNTIF('Résultats des tournois'!$B73:'Résultats des tournois'!N73,"&lt;&gt;")&lt;=5,32,IF(COUNTIF('Résultats des tournois'!$B73:'Résultats des tournois'!N73,"&lt;&gt;")&lt;=15,24,16))</f>
        <v>32</v>
      </c>
      <c r="O73" s="15">
        <f>IF(COUNTIF('Résultats des tournois'!$B73:'Résultats des tournois'!O73,"&lt;&gt;")&lt;=5,32,IF(COUNTIF('Résultats des tournois'!$B73:'Résultats des tournois'!O73,"&lt;&gt;")&lt;=15,24,16))</f>
        <v>32</v>
      </c>
      <c r="P73" s="15">
        <f>IF(COUNTIF('Résultats des tournois'!$B73:'Résultats des tournois'!P73,"&lt;&gt;")&lt;=5,32,IF(COUNTIF('Résultats des tournois'!$B73:'Résultats des tournois'!P73,"&lt;&gt;")&lt;=15,24,16))</f>
        <v>32</v>
      </c>
      <c r="Q73" s="15">
        <f>IF(COUNTIF('Résultats des tournois'!$B73:'Résultats des tournois'!Q73,"&lt;&gt;")&lt;=5,32,IF(COUNTIF('Résultats des tournois'!$B73:'Résultats des tournois'!Q73,"&lt;&gt;")&lt;=15,24,16))</f>
        <v>32</v>
      </c>
      <c r="R73" s="15">
        <f>IF(COUNTIF('Résultats des tournois'!$B73:'Résultats des tournois'!R73,"&lt;&gt;")&lt;=5,32,IF(COUNTIF('Résultats des tournois'!$B73:'Résultats des tournois'!R73,"&lt;&gt;")&lt;=15,24,16))</f>
        <v>32</v>
      </c>
      <c r="S73" s="15">
        <f>IF(COUNTIF('Résultats des tournois'!$B73:'Résultats des tournois'!S73,"&lt;&gt;")&lt;=5,32,IF(COUNTIF('Résultats des tournois'!$B73:'Résultats des tournois'!S73,"&lt;&gt;")&lt;=15,24,16))</f>
        <v>32</v>
      </c>
      <c r="T73" s="15">
        <f>IF(COUNTIF('Résultats des tournois'!$B73:'Résultats des tournois'!T73,"&lt;&gt;")&lt;=5,32,IF(COUNTIF('Résultats des tournois'!$B73:'Résultats des tournois'!T73,"&lt;&gt;")&lt;=15,24,16))</f>
        <v>32</v>
      </c>
      <c r="U73" s="15">
        <f>IF(COUNTIF('Résultats des tournois'!$B73:'Résultats des tournois'!U73,"&lt;&gt;")&lt;=5,32,IF(COUNTIF('Résultats des tournois'!$B73:'Résultats des tournois'!U73,"&lt;&gt;")&lt;=15,24,16))</f>
        <v>32</v>
      </c>
      <c r="V73" s="15">
        <f>IF(COUNTIF('Résultats des tournois'!$B73:'Résultats des tournois'!V73,"&lt;&gt;")&lt;=5,32,IF(COUNTIF('Résultats des tournois'!$B73:'Résultats des tournois'!V73,"&lt;&gt;")&lt;=15,24,16))</f>
        <v>32</v>
      </c>
      <c r="W73" s="15">
        <f>IF(COUNTIF('Résultats des tournois'!$B73:'Résultats des tournois'!W73,"&lt;&gt;")&lt;=5,32,IF(COUNTIF('Résultats des tournois'!$B73:'Résultats des tournois'!W73,"&lt;&gt;")&lt;=15,24,16))</f>
        <v>32</v>
      </c>
      <c r="X73" s="15">
        <f>IF(COUNTIF('Résultats des tournois'!$B73:'Résultats des tournois'!X73,"&lt;&gt;")&lt;=5,32,IF(COUNTIF('Résultats des tournois'!$B73:'Résultats des tournois'!X73,"&lt;&gt;")&lt;=15,24,16))</f>
        <v>32</v>
      </c>
      <c r="Y73" s="15">
        <f>IF(COUNTIF('Résultats des tournois'!$B73:'Résultats des tournois'!Y73,"&lt;&gt;")&lt;=5,32,IF(COUNTIF('Résultats des tournois'!$B73:'Résultats des tournois'!Y73,"&lt;&gt;")&lt;=15,24,16))</f>
        <v>32</v>
      </c>
      <c r="Z73" s="15">
        <f>IF(COUNTIF('Résultats des tournois'!$B73:'Résultats des tournois'!Z73,"&lt;&gt;")&lt;=5,32,IF(COUNTIF('Résultats des tournois'!$B73:'Résultats des tournois'!Z73,"&lt;&gt;")&lt;=15,24,16))</f>
        <v>32</v>
      </c>
      <c r="AA73" s="15">
        <f>IF(COUNTIF('Résultats des tournois'!$B73:'Résultats des tournois'!AA73,"&lt;&gt;")&lt;=5,32,IF(COUNTIF('Résultats des tournois'!$B73:'Résultats des tournois'!AA73,"&lt;&gt;")&lt;=15,24,16))</f>
        <v>32</v>
      </c>
      <c r="AB73" s="15">
        <f>IF(COUNTIF('Résultats des tournois'!$B73:'Résultats des tournois'!AB73,"&lt;&gt;")&lt;=5,32,IF(COUNTIF('Résultats des tournois'!$B73:'Résultats des tournois'!AB73,"&lt;&gt;")&lt;=15,24,16))</f>
        <v>32</v>
      </c>
      <c r="AC73" s="15">
        <f>IF(COUNTIF('Résultats des tournois'!$B73:'Résultats des tournois'!AC73,"&lt;&gt;")&lt;=5,32,IF(COUNTIF('Résultats des tournois'!$B73:'Résultats des tournois'!AC73,"&lt;&gt;")&lt;=15,24,16))</f>
        <v>32</v>
      </c>
      <c r="AD73" s="15">
        <f>IF(COUNTIF('Résultats des tournois'!$B73:'Résultats des tournois'!AD73,"&lt;&gt;")&lt;=5,32,IF(COUNTIF('Résultats des tournois'!$B73:'Résultats des tournois'!AD73,"&lt;&gt;")&lt;=15,24,16))</f>
        <v>32</v>
      </c>
      <c r="AE73" s="15">
        <f>IF(COUNTIF('Résultats des tournois'!$B73:'Résultats des tournois'!AE73,"&lt;&gt;")&lt;=5,32,IF(COUNTIF('Résultats des tournois'!$B73:'Résultats des tournois'!AE73,"&lt;&gt;")&lt;=15,24,16))</f>
        <v>32</v>
      </c>
      <c r="AF73" s="15">
        <f>IF(COUNTIF('Résultats des tournois'!$B73:'Résultats des tournois'!AF73,"&lt;&gt;")&lt;=5,32,IF(COUNTIF('Résultats des tournois'!$B73:'Résultats des tournois'!AF73,"&lt;&gt;")&lt;=15,24,16))</f>
        <v>32</v>
      </c>
      <c r="AG73" s="15">
        <f>IF(COUNTIF('Résultats des tournois'!$B73:'Résultats des tournois'!AG73,"&lt;&gt;")&lt;=5,32,IF(COUNTIF('Résultats des tournois'!$B73:'Résultats des tournois'!AG73,"&lt;&gt;")&lt;=15,24,16))</f>
        <v>32</v>
      </c>
      <c r="AH73" s="15">
        <f>IF(COUNTIF('Résultats des tournois'!$B73:'Résultats des tournois'!AH73,"&lt;&gt;")&lt;=5,32,IF(COUNTIF('Résultats des tournois'!$B73:'Résultats des tournois'!AH73,"&lt;&gt;")&lt;=15,24,16))</f>
        <v>32</v>
      </c>
      <c r="AI73" s="15">
        <f>IF(COUNTIF('Résultats des tournois'!$B73:'Résultats des tournois'!AI73,"&lt;&gt;")&lt;=5,32,IF(COUNTIF('Résultats des tournois'!$B73:'Résultats des tournois'!AI73,"&lt;&gt;")&lt;=15,24,16))</f>
        <v>32</v>
      </c>
      <c r="AJ73" s="15">
        <f>IF(COUNTIF('Résultats des tournois'!$B73:'Résultats des tournois'!AJ73,"&lt;&gt;")&lt;=5,32,IF(COUNTIF('Résultats des tournois'!$B73:'Résultats des tournois'!AJ73,"&lt;&gt;")&lt;=15,24,16))</f>
        <v>32</v>
      </c>
      <c r="AK73" s="15">
        <f>IF(COUNTIF('Résultats des tournois'!$B73:'Résultats des tournois'!AK73,"&lt;&gt;")&lt;=5,32,IF(COUNTIF('Résultats des tournois'!$B73:'Résultats des tournois'!AK73,"&lt;&gt;")&lt;=15,24,16))</f>
        <v>32</v>
      </c>
      <c r="AL73" s="15">
        <f>IF(COUNTIF('Résultats des tournois'!$B73:'Résultats des tournois'!AL73,"&lt;&gt;")&lt;=5,32,IF(COUNTIF('Résultats des tournois'!$B73:'Résultats des tournois'!AL73,"&lt;&gt;")&lt;=15,24,16))</f>
        <v>32</v>
      </c>
      <c r="AM73" s="15">
        <f>IF(COUNTIF('Résultats des tournois'!$B73:'Résultats des tournois'!AM73,"&lt;&gt;")&lt;=5,32,IF(COUNTIF('Résultats des tournois'!$B73:'Résultats des tournois'!AM73,"&lt;&gt;")&lt;=15,24,16))</f>
        <v>32</v>
      </c>
      <c r="AN73" s="15">
        <f>IF(COUNTIF('Résultats des tournois'!$B73:'Résultats des tournois'!AN73,"&lt;&gt;")&lt;=5,32,IF(COUNTIF('Résultats des tournois'!$B73:'Résultats des tournois'!AN73,"&lt;&gt;")&lt;=15,24,16))</f>
        <v>32</v>
      </c>
      <c r="AO73" s="15">
        <f>IF(COUNTIF('Résultats des tournois'!$B73:'Résultats des tournois'!AO73,"&lt;&gt;")&lt;=5,32,IF(COUNTIF('Résultats des tournois'!$B73:'Résultats des tournois'!AO73,"&lt;&gt;")&lt;=15,24,16))</f>
        <v>32</v>
      </c>
      <c r="AP73" s="15">
        <f>IF(COUNTIF('Résultats des tournois'!$B73:'Résultats des tournois'!AP73,"&lt;&gt;")&lt;=5,32,IF(COUNTIF('Résultats des tournois'!$B73:'Résultats des tournois'!AP73,"&lt;&gt;")&lt;=15,24,16))</f>
        <v>32</v>
      </c>
      <c r="AQ73" s="15">
        <f>IF(COUNTIF('Résultats des tournois'!$B73:'Résultats des tournois'!AQ73,"&lt;&gt;")&lt;=5,32,IF(COUNTIF('Résultats des tournois'!$B73:'Résultats des tournois'!AQ73,"&lt;&gt;")&lt;=15,24,16))</f>
        <v>32</v>
      </c>
      <c r="AR73" s="15">
        <f>IF(COUNTIF('Résultats des tournois'!$B73:'Résultats des tournois'!AR73,"&lt;&gt;")&lt;=5,32,IF(COUNTIF('Résultats des tournois'!$B73:'Résultats des tournois'!AR73,"&lt;&gt;")&lt;=15,24,16))</f>
        <v>32</v>
      </c>
      <c r="AS73" s="15">
        <f>IF(COUNTIF('Résultats des tournois'!$B73:'Résultats des tournois'!AS73,"&lt;&gt;")&lt;=5,32,IF(COUNTIF('Résultats des tournois'!$B73:'Résultats des tournois'!AS73,"&lt;&gt;")&lt;=15,24,16))</f>
        <v>32</v>
      </c>
      <c r="AT73" s="15">
        <f>IF(COUNTIF('Résultats des tournois'!$B73:'Résultats des tournois'!AT73,"&lt;&gt;")&lt;=5,32,IF(COUNTIF('Résultats des tournois'!$B73:'Résultats des tournois'!AT73,"&lt;&gt;")&lt;=15,24,16))</f>
        <v>32</v>
      </c>
      <c r="AU73" s="15">
        <f>IF(COUNTIF('Résultats des tournois'!$B73:'Résultats des tournois'!AU73,"&lt;&gt;")&lt;=5,32,IF(COUNTIF('Résultats des tournois'!$B73:'Résultats des tournois'!AU73,"&lt;&gt;")&lt;=15,24,16))</f>
        <v>32</v>
      </c>
      <c r="AV73" s="15">
        <f>IF(COUNTIF('Résultats des tournois'!$B73:'Résultats des tournois'!AV73,"&lt;&gt;")&lt;=5,32,IF(COUNTIF('Résultats des tournois'!$B73:'Résultats des tournois'!AV73,"&lt;&gt;")&lt;=15,24,16))</f>
        <v>32</v>
      </c>
      <c r="AW73" s="15">
        <f>IF(COUNTIF('Résultats des tournois'!$B73:'Résultats des tournois'!AW73,"&lt;&gt;")&lt;=5,32,IF(COUNTIF('Résultats des tournois'!$B73:'Résultats des tournois'!AW73,"&lt;&gt;")&lt;=15,24,16))</f>
        <v>32</v>
      </c>
      <c r="AX73" s="15">
        <f>IF(COUNTIF('Résultats des tournois'!$B73:'Résultats des tournois'!AX73,"&lt;&gt;")&lt;=5,32,IF(COUNTIF('Résultats des tournois'!$B73:'Résultats des tournois'!AX73,"&lt;&gt;")&lt;=15,24,16))</f>
        <v>32</v>
      </c>
    </row>
    <row r="74" ht="14.25" customHeight="1">
      <c r="A74" s="15" t="str">
        <f>IF('Résultats des tournois'!A74="","",'Résultats des tournois'!A74)</f>
        <v/>
      </c>
      <c r="B74" s="15">
        <f>IF(COUNTIF('Résultats des tournois'!B74,"&lt;&gt;")&lt;=5,32,IF(COUNTIF('Résultats des tournois'!B74,"&lt;&gt;")&lt;=15,24,16))</f>
        <v>32</v>
      </c>
      <c r="C74" s="15">
        <f>IF(COUNTIF('Résultats des tournois'!$B74:'Résultats des tournois'!C74,"&lt;&gt;")&lt;=5,32,IF(COUNTIF('Résultats des tournois'!$B74:'Résultats des tournois'!C74,"&lt;&gt;")&lt;=15,24,16))</f>
        <v>32</v>
      </c>
      <c r="D74" s="15">
        <f>IF(COUNTIF('Résultats des tournois'!$B74:'Résultats des tournois'!D74,"&lt;&gt;")&lt;=5,32,IF(COUNTIF('Résultats des tournois'!$B74:'Résultats des tournois'!D74,"&lt;&gt;")&lt;=15,24,16))</f>
        <v>32</v>
      </c>
      <c r="E74" s="15">
        <f>IF(COUNTIF('Résultats des tournois'!$B74:'Résultats des tournois'!E74,"&lt;&gt;")&lt;=5,32,IF(COUNTIF('Résultats des tournois'!$B74:'Résultats des tournois'!E74,"&lt;&gt;")&lt;=15,24,16))</f>
        <v>32</v>
      </c>
      <c r="F74" s="15">
        <f>IF(COUNTIF('Résultats des tournois'!$B74:'Résultats des tournois'!F74,"&lt;&gt;")&lt;=5,32,IF(COUNTIF('Résultats des tournois'!$B74:'Résultats des tournois'!F74,"&lt;&gt;")&lt;=15,24,16))</f>
        <v>32</v>
      </c>
      <c r="G74" s="15">
        <f>IF(COUNTIF('Résultats des tournois'!$B74:'Résultats des tournois'!G74,"&lt;&gt;")&lt;=5,32,IF(COUNTIF('Résultats des tournois'!$B74:'Résultats des tournois'!G74,"&lt;&gt;")&lt;=15,24,16))</f>
        <v>32</v>
      </c>
      <c r="H74" s="15">
        <f>IF(COUNTIF('Résultats des tournois'!$B74:'Résultats des tournois'!H74,"&lt;&gt;")&lt;=5,32,IF(COUNTIF('Résultats des tournois'!$B74:'Résultats des tournois'!H74,"&lt;&gt;")&lt;=15,24,16))</f>
        <v>32</v>
      </c>
      <c r="I74" s="15">
        <f>IF(COUNTIF('Résultats des tournois'!$B74:'Résultats des tournois'!I74,"&lt;&gt;")&lt;=5,32,IF(COUNTIF('Résultats des tournois'!$B74:'Résultats des tournois'!I74,"&lt;&gt;")&lt;=15,24,16))</f>
        <v>32</v>
      </c>
      <c r="J74" s="15">
        <f>IF(COUNTIF('Résultats des tournois'!$B74:'Résultats des tournois'!J74,"&lt;&gt;")&lt;=5,32,IF(COUNTIF('Résultats des tournois'!$B74:'Résultats des tournois'!J74,"&lt;&gt;")&lt;=15,24,16))</f>
        <v>32</v>
      </c>
      <c r="K74" s="15">
        <f>IF(COUNTIF('Résultats des tournois'!$B74:'Résultats des tournois'!K74,"&lt;&gt;")&lt;=5,32,IF(COUNTIF('Résultats des tournois'!$B74:'Résultats des tournois'!K74,"&lt;&gt;")&lt;=15,24,16))</f>
        <v>32</v>
      </c>
      <c r="L74" s="15">
        <f>IF(COUNTIF('Résultats des tournois'!$B74:'Résultats des tournois'!L74,"&lt;&gt;")&lt;=5,32,IF(COUNTIF('Résultats des tournois'!$B74:'Résultats des tournois'!L74,"&lt;&gt;")&lt;=15,24,16))</f>
        <v>32</v>
      </c>
      <c r="M74" s="15">
        <f>IF(COUNTIF('Résultats des tournois'!$B74:'Résultats des tournois'!M74,"&lt;&gt;")&lt;=5,32,IF(COUNTIF('Résultats des tournois'!$B74:'Résultats des tournois'!M74,"&lt;&gt;")&lt;=15,24,16))</f>
        <v>32</v>
      </c>
      <c r="N74" s="15">
        <f>IF(COUNTIF('Résultats des tournois'!$B74:'Résultats des tournois'!N74,"&lt;&gt;")&lt;=5,32,IF(COUNTIF('Résultats des tournois'!$B74:'Résultats des tournois'!N74,"&lt;&gt;")&lt;=15,24,16))</f>
        <v>32</v>
      </c>
      <c r="O74" s="15">
        <f>IF(COUNTIF('Résultats des tournois'!$B74:'Résultats des tournois'!O74,"&lt;&gt;")&lt;=5,32,IF(COUNTIF('Résultats des tournois'!$B74:'Résultats des tournois'!O74,"&lt;&gt;")&lt;=15,24,16))</f>
        <v>32</v>
      </c>
      <c r="P74" s="15">
        <f>IF(COUNTIF('Résultats des tournois'!$B74:'Résultats des tournois'!P74,"&lt;&gt;")&lt;=5,32,IF(COUNTIF('Résultats des tournois'!$B74:'Résultats des tournois'!P74,"&lt;&gt;")&lt;=15,24,16))</f>
        <v>32</v>
      </c>
      <c r="Q74" s="15">
        <f>IF(COUNTIF('Résultats des tournois'!$B74:'Résultats des tournois'!Q74,"&lt;&gt;")&lt;=5,32,IF(COUNTIF('Résultats des tournois'!$B74:'Résultats des tournois'!Q74,"&lt;&gt;")&lt;=15,24,16))</f>
        <v>32</v>
      </c>
      <c r="R74" s="15">
        <f>IF(COUNTIF('Résultats des tournois'!$B74:'Résultats des tournois'!R74,"&lt;&gt;")&lt;=5,32,IF(COUNTIF('Résultats des tournois'!$B74:'Résultats des tournois'!R74,"&lt;&gt;")&lt;=15,24,16))</f>
        <v>32</v>
      </c>
      <c r="S74" s="15">
        <f>IF(COUNTIF('Résultats des tournois'!$B74:'Résultats des tournois'!S74,"&lt;&gt;")&lt;=5,32,IF(COUNTIF('Résultats des tournois'!$B74:'Résultats des tournois'!S74,"&lt;&gt;")&lt;=15,24,16))</f>
        <v>32</v>
      </c>
      <c r="T74" s="15">
        <f>IF(COUNTIF('Résultats des tournois'!$B74:'Résultats des tournois'!T74,"&lt;&gt;")&lt;=5,32,IF(COUNTIF('Résultats des tournois'!$B74:'Résultats des tournois'!T74,"&lt;&gt;")&lt;=15,24,16))</f>
        <v>32</v>
      </c>
      <c r="U74" s="15">
        <f>IF(COUNTIF('Résultats des tournois'!$B74:'Résultats des tournois'!U74,"&lt;&gt;")&lt;=5,32,IF(COUNTIF('Résultats des tournois'!$B74:'Résultats des tournois'!U74,"&lt;&gt;")&lt;=15,24,16))</f>
        <v>32</v>
      </c>
      <c r="V74" s="15">
        <f>IF(COUNTIF('Résultats des tournois'!$B74:'Résultats des tournois'!V74,"&lt;&gt;")&lt;=5,32,IF(COUNTIF('Résultats des tournois'!$B74:'Résultats des tournois'!V74,"&lt;&gt;")&lt;=15,24,16))</f>
        <v>32</v>
      </c>
      <c r="W74" s="15">
        <f>IF(COUNTIF('Résultats des tournois'!$B74:'Résultats des tournois'!W74,"&lt;&gt;")&lt;=5,32,IF(COUNTIF('Résultats des tournois'!$B74:'Résultats des tournois'!W74,"&lt;&gt;")&lt;=15,24,16))</f>
        <v>32</v>
      </c>
      <c r="X74" s="15">
        <f>IF(COUNTIF('Résultats des tournois'!$B74:'Résultats des tournois'!X74,"&lt;&gt;")&lt;=5,32,IF(COUNTIF('Résultats des tournois'!$B74:'Résultats des tournois'!X74,"&lt;&gt;")&lt;=15,24,16))</f>
        <v>32</v>
      </c>
      <c r="Y74" s="15">
        <f>IF(COUNTIF('Résultats des tournois'!$B74:'Résultats des tournois'!Y74,"&lt;&gt;")&lt;=5,32,IF(COUNTIF('Résultats des tournois'!$B74:'Résultats des tournois'!Y74,"&lt;&gt;")&lt;=15,24,16))</f>
        <v>32</v>
      </c>
      <c r="Z74" s="15">
        <f>IF(COUNTIF('Résultats des tournois'!$B74:'Résultats des tournois'!Z74,"&lt;&gt;")&lt;=5,32,IF(COUNTIF('Résultats des tournois'!$B74:'Résultats des tournois'!Z74,"&lt;&gt;")&lt;=15,24,16))</f>
        <v>32</v>
      </c>
      <c r="AA74" s="15">
        <f>IF(COUNTIF('Résultats des tournois'!$B74:'Résultats des tournois'!AA74,"&lt;&gt;")&lt;=5,32,IF(COUNTIF('Résultats des tournois'!$B74:'Résultats des tournois'!AA74,"&lt;&gt;")&lt;=15,24,16))</f>
        <v>32</v>
      </c>
      <c r="AB74" s="15">
        <f>IF(COUNTIF('Résultats des tournois'!$B74:'Résultats des tournois'!AB74,"&lt;&gt;")&lt;=5,32,IF(COUNTIF('Résultats des tournois'!$B74:'Résultats des tournois'!AB74,"&lt;&gt;")&lt;=15,24,16))</f>
        <v>32</v>
      </c>
      <c r="AC74" s="15">
        <f>IF(COUNTIF('Résultats des tournois'!$B74:'Résultats des tournois'!AC74,"&lt;&gt;")&lt;=5,32,IF(COUNTIF('Résultats des tournois'!$B74:'Résultats des tournois'!AC74,"&lt;&gt;")&lt;=15,24,16))</f>
        <v>32</v>
      </c>
      <c r="AD74" s="15">
        <f>IF(COUNTIF('Résultats des tournois'!$B74:'Résultats des tournois'!AD74,"&lt;&gt;")&lt;=5,32,IF(COUNTIF('Résultats des tournois'!$B74:'Résultats des tournois'!AD74,"&lt;&gt;")&lt;=15,24,16))</f>
        <v>32</v>
      </c>
      <c r="AE74" s="15">
        <f>IF(COUNTIF('Résultats des tournois'!$B74:'Résultats des tournois'!AE74,"&lt;&gt;")&lt;=5,32,IF(COUNTIF('Résultats des tournois'!$B74:'Résultats des tournois'!AE74,"&lt;&gt;")&lt;=15,24,16))</f>
        <v>32</v>
      </c>
      <c r="AF74" s="15">
        <f>IF(COUNTIF('Résultats des tournois'!$B74:'Résultats des tournois'!AF74,"&lt;&gt;")&lt;=5,32,IF(COUNTIF('Résultats des tournois'!$B74:'Résultats des tournois'!AF74,"&lt;&gt;")&lt;=15,24,16))</f>
        <v>32</v>
      </c>
      <c r="AG74" s="15">
        <f>IF(COUNTIF('Résultats des tournois'!$B74:'Résultats des tournois'!AG74,"&lt;&gt;")&lt;=5,32,IF(COUNTIF('Résultats des tournois'!$B74:'Résultats des tournois'!AG74,"&lt;&gt;")&lt;=15,24,16))</f>
        <v>32</v>
      </c>
      <c r="AH74" s="15">
        <f>IF(COUNTIF('Résultats des tournois'!$B74:'Résultats des tournois'!AH74,"&lt;&gt;")&lt;=5,32,IF(COUNTIF('Résultats des tournois'!$B74:'Résultats des tournois'!AH74,"&lt;&gt;")&lt;=15,24,16))</f>
        <v>32</v>
      </c>
      <c r="AI74" s="15">
        <f>IF(COUNTIF('Résultats des tournois'!$B74:'Résultats des tournois'!AI74,"&lt;&gt;")&lt;=5,32,IF(COUNTIF('Résultats des tournois'!$B74:'Résultats des tournois'!AI74,"&lt;&gt;")&lt;=15,24,16))</f>
        <v>32</v>
      </c>
      <c r="AJ74" s="15">
        <f>IF(COUNTIF('Résultats des tournois'!$B74:'Résultats des tournois'!AJ74,"&lt;&gt;")&lt;=5,32,IF(COUNTIF('Résultats des tournois'!$B74:'Résultats des tournois'!AJ74,"&lt;&gt;")&lt;=15,24,16))</f>
        <v>32</v>
      </c>
      <c r="AK74" s="15">
        <f>IF(COUNTIF('Résultats des tournois'!$B74:'Résultats des tournois'!AK74,"&lt;&gt;")&lt;=5,32,IF(COUNTIF('Résultats des tournois'!$B74:'Résultats des tournois'!AK74,"&lt;&gt;")&lt;=15,24,16))</f>
        <v>32</v>
      </c>
      <c r="AL74" s="15">
        <f>IF(COUNTIF('Résultats des tournois'!$B74:'Résultats des tournois'!AL74,"&lt;&gt;")&lt;=5,32,IF(COUNTIF('Résultats des tournois'!$B74:'Résultats des tournois'!AL74,"&lt;&gt;")&lt;=15,24,16))</f>
        <v>32</v>
      </c>
      <c r="AM74" s="15">
        <f>IF(COUNTIF('Résultats des tournois'!$B74:'Résultats des tournois'!AM74,"&lt;&gt;")&lt;=5,32,IF(COUNTIF('Résultats des tournois'!$B74:'Résultats des tournois'!AM74,"&lt;&gt;")&lt;=15,24,16))</f>
        <v>32</v>
      </c>
      <c r="AN74" s="15">
        <f>IF(COUNTIF('Résultats des tournois'!$B74:'Résultats des tournois'!AN74,"&lt;&gt;")&lt;=5,32,IF(COUNTIF('Résultats des tournois'!$B74:'Résultats des tournois'!AN74,"&lt;&gt;")&lt;=15,24,16))</f>
        <v>32</v>
      </c>
      <c r="AO74" s="15">
        <f>IF(COUNTIF('Résultats des tournois'!$B74:'Résultats des tournois'!AO74,"&lt;&gt;")&lt;=5,32,IF(COUNTIF('Résultats des tournois'!$B74:'Résultats des tournois'!AO74,"&lt;&gt;")&lt;=15,24,16))</f>
        <v>32</v>
      </c>
      <c r="AP74" s="15">
        <f>IF(COUNTIF('Résultats des tournois'!$B74:'Résultats des tournois'!AP74,"&lt;&gt;")&lt;=5,32,IF(COUNTIF('Résultats des tournois'!$B74:'Résultats des tournois'!AP74,"&lt;&gt;")&lt;=15,24,16))</f>
        <v>32</v>
      </c>
      <c r="AQ74" s="15">
        <f>IF(COUNTIF('Résultats des tournois'!$B74:'Résultats des tournois'!AQ74,"&lt;&gt;")&lt;=5,32,IF(COUNTIF('Résultats des tournois'!$B74:'Résultats des tournois'!AQ74,"&lt;&gt;")&lt;=15,24,16))</f>
        <v>32</v>
      </c>
      <c r="AR74" s="15">
        <f>IF(COUNTIF('Résultats des tournois'!$B74:'Résultats des tournois'!AR74,"&lt;&gt;")&lt;=5,32,IF(COUNTIF('Résultats des tournois'!$B74:'Résultats des tournois'!AR74,"&lt;&gt;")&lt;=15,24,16))</f>
        <v>32</v>
      </c>
      <c r="AS74" s="15">
        <f>IF(COUNTIF('Résultats des tournois'!$B74:'Résultats des tournois'!AS74,"&lt;&gt;")&lt;=5,32,IF(COUNTIF('Résultats des tournois'!$B74:'Résultats des tournois'!AS74,"&lt;&gt;")&lt;=15,24,16))</f>
        <v>32</v>
      </c>
      <c r="AT74" s="15">
        <f>IF(COUNTIF('Résultats des tournois'!$B74:'Résultats des tournois'!AT74,"&lt;&gt;")&lt;=5,32,IF(COUNTIF('Résultats des tournois'!$B74:'Résultats des tournois'!AT74,"&lt;&gt;")&lt;=15,24,16))</f>
        <v>32</v>
      </c>
      <c r="AU74" s="15">
        <f>IF(COUNTIF('Résultats des tournois'!$B74:'Résultats des tournois'!AU74,"&lt;&gt;")&lt;=5,32,IF(COUNTIF('Résultats des tournois'!$B74:'Résultats des tournois'!AU74,"&lt;&gt;")&lt;=15,24,16))</f>
        <v>32</v>
      </c>
      <c r="AV74" s="15">
        <f>IF(COUNTIF('Résultats des tournois'!$B74:'Résultats des tournois'!AV74,"&lt;&gt;")&lt;=5,32,IF(COUNTIF('Résultats des tournois'!$B74:'Résultats des tournois'!AV74,"&lt;&gt;")&lt;=15,24,16))</f>
        <v>32</v>
      </c>
      <c r="AW74" s="15">
        <f>IF(COUNTIF('Résultats des tournois'!$B74:'Résultats des tournois'!AW74,"&lt;&gt;")&lt;=5,32,IF(COUNTIF('Résultats des tournois'!$B74:'Résultats des tournois'!AW74,"&lt;&gt;")&lt;=15,24,16))</f>
        <v>32</v>
      </c>
      <c r="AX74" s="15">
        <f>IF(COUNTIF('Résultats des tournois'!$B74:'Résultats des tournois'!AX74,"&lt;&gt;")&lt;=5,32,IF(COUNTIF('Résultats des tournois'!$B74:'Résultats des tournois'!AX74,"&lt;&gt;")&lt;=15,24,16))</f>
        <v>32</v>
      </c>
    </row>
    <row r="75" ht="14.25" customHeight="1">
      <c r="A75" s="15" t="str">
        <f>IF('Résultats des tournois'!A75="","",'Résultats des tournois'!A75)</f>
        <v/>
      </c>
      <c r="B75" s="15">
        <f>IF(COUNTIF('Résultats des tournois'!B75,"&lt;&gt;")&lt;=5,32,IF(COUNTIF('Résultats des tournois'!B75,"&lt;&gt;")&lt;=15,24,16))</f>
        <v>32</v>
      </c>
      <c r="C75" s="15">
        <f>IF(COUNTIF('Résultats des tournois'!$B75:'Résultats des tournois'!C75,"&lt;&gt;")&lt;=5,32,IF(COUNTIF('Résultats des tournois'!$B75:'Résultats des tournois'!C75,"&lt;&gt;")&lt;=15,24,16))</f>
        <v>32</v>
      </c>
      <c r="D75" s="15">
        <f>IF(COUNTIF('Résultats des tournois'!$B75:'Résultats des tournois'!D75,"&lt;&gt;")&lt;=5,32,IF(COUNTIF('Résultats des tournois'!$B75:'Résultats des tournois'!D75,"&lt;&gt;")&lt;=15,24,16))</f>
        <v>32</v>
      </c>
      <c r="E75" s="15">
        <f>IF(COUNTIF('Résultats des tournois'!$B75:'Résultats des tournois'!E75,"&lt;&gt;")&lt;=5,32,IF(COUNTIF('Résultats des tournois'!$B75:'Résultats des tournois'!E75,"&lt;&gt;")&lt;=15,24,16))</f>
        <v>32</v>
      </c>
      <c r="F75" s="15">
        <f>IF(COUNTIF('Résultats des tournois'!$B75:'Résultats des tournois'!F75,"&lt;&gt;")&lt;=5,32,IF(COUNTIF('Résultats des tournois'!$B75:'Résultats des tournois'!F75,"&lt;&gt;")&lt;=15,24,16))</f>
        <v>32</v>
      </c>
      <c r="G75" s="15">
        <f>IF(COUNTIF('Résultats des tournois'!$B75:'Résultats des tournois'!G75,"&lt;&gt;")&lt;=5,32,IF(COUNTIF('Résultats des tournois'!$B75:'Résultats des tournois'!G75,"&lt;&gt;")&lt;=15,24,16))</f>
        <v>32</v>
      </c>
      <c r="H75" s="15">
        <f>IF(COUNTIF('Résultats des tournois'!$B75:'Résultats des tournois'!H75,"&lt;&gt;")&lt;=5,32,IF(COUNTIF('Résultats des tournois'!$B75:'Résultats des tournois'!H75,"&lt;&gt;")&lt;=15,24,16))</f>
        <v>32</v>
      </c>
      <c r="I75" s="15">
        <f>IF(COUNTIF('Résultats des tournois'!$B75:'Résultats des tournois'!I75,"&lt;&gt;")&lt;=5,32,IF(COUNTIF('Résultats des tournois'!$B75:'Résultats des tournois'!I75,"&lt;&gt;")&lt;=15,24,16))</f>
        <v>32</v>
      </c>
      <c r="J75" s="15">
        <f>IF(COUNTIF('Résultats des tournois'!$B75:'Résultats des tournois'!J75,"&lt;&gt;")&lt;=5,32,IF(COUNTIF('Résultats des tournois'!$B75:'Résultats des tournois'!J75,"&lt;&gt;")&lt;=15,24,16))</f>
        <v>32</v>
      </c>
      <c r="K75" s="15">
        <f>IF(COUNTIF('Résultats des tournois'!$B75:'Résultats des tournois'!K75,"&lt;&gt;")&lt;=5,32,IF(COUNTIF('Résultats des tournois'!$B75:'Résultats des tournois'!K75,"&lt;&gt;")&lt;=15,24,16))</f>
        <v>32</v>
      </c>
      <c r="L75" s="15">
        <f>IF(COUNTIF('Résultats des tournois'!$B75:'Résultats des tournois'!L75,"&lt;&gt;")&lt;=5,32,IF(COUNTIF('Résultats des tournois'!$B75:'Résultats des tournois'!L75,"&lt;&gt;")&lt;=15,24,16))</f>
        <v>32</v>
      </c>
      <c r="M75" s="15">
        <f>IF(COUNTIF('Résultats des tournois'!$B75:'Résultats des tournois'!M75,"&lt;&gt;")&lt;=5,32,IF(COUNTIF('Résultats des tournois'!$B75:'Résultats des tournois'!M75,"&lt;&gt;")&lt;=15,24,16))</f>
        <v>32</v>
      </c>
      <c r="N75" s="15">
        <f>IF(COUNTIF('Résultats des tournois'!$B75:'Résultats des tournois'!N75,"&lt;&gt;")&lt;=5,32,IF(COUNTIF('Résultats des tournois'!$B75:'Résultats des tournois'!N75,"&lt;&gt;")&lt;=15,24,16))</f>
        <v>32</v>
      </c>
      <c r="O75" s="15">
        <f>IF(COUNTIF('Résultats des tournois'!$B75:'Résultats des tournois'!O75,"&lt;&gt;")&lt;=5,32,IF(COUNTIF('Résultats des tournois'!$B75:'Résultats des tournois'!O75,"&lt;&gt;")&lt;=15,24,16))</f>
        <v>32</v>
      </c>
      <c r="P75" s="15">
        <f>IF(COUNTIF('Résultats des tournois'!$B75:'Résultats des tournois'!P75,"&lt;&gt;")&lt;=5,32,IF(COUNTIF('Résultats des tournois'!$B75:'Résultats des tournois'!P75,"&lt;&gt;")&lt;=15,24,16))</f>
        <v>32</v>
      </c>
      <c r="Q75" s="15">
        <f>IF(COUNTIF('Résultats des tournois'!$B75:'Résultats des tournois'!Q75,"&lt;&gt;")&lt;=5,32,IF(COUNTIF('Résultats des tournois'!$B75:'Résultats des tournois'!Q75,"&lt;&gt;")&lt;=15,24,16))</f>
        <v>32</v>
      </c>
      <c r="R75" s="15">
        <f>IF(COUNTIF('Résultats des tournois'!$B75:'Résultats des tournois'!R75,"&lt;&gt;")&lt;=5,32,IF(COUNTIF('Résultats des tournois'!$B75:'Résultats des tournois'!R75,"&lt;&gt;")&lt;=15,24,16))</f>
        <v>32</v>
      </c>
      <c r="S75" s="15">
        <f>IF(COUNTIF('Résultats des tournois'!$B75:'Résultats des tournois'!S75,"&lt;&gt;")&lt;=5,32,IF(COUNTIF('Résultats des tournois'!$B75:'Résultats des tournois'!S75,"&lt;&gt;")&lt;=15,24,16))</f>
        <v>32</v>
      </c>
      <c r="T75" s="15">
        <f>IF(COUNTIF('Résultats des tournois'!$B75:'Résultats des tournois'!T75,"&lt;&gt;")&lt;=5,32,IF(COUNTIF('Résultats des tournois'!$B75:'Résultats des tournois'!T75,"&lt;&gt;")&lt;=15,24,16))</f>
        <v>32</v>
      </c>
      <c r="U75" s="15">
        <f>IF(COUNTIF('Résultats des tournois'!$B75:'Résultats des tournois'!U75,"&lt;&gt;")&lt;=5,32,IF(COUNTIF('Résultats des tournois'!$B75:'Résultats des tournois'!U75,"&lt;&gt;")&lt;=15,24,16))</f>
        <v>32</v>
      </c>
      <c r="V75" s="15">
        <f>IF(COUNTIF('Résultats des tournois'!$B75:'Résultats des tournois'!V75,"&lt;&gt;")&lt;=5,32,IF(COUNTIF('Résultats des tournois'!$B75:'Résultats des tournois'!V75,"&lt;&gt;")&lt;=15,24,16))</f>
        <v>32</v>
      </c>
      <c r="W75" s="15">
        <f>IF(COUNTIF('Résultats des tournois'!$B75:'Résultats des tournois'!W75,"&lt;&gt;")&lt;=5,32,IF(COUNTIF('Résultats des tournois'!$B75:'Résultats des tournois'!W75,"&lt;&gt;")&lt;=15,24,16))</f>
        <v>32</v>
      </c>
      <c r="X75" s="15">
        <f>IF(COUNTIF('Résultats des tournois'!$B75:'Résultats des tournois'!X75,"&lt;&gt;")&lt;=5,32,IF(COUNTIF('Résultats des tournois'!$B75:'Résultats des tournois'!X75,"&lt;&gt;")&lt;=15,24,16))</f>
        <v>32</v>
      </c>
      <c r="Y75" s="15">
        <f>IF(COUNTIF('Résultats des tournois'!$B75:'Résultats des tournois'!Y75,"&lt;&gt;")&lt;=5,32,IF(COUNTIF('Résultats des tournois'!$B75:'Résultats des tournois'!Y75,"&lt;&gt;")&lt;=15,24,16))</f>
        <v>32</v>
      </c>
      <c r="Z75" s="15">
        <f>IF(COUNTIF('Résultats des tournois'!$B75:'Résultats des tournois'!Z75,"&lt;&gt;")&lt;=5,32,IF(COUNTIF('Résultats des tournois'!$B75:'Résultats des tournois'!Z75,"&lt;&gt;")&lt;=15,24,16))</f>
        <v>32</v>
      </c>
      <c r="AA75" s="15">
        <f>IF(COUNTIF('Résultats des tournois'!$B75:'Résultats des tournois'!AA75,"&lt;&gt;")&lt;=5,32,IF(COUNTIF('Résultats des tournois'!$B75:'Résultats des tournois'!AA75,"&lt;&gt;")&lt;=15,24,16))</f>
        <v>32</v>
      </c>
      <c r="AB75" s="15">
        <f>IF(COUNTIF('Résultats des tournois'!$B75:'Résultats des tournois'!AB75,"&lt;&gt;")&lt;=5,32,IF(COUNTIF('Résultats des tournois'!$B75:'Résultats des tournois'!AB75,"&lt;&gt;")&lt;=15,24,16))</f>
        <v>32</v>
      </c>
      <c r="AC75" s="15">
        <f>IF(COUNTIF('Résultats des tournois'!$B75:'Résultats des tournois'!AC75,"&lt;&gt;")&lt;=5,32,IF(COUNTIF('Résultats des tournois'!$B75:'Résultats des tournois'!AC75,"&lt;&gt;")&lt;=15,24,16))</f>
        <v>32</v>
      </c>
      <c r="AD75" s="15">
        <f>IF(COUNTIF('Résultats des tournois'!$B75:'Résultats des tournois'!AD75,"&lt;&gt;")&lt;=5,32,IF(COUNTIF('Résultats des tournois'!$B75:'Résultats des tournois'!AD75,"&lt;&gt;")&lt;=15,24,16))</f>
        <v>32</v>
      </c>
      <c r="AE75" s="15">
        <f>IF(COUNTIF('Résultats des tournois'!$B75:'Résultats des tournois'!AE75,"&lt;&gt;")&lt;=5,32,IF(COUNTIF('Résultats des tournois'!$B75:'Résultats des tournois'!AE75,"&lt;&gt;")&lt;=15,24,16))</f>
        <v>32</v>
      </c>
      <c r="AF75" s="15">
        <f>IF(COUNTIF('Résultats des tournois'!$B75:'Résultats des tournois'!AF75,"&lt;&gt;")&lt;=5,32,IF(COUNTIF('Résultats des tournois'!$B75:'Résultats des tournois'!AF75,"&lt;&gt;")&lt;=15,24,16))</f>
        <v>32</v>
      </c>
      <c r="AG75" s="15">
        <f>IF(COUNTIF('Résultats des tournois'!$B75:'Résultats des tournois'!AG75,"&lt;&gt;")&lt;=5,32,IF(COUNTIF('Résultats des tournois'!$B75:'Résultats des tournois'!AG75,"&lt;&gt;")&lt;=15,24,16))</f>
        <v>32</v>
      </c>
      <c r="AH75" s="15">
        <f>IF(COUNTIF('Résultats des tournois'!$B75:'Résultats des tournois'!AH75,"&lt;&gt;")&lt;=5,32,IF(COUNTIF('Résultats des tournois'!$B75:'Résultats des tournois'!AH75,"&lt;&gt;")&lt;=15,24,16))</f>
        <v>32</v>
      </c>
      <c r="AI75" s="15">
        <f>IF(COUNTIF('Résultats des tournois'!$B75:'Résultats des tournois'!AI75,"&lt;&gt;")&lt;=5,32,IF(COUNTIF('Résultats des tournois'!$B75:'Résultats des tournois'!AI75,"&lt;&gt;")&lt;=15,24,16))</f>
        <v>32</v>
      </c>
      <c r="AJ75" s="15">
        <f>IF(COUNTIF('Résultats des tournois'!$B75:'Résultats des tournois'!AJ75,"&lt;&gt;")&lt;=5,32,IF(COUNTIF('Résultats des tournois'!$B75:'Résultats des tournois'!AJ75,"&lt;&gt;")&lt;=15,24,16))</f>
        <v>32</v>
      </c>
      <c r="AK75" s="15">
        <f>IF(COUNTIF('Résultats des tournois'!$B75:'Résultats des tournois'!AK75,"&lt;&gt;")&lt;=5,32,IF(COUNTIF('Résultats des tournois'!$B75:'Résultats des tournois'!AK75,"&lt;&gt;")&lt;=15,24,16))</f>
        <v>32</v>
      </c>
      <c r="AL75" s="15">
        <f>IF(COUNTIF('Résultats des tournois'!$B75:'Résultats des tournois'!AL75,"&lt;&gt;")&lt;=5,32,IF(COUNTIF('Résultats des tournois'!$B75:'Résultats des tournois'!AL75,"&lt;&gt;")&lt;=15,24,16))</f>
        <v>32</v>
      </c>
      <c r="AM75" s="15">
        <f>IF(COUNTIF('Résultats des tournois'!$B75:'Résultats des tournois'!AM75,"&lt;&gt;")&lt;=5,32,IF(COUNTIF('Résultats des tournois'!$B75:'Résultats des tournois'!AM75,"&lt;&gt;")&lt;=15,24,16))</f>
        <v>32</v>
      </c>
      <c r="AN75" s="15">
        <f>IF(COUNTIF('Résultats des tournois'!$B75:'Résultats des tournois'!AN75,"&lt;&gt;")&lt;=5,32,IF(COUNTIF('Résultats des tournois'!$B75:'Résultats des tournois'!AN75,"&lt;&gt;")&lt;=15,24,16))</f>
        <v>32</v>
      </c>
      <c r="AO75" s="15">
        <f>IF(COUNTIF('Résultats des tournois'!$B75:'Résultats des tournois'!AO75,"&lt;&gt;")&lt;=5,32,IF(COUNTIF('Résultats des tournois'!$B75:'Résultats des tournois'!AO75,"&lt;&gt;")&lt;=15,24,16))</f>
        <v>32</v>
      </c>
      <c r="AP75" s="15">
        <f>IF(COUNTIF('Résultats des tournois'!$B75:'Résultats des tournois'!AP75,"&lt;&gt;")&lt;=5,32,IF(COUNTIF('Résultats des tournois'!$B75:'Résultats des tournois'!AP75,"&lt;&gt;")&lt;=15,24,16))</f>
        <v>32</v>
      </c>
      <c r="AQ75" s="15">
        <f>IF(COUNTIF('Résultats des tournois'!$B75:'Résultats des tournois'!AQ75,"&lt;&gt;")&lt;=5,32,IF(COUNTIF('Résultats des tournois'!$B75:'Résultats des tournois'!AQ75,"&lt;&gt;")&lt;=15,24,16))</f>
        <v>32</v>
      </c>
      <c r="AR75" s="15">
        <f>IF(COUNTIF('Résultats des tournois'!$B75:'Résultats des tournois'!AR75,"&lt;&gt;")&lt;=5,32,IF(COUNTIF('Résultats des tournois'!$B75:'Résultats des tournois'!AR75,"&lt;&gt;")&lt;=15,24,16))</f>
        <v>32</v>
      </c>
      <c r="AS75" s="15">
        <f>IF(COUNTIF('Résultats des tournois'!$B75:'Résultats des tournois'!AS75,"&lt;&gt;")&lt;=5,32,IF(COUNTIF('Résultats des tournois'!$B75:'Résultats des tournois'!AS75,"&lt;&gt;")&lt;=15,24,16))</f>
        <v>32</v>
      </c>
      <c r="AT75" s="15">
        <f>IF(COUNTIF('Résultats des tournois'!$B75:'Résultats des tournois'!AT75,"&lt;&gt;")&lt;=5,32,IF(COUNTIF('Résultats des tournois'!$B75:'Résultats des tournois'!AT75,"&lt;&gt;")&lt;=15,24,16))</f>
        <v>32</v>
      </c>
      <c r="AU75" s="15">
        <f>IF(COUNTIF('Résultats des tournois'!$B75:'Résultats des tournois'!AU75,"&lt;&gt;")&lt;=5,32,IF(COUNTIF('Résultats des tournois'!$B75:'Résultats des tournois'!AU75,"&lt;&gt;")&lt;=15,24,16))</f>
        <v>32</v>
      </c>
      <c r="AV75" s="15">
        <f>IF(COUNTIF('Résultats des tournois'!$B75:'Résultats des tournois'!AV75,"&lt;&gt;")&lt;=5,32,IF(COUNTIF('Résultats des tournois'!$B75:'Résultats des tournois'!AV75,"&lt;&gt;")&lt;=15,24,16))</f>
        <v>32</v>
      </c>
      <c r="AW75" s="15">
        <f>IF(COUNTIF('Résultats des tournois'!$B75:'Résultats des tournois'!AW75,"&lt;&gt;")&lt;=5,32,IF(COUNTIF('Résultats des tournois'!$B75:'Résultats des tournois'!AW75,"&lt;&gt;")&lt;=15,24,16))</f>
        <v>32</v>
      </c>
      <c r="AX75" s="15">
        <f>IF(COUNTIF('Résultats des tournois'!$B75:'Résultats des tournois'!AX75,"&lt;&gt;")&lt;=5,32,IF(COUNTIF('Résultats des tournois'!$B75:'Résultats des tournois'!AX75,"&lt;&gt;")&lt;=15,24,16))</f>
        <v>32</v>
      </c>
    </row>
    <row r="76" ht="14.25" customHeight="1">
      <c r="A76" s="15" t="str">
        <f>IF('Résultats des tournois'!A76="","",'Résultats des tournois'!A76)</f>
        <v/>
      </c>
      <c r="B76" s="15">
        <f>IF(COUNTIF('Résultats des tournois'!B76,"&lt;&gt;")&lt;=5,32,IF(COUNTIF('Résultats des tournois'!B76,"&lt;&gt;")&lt;=15,24,16))</f>
        <v>32</v>
      </c>
      <c r="C76" s="15">
        <f>IF(COUNTIF('Résultats des tournois'!$B76:'Résultats des tournois'!C76,"&lt;&gt;")&lt;=5,32,IF(COUNTIF('Résultats des tournois'!$B76:'Résultats des tournois'!C76,"&lt;&gt;")&lt;=15,24,16))</f>
        <v>32</v>
      </c>
      <c r="D76" s="15">
        <f>IF(COUNTIF('Résultats des tournois'!$B76:'Résultats des tournois'!D76,"&lt;&gt;")&lt;=5,32,IF(COUNTIF('Résultats des tournois'!$B76:'Résultats des tournois'!D76,"&lt;&gt;")&lt;=15,24,16))</f>
        <v>32</v>
      </c>
      <c r="E76" s="15">
        <f>IF(COUNTIF('Résultats des tournois'!$B76:'Résultats des tournois'!E76,"&lt;&gt;")&lt;=5,32,IF(COUNTIF('Résultats des tournois'!$B76:'Résultats des tournois'!E76,"&lt;&gt;")&lt;=15,24,16))</f>
        <v>32</v>
      </c>
      <c r="F76" s="15">
        <f>IF(COUNTIF('Résultats des tournois'!$B76:'Résultats des tournois'!F76,"&lt;&gt;")&lt;=5,32,IF(COUNTIF('Résultats des tournois'!$B76:'Résultats des tournois'!F76,"&lt;&gt;")&lt;=15,24,16))</f>
        <v>32</v>
      </c>
      <c r="G76" s="15">
        <f>IF(COUNTIF('Résultats des tournois'!$B76:'Résultats des tournois'!G76,"&lt;&gt;")&lt;=5,32,IF(COUNTIF('Résultats des tournois'!$B76:'Résultats des tournois'!G76,"&lt;&gt;")&lt;=15,24,16))</f>
        <v>32</v>
      </c>
      <c r="H76" s="15">
        <f>IF(COUNTIF('Résultats des tournois'!$B76:'Résultats des tournois'!H76,"&lt;&gt;")&lt;=5,32,IF(COUNTIF('Résultats des tournois'!$B76:'Résultats des tournois'!H76,"&lt;&gt;")&lt;=15,24,16))</f>
        <v>32</v>
      </c>
      <c r="I76" s="15">
        <f>IF(COUNTIF('Résultats des tournois'!$B76:'Résultats des tournois'!I76,"&lt;&gt;")&lt;=5,32,IF(COUNTIF('Résultats des tournois'!$B76:'Résultats des tournois'!I76,"&lt;&gt;")&lt;=15,24,16))</f>
        <v>32</v>
      </c>
      <c r="J76" s="15">
        <f>IF(COUNTIF('Résultats des tournois'!$B76:'Résultats des tournois'!J76,"&lt;&gt;")&lt;=5,32,IF(COUNTIF('Résultats des tournois'!$B76:'Résultats des tournois'!J76,"&lt;&gt;")&lt;=15,24,16))</f>
        <v>32</v>
      </c>
      <c r="K76" s="15">
        <f>IF(COUNTIF('Résultats des tournois'!$B76:'Résultats des tournois'!K76,"&lt;&gt;")&lt;=5,32,IF(COUNTIF('Résultats des tournois'!$B76:'Résultats des tournois'!K76,"&lt;&gt;")&lt;=15,24,16))</f>
        <v>32</v>
      </c>
      <c r="L76" s="15">
        <f>IF(COUNTIF('Résultats des tournois'!$B76:'Résultats des tournois'!L76,"&lt;&gt;")&lt;=5,32,IF(COUNTIF('Résultats des tournois'!$B76:'Résultats des tournois'!L76,"&lt;&gt;")&lt;=15,24,16))</f>
        <v>32</v>
      </c>
      <c r="M76" s="15">
        <f>IF(COUNTIF('Résultats des tournois'!$B76:'Résultats des tournois'!M76,"&lt;&gt;")&lt;=5,32,IF(COUNTIF('Résultats des tournois'!$B76:'Résultats des tournois'!M76,"&lt;&gt;")&lt;=15,24,16))</f>
        <v>32</v>
      </c>
      <c r="N76" s="15">
        <f>IF(COUNTIF('Résultats des tournois'!$B76:'Résultats des tournois'!N76,"&lt;&gt;")&lt;=5,32,IF(COUNTIF('Résultats des tournois'!$B76:'Résultats des tournois'!N76,"&lt;&gt;")&lt;=15,24,16))</f>
        <v>32</v>
      </c>
      <c r="O76" s="15">
        <f>IF(COUNTIF('Résultats des tournois'!$B76:'Résultats des tournois'!O76,"&lt;&gt;")&lt;=5,32,IF(COUNTIF('Résultats des tournois'!$B76:'Résultats des tournois'!O76,"&lt;&gt;")&lt;=15,24,16))</f>
        <v>32</v>
      </c>
      <c r="P76" s="15">
        <f>IF(COUNTIF('Résultats des tournois'!$B76:'Résultats des tournois'!P76,"&lt;&gt;")&lt;=5,32,IF(COUNTIF('Résultats des tournois'!$B76:'Résultats des tournois'!P76,"&lt;&gt;")&lt;=15,24,16))</f>
        <v>32</v>
      </c>
      <c r="Q76" s="15">
        <f>IF(COUNTIF('Résultats des tournois'!$B76:'Résultats des tournois'!Q76,"&lt;&gt;")&lt;=5,32,IF(COUNTIF('Résultats des tournois'!$B76:'Résultats des tournois'!Q76,"&lt;&gt;")&lt;=15,24,16))</f>
        <v>32</v>
      </c>
      <c r="R76" s="15">
        <f>IF(COUNTIF('Résultats des tournois'!$B76:'Résultats des tournois'!R76,"&lt;&gt;")&lt;=5,32,IF(COUNTIF('Résultats des tournois'!$B76:'Résultats des tournois'!R76,"&lt;&gt;")&lt;=15,24,16))</f>
        <v>32</v>
      </c>
      <c r="S76" s="15">
        <f>IF(COUNTIF('Résultats des tournois'!$B76:'Résultats des tournois'!S76,"&lt;&gt;")&lt;=5,32,IF(COUNTIF('Résultats des tournois'!$B76:'Résultats des tournois'!S76,"&lt;&gt;")&lt;=15,24,16))</f>
        <v>32</v>
      </c>
      <c r="T76" s="15">
        <f>IF(COUNTIF('Résultats des tournois'!$B76:'Résultats des tournois'!T76,"&lt;&gt;")&lt;=5,32,IF(COUNTIF('Résultats des tournois'!$B76:'Résultats des tournois'!T76,"&lt;&gt;")&lt;=15,24,16))</f>
        <v>32</v>
      </c>
      <c r="U76" s="15">
        <f>IF(COUNTIF('Résultats des tournois'!$B76:'Résultats des tournois'!U76,"&lt;&gt;")&lt;=5,32,IF(COUNTIF('Résultats des tournois'!$B76:'Résultats des tournois'!U76,"&lt;&gt;")&lt;=15,24,16))</f>
        <v>32</v>
      </c>
      <c r="V76" s="15">
        <f>IF(COUNTIF('Résultats des tournois'!$B76:'Résultats des tournois'!V76,"&lt;&gt;")&lt;=5,32,IF(COUNTIF('Résultats des tournois'!$B76:'Résultats des tournois'!V76,"&lt;&gt;")&lt;=15,24,16))</f>
        <v>32</v>
      </c>
      <c r="W76" s="15">
        <f>IF(COUNTIF('Résultats des tournois'!$B76:'Résultats des tournois'!W76,"&lt;&gt;")&lt;=5,32,IF(COUNTIF('Résultats des tournois'!$B76:'Résultats des tournois'!W76,"&lt;&gt;")&lt;=15,24,16))</f>
        <v>32</v>
      </c>
      <c r="X76" s="15">
        <f>IF(COUNTIF('Résultats des tournois'!$B76:'Résultats des tournois'!X76,"&lt;&gt;")&lt;=5,32,IF(COUNTIF('Résultats des tournois'!$B76:'Résultats des tournois'!X76,"&lt;&gt;")&lt;=15,24,16))</f>
        <v>32</v>
      </c>
      <c r="Y76" s="15">
        <f>IF(COUNTIF('Résultats des tournois'!$B76:'Résultats des tournois'!Y76,"&lt;&gt;")&lt;=5,32,IF(COUNTIF('Résultats des tournois'!$B76:'Résultats des tournois'!Y76,"&lt;&gt;")&lt;=15,24,16))</f>
        <v>32</v>
      </c>
      <c r="Z76" s="15">
        <f>IF(COUNTIF('Résultats des tournois'!$B76:'Résultats des tournois'!Z76,"&lt;&gt;")&lt;=5,32,IF(COUNTIF('Résultats des tournois'!$B76:'Résultats des tournois'!Z76,"&lt;&gt;")&lt;=15,24,16))</f>
        <v>32</v>
      </c>
      <c r="AA76" s="15">
        <f>IF(COUNTIF('Résultats des tournois'!$B76:'Résultats des tournois'!AA76,"&lt;&gt;")&lt;=5,32,IF(COUNTIF('Résultats des tournois'!$B76:'Résultats des tournois'!AA76,"&lt;&gt;")&lt;=15,24,16))</f>
        <v>32</v>
      </c>
      <c r="AB76" s="15">
        <f>IF(COUNTIF('Résultats des tournois'!$B76:'Résultats des tournois'!AB76,"&lt;&gt;")&lt;=5,32,IF(COUNTIF('Résultats des tournois'!$B76:'Résultats des tournois'!AB76,"&lt;&gt;")&lt;=15,24,16))</f>
        <v>32</v>
      </c>
      <c r="AC76" s="15">
        <f>IF(COUNTIF('Résultats des tournois'!$B76:'Résultats des tournois'!AC76,"&lt;&gt;")&lt;=5,32,IF(COUNTIF('Résultats des tournois'!$B76:'Résultats des tournois'!AC76,"&lt;&gt;")&lt;=15,24,16))</f>
        <v>32</v>
      </c>
      <c r="AD76" s="15">
        <f>IF(COUNTIF('Résultats des tournois'!$B76:'Résultats des tournois'!AD76,"&lt;&gt;")&lt;=5,32,IF(COUNTIF('Résultats des tournois'!$B76:'Résultats des tournois'!AD76,"&lt;&gt;")&lt;=15,24,16))</f>
        <v>32</v>
      </c>
      <c r="AE76" s="15">
        <f>IF(COUNTIF('Résultats des tournois'!$B76:'Résultats des tournois'!AE76,"&lt;&gt;")&lt;=5,32,IF(COUNTIF('Résultats des tournois'!$B76:'Résultats des tournois'!AE76,"&lt;&gt;")&lt;=15,24,16))</f>
        <v>32</v>
      </c>
      <c r="AF76" s="15">
        <f>IF(COUNTIF('Résultats des tournois'!$B76:'Résultats des tournois'!AF76,"&lt;&gt;")&lt;=5,32,IF(COUNTIF('Résultats des tournois'!$B76:'Résultats des tournois'!AF76,"&lt;&gt;")&lt;=15,24,16))</f>
        <v>32</v>
      </c>
      <c r="AG76" s="15">
        <f>IF(COUNTIF('Résultats des tournois'!$B76:'Résultats des tournois'!AG76,"&lt;&gt;")&lt;=5,32,IF(COUNTIF('Résultats des tournois'!$B76:'Résultats des tournois'!AG76,"&lt;&gt;")&lt;=15,24,16))</f>
        <v>32</v>
      </c>
      <c r="AH76" s="15">
        <f>IF(COUNTIF('Résultats des tournois'!$B76:'Résultats des tournois'!AH76,"&lt;&gt;")&lt;=5,32,IF(COUNTIF('Résultats des tournois'!$B76:'Résultats des tournois'!AH76,"&lt;&gt;")&lt;=15,24,16))</f>
        <v>32</v>
      </c>
      <c r="AI76" s="15">
        <f>IF(COUNTIF('Résultats des tournois'!$B76:'Résultats des tournois'!AI76,"&lt;&gt;")&lt;=5,32,IF(COUNTIF('Résultats des tournois'!$B76:'Résultats des tournois'!AI76,"&lt;&gt;")&lt;=15,24,16))</f>
        <v>32</v>
      </c>
      <c r="AJ76" s="15">
        <f>IF(COUNTIF('Résultats des tournois'!$B76:'Résultats des tournois'!AJ76,"&lt;&gt;")&lt;=5,32,IF(COUNTIF('Résultats des tournois'!$B76:'Résultats des tournois'!AJ76,"&lt;&gt;")&lt;=15,24,16))</f>
        <v>32</v>
      </c>
      <c r="AK76" s="15">
        <f>IF(COUNTIF('Résultats des tournois'!$B76:'Résultats des tournois'!AK76,"&lt;&gt;")&lt;=5,32,IF(COUNTIF('Résultats des tournois'!$B76:'Résultats des tournois'!AK76,"&lt;&gt;")&lt;=15,24,16))</f>
        <v>32</v>
      </c>
      <c r="AL76" s="15">
        <f>IF(COUNTIF('Résultats des tournois'!$B76:'Résultats des tournois'!AL76,"&lt;&gt;")&lt;=5,32,IF(COUNTIF('Résultats des tournois'!$B76:'Résultats des tournois'!AL76,"&lt;&gt;")&lt;=15,24,16))</f>
        <v>32</v>
      </c>
      <c r="AM76" s="15">
        <f>IF(COUNTIF('Résultats des tournois'!$B76:'Résultats des tournois'!AM76,"&lt;&gt;")&lt;=5,32,IF(COUNTIF('Résultats des tournois'!$B76:'Résultats des tournois'!AM76,"&lt;&gt;")&lt;=15,24,16))</f>
        <v>32</v>
      </c>
      <c r="AN76" s="15">
        <f>IF(COUNTIF('Résultats des tournois'!$B76:'Résultats des tournois'!AN76,"&lt;&gt;")&lt;=5,32,IF(COUNTIF('Résultats des tournois'!$B76:'Résultats des tournois'!AN76,"&lt;&gt;")&lt;=15,24,16))</f>
        <v>32</v>
      </c>
      <c r="AO76" s="15">
        <f>IF(COUNTIF('Résultats des tournois'!$B76:'Résultats des tournois'!AO76,"&lt;&gt;")&lt;=5,32,IF(COUNTIF('Résultats des tournois'!$B76:'Résultats des tournois'!AO76,"&lt;&gt;")&lt;=15,24,16))</f>
        <v>32</v>
      </c>
      <c r="AP76" s="15">
        <f>IF(COUNTIF('Résultats des tournois'!$B76:'Résultats des tournois'!AP76,"&lt;&gt;")&lt;=5,32,IF(COUNTIF('Résultats des tournois'!$B76:'Résultats des tournois'!AP76,"&lt;&gt;")&lt;=15,24,16))</f>
        <v>32</v>
      </c>
      <c r="AQ76" s="15">
        <f>IF(COUNTIF('Résultats des tournois'!$B76:'Résultats des tournois'!AQ76,"&lt;&gt;")&lt;=5,32,IF(COUNTIF('Résultats des tournois'!$B76:'Résultats des tournois'!AQ76,"&lt;&gt;")&lt;=15,24,16))</f>
        <v>32</v>
      </c>
      <c r="AR76" s="15">
        <f>IF(COUNTIF('Résultats des tournois'!$B76:'Résultats des tournois'!AR76,"&lt;&gt;")&lt;=5,32,IF(COUNTIF('Résultats des tournois'!$B76:'Résultats des tournois'!AR76,"&lt;&gt;")&lt;=15,24,16))</f>
        <v>32</v>
      </c>
      <c r="AS76" s="15">
        <f>IF(COUNTIF('Résultats des tournois'!$B76:'Résultats des tournois'!AS76,"&lt;&gt;")&lt;=5,32,IF(COUNTIF('Résultats des tournois'!$B76:'Résultats des tournois'!AS76,"&lt;&gt;")&lt;=15,24,16))</f>
        <v>32</v>
      </c>
      <c r="AT76" s="15">
        <f>IF(COUNTIF('Résultats des tournois'!$B76:'Résultats des tournois'!AT76,"&lt;&gt;")&lt;=5,32,IF(COUNTIF('Résultats des tournois'!$B76:'Résultats des tournois'!AT76,"&lt;&gt;")&lt;=15,24,16))</f>
        <v>32</v>
      </c>
      <c r="AU76" s="15">
        <f>IF(COUNTIF('Résultats des tournois'!$B76:'Résultats des tournois'!AU76,"&lt;&gt;")&lt;=5,32,IF(COUNTIF('Résultats des tournois'!$B76:'Résultats des tournois'!AU76,"&lt;&gt;")&lt;=15,24,16))</f>
        <v>32</v>
      </c>
      <c r="AV76" s="15">
        <f>IF(COUNTIF('Résultats des tournois'!$B76:'Résultats des tournois'!AV76,"&lt;&gt;")&lt;=5,32,IF(COUNTIF('Résultats des tournois'!$B76:'Résultats des tournois'!AV76,"&lt;&gt;")&lt;=15,24,16))</f>
        <v>32</v>
      </c>
      <c r="AW76" s="15">
        <f>IF(COUNTIF('Résultats des tournois'!$B76:'Résultats des tournois'!AW76,"&lt;&gt;")&lt;=5,32,IF(COUNTIF('Résultats des tournois'!$B76:'Résultats des tournois'!AW76,"&lt;&gt;")&lt;=15,24,16))</f>
        <v>32</v>
      </c>
      <c r="AX76" s="15">
        <f>IF(COUNTIF('Résultats des tournois'!$B76:'Résultats des tournois'!AX76,"&lt;&gt;")&lt;=5,32,IF(COUNTIF('Résultats des tournois'!$B76:'Résultats des tournois'!AX76,"&lt;&gt;")&lt;=15,24,16))</f>
        <v>32</v>
      </c>
    </row>
    <row r="77" ht="14.25" customHeight="1">
      <c r="A77" s="15" t="str">
        <f>IF('Résultats des tournois'!A77="","",'Résultats des tournois'!A77)</f>
        <v/>
      </c>
      <c r="B77" s="15">
        <f>IF(COUNTIF('Résultats des tournois'!B77,"&lt;&gt;")&lt;=5,32,IF(COUNTIF('Résultats des tournois'!B77,"&lt;&gt;")&lt;=15,24,16))</f>
        <v>32</v>
      </c>
      <c r="C77" s="15">
        <f>IF(COUNTIF('Résultats des tournois'!$B77:'Résultats des tournois'!C77,"&lt;&gt;")&lt;=5,32,IF(COUNTIF('Résultats des tournois'!$B77:'Résultats des tournois'!C77,"&lt;&gt;")&lt;=15,24,16))</f>
        <v>32</v>
      </c>
      <c r="D77" s="15">
        <f>IF(COUNTIF('Résultats des tournois'!$B77:'Résultats des tournois'!D77,"&lt;&gt;")&lt;=5,32,IF(COUNTIF('Résultats des tournois'!$B77:'Résultats des tournois'!D77,"&lt;&gt;")&lt;=15,24,16))</f>
        <v>32</v>
      </c>
      <c r="E77" s="15">
        <f>IF(COUNTIF('Résultats des tournois'!$B77:'Résultats des tournois'!E77,"&lt;&gt;")&lt;=5,32,IF(COUNTIF('Résultats des tournois'!$B77:'Résultats des tournois'!E77,"&lt;&gt;")&lt;=15,24,16))</f>
        <v>32</v>
      </c>
      <c r="F77" s="15">
        <f>IF(COUNTIF('Résultats des tournois'!$B77:'Résultats des tournois'!F77,"&lt;&gt;")&lt;=5,32,IF(COUNTIF('Résultats des tournois'!$B77:'Résultats des tournois'!F77,"&lt;&gt;")&lt;=15,24,16))</f>
        <v>32</v>
      </c>
      <c r="G77" s="15">
        <f>IF(COUNTIF('Résultats des tournois'!$B77:'Résultats des tournois'!G77,"&lt;&gt;")&lt;=5,32,IF(COUNTIF('Résultats des tournois'!$B77:'Résultats des tournois'!G77,"&lt;&gt;")&lt;=15,24,16))</f>
        <v>32</v>
      </c>
      <c r="H77" s="15">
        <f>IF(COUNTIF('Résultats des tournois'!$B77:'Résultats des tournois'!H77,"&lt;&gt;")&lt;=5,32,IF(COUNTIF('Résultats des tournois'!$B77:'Résultats des tournois'!H77,"&lt;&gt;")&lt;=15,24,16))</f>
        <v>32</v>
      </c>
      <c r="I77" s="15">
        <f>IF(COUNTIF('Résultats des tournois'!$B77:'Résultats des tournois'!I77,"&lt;&gt;")&lt;=5,32,IF(COUNTIF('Résultats des tournois'!$B77:'Résultats des tournois'!I77,"&lt;&gt;")&lt;=15,24,16))</f>
        <v>32</v>
      </c>
      <c r="J77" s="15">
        <f>IF(COUNTIF('Résultats des tournois'!$B77:'Résultats des tournois'!J77,"&lt;&gt;")&lt;=5,32,IF(COUNTIF('Résultats des tournois'!$B77:'Résultats des tournois'!J77,"&lt;&gt;")&lt;=15,24,16))</f>
        <v>32</v>
      </c>
      <c r="K77" s="15">
        <f>IF(COUNTIF('Résultats des tournois'!$B77:'Résultats des tournois'!K77,"&lt;&gt;")&lt;=5,32,IF(COUNTIF('Résultats des tournois'!$B77:'Résultats des tournois'!K77,"&lt;&gt;")&lt;=15,24,16))</f>
        <v>32</v>
      </c>
      <c r="L77" s="15">
        <f>IF(COUNTIF('Résultats des tournois'!$B77:'Résultats des tournois'!L77,"&lt;&gt;")&lt;=5,32,IF(COUNTIF('Résultats des tournois'!$B77:'Résultats des tournois'!L77,"&lt;&gt;")&lt;=15,24,16))</f>
        <v>32</v>
      </c>
      <c r="M77" s="15">
        <f>IF(COUNTIF('Résultats des tournois'!$B77:'Résultats des tournois'!M77,"&lt;&gt;")&lt;=5,32,IF(COUNTIF('Résultats des tournois'!$B77:'Résultats des tournois'!M77,"&lt;&gt;")&lt;=15,24,16))</f>
        <v>32</v>
      </c>
      <c r="N77" s="15">
        <f>IF(COUNTIF('Résultats des tournois'!$B77:'Résultats des tournois'!N77,"&lt;&gt;")&lt;=5,32,IF(COUNTIF('Résultats des tournois'!$B77:'Résultats des tournois'!N77,"&lt;&gt;")&lt;=15,24,16))</f>
        <v>32</v>
      </c>
      <c r="O77" s="15">
        <f>IF(COUNTIF('Résultats des tournois'!$B77:'Résultats des tournois'!O77,"&lt;&gt;")&lt;=5,32,IF(COUNTIF('Résultats des tournois'!$B77:'Résultats des tournois'!O77,"&lt;&gt;")&lt;=15,24,16))</f>
        <v>32</v>
      </c>
      <c r="P77" s="15">
        <f>IF(COUNTIF('Résultats des tournois'!$B77:'Résultats des tournois'!P77,"&lt;&gt;")&lt;=5,32,IF(COUNTIF('Résultats des tournois'!$B77:'Résultats des tournois'!P77,"&lt;&gt;")&lt;=15,24,16))</f>
        <v>32</v>
      </c>
      <c r="Q77" s="15">
        <f>IF(COUNTIF('Résultats des tournois'!$B77:'Résultats des tournois'!Q77,"&lt;&gt;")&lt;=5,32,IF(COUNTIF('Résultats des tournois'!$B77:'Résultats des tournois'!Q77,"&lt;&gt;")&lt;=15,24,16))</f>
        <v>32</v>
      </c>
      <c r="R77" s="15">
        <f>IF(COUNTIF('Résultats des tournois'!$B77:'Résultats des tournois'!R77,"&lt;&gt;")&lt;=5,32,IF(COUNTIF('Résultats des tournois'!$B77:'Résultats des tournois'!R77,"&lt;&gt;")&lt;=15,24,16))</f>
        <v>32</v>
      </c>
      <c r="S77" s="15">
        <f>IF(COUNTIF('Résultats des tournois'!$B77:'Résultats des tournois'!S77,"&lt;&gt;")&lt;=5,32,IF(COUNTIF('Résultats des tournois'!$B77:'Résultats des tournois'!S77,"&lt;&gt;")&lt;=15,24,16))</f>
        <v>32</v>
      </c>
      <c r="T77" s="15">
        <f>IF(COUNTIF('Résultats des tournois'!$B77:'Résultats des tournois'!T77,"&lt;&gt;")&lt;=5,32,IF(COUNTIF('Résultats des tournois'!$B77:'Résultats des tournois'!T77,"&lt;&gt;")&lt;=15,24,16))</f>
        <v>32</v>
      </c>
      <c r="U77" s="15">
        <f>IF(COUNTIF('Résultats des tournois'!$B77:'Résultats des tournois'!U77,"&lt;&gt;")&lt;=5,32,IF(COUNTIF('Résultats des tournois'!$B77:'Résultats des tournois'!U77,"&lt;&gt;")&lt;=15,24,16))</f>
        <v>32</v>
      </c>
      <c r="V77" s="15">
        <f>IF(COUNTIF('Résultats des tournois'!$B77:'Résultats des tournois'!V77,"&lt;&gt;")&lt;=5,32,IF(COUNTIF('Résultats des tournois'!$B77:'Résultats des tournois'!V77,"&lt;&gt;")&lt;=15,24,16))</f>
        <v>32</v>
      </c>
      <c r="W77" s="15">
        <f>IF(COUNTIF('Résultats des tournois'!$B77:'Résultats des tournois'!W77,"&lt;&gt;")&lt;=5,32,IF(COUNTIF('Résultats des tournois'!$B77:'Résultats des tournois'!W77,"&lt;&gt;")&lt;=15,24,16))</f>
        <v>32</v>
      </c>
      <c r="X77" s="15">
        <f>IF(COUNTIF('Résultats des tournois'!$B77:'Résultats des tournois'!X77,"&lt;&gt;")&lt;=5,32,IF(COUNTIF('Résultats des tournois'!$B77:'Résultats des tournois'!X77,"&lt;&gt;")&lt;=15,24,16))</f>
        <v>32</v>
      </c>
      <c r="Y77" s="15">
        <f>IF(COUNTIF('Résultats des tournois'!$B77:'Résultats des tournois'!Y77,"&lt;&gt;")&lt;=5,32,IF(COUNTIF('Résultats des tournois'!$B77:'Résultats des tournois'!Y77,"&lt;&gt;")&lt;=15,24,16))</f>
        <v>32</v>
      </c>
      <c r="Z77" s="15">
        <f>IF(COUNTIF('Résultats des tournois'!$B77:'Résultats des tournois'!Z77,"&lt;&gt;")&lt;=5,32,IF(COUNTIF('Résultats des tournois'!$B77:'Résultats des tournois'!Z77,"&lt;&gt;")&lt;=15,24,16))</f>
        <v>32</v>
      </c>
      <c r="AA77" s="15">
        <f>IF(COUNTIF('Résultats des tournois'!$B77:'Résultats des tournois'!AA77,"&lt;&gt;")&lt;=5,32,IF(COUNTIF('Résultats des tournois'!$B77:'Résultats des tournois'!AA77,"&lt;&gt;")&lt;=15,24,16))</f>
        <v>32</v>
      </c>
      <c r="AB77" s="15">
        <f>IF(COUNTIF('Résultats des tournois'!$B77:'Résultats des tournois'!AB77,"&lt;&gt;")&lt;=5,32,IF(COUNTIF('Résultats des tournois'!$B77:'Résultats des tournois'!AB77,"&lt;&gt;")&lt;=15,24,16))</f>
        <v>32</v>
      </c>
      <c r="AC77" s="15">
        <f>IF(COUNTIF('Résultats des tournois'!$B77:'Résultats des tournois'!AC77,"&lt;&gt;")&lt;=5,32,IF(COUNTIF('Résultats des tournois'!$B77:'Résultats des tournois'!AC77,"&lt;&gt;")&lt;=15,24,16))</f>
        <v>32</v>
      </c>
      <c r="AD77" s="15">
        <f>IF(COUNTIF('Résultats des tournois'!$B77:'Résultats des tournois'!AD77,"&lt;&gt;")&lt;=5,32,IF(COUNTIF('Résultats des tournois'!$B77:'Résultats des tournois'!AD77,"&lt;&gt;")&lt;=15,24,16))</f>
        <v>32</v>
      </c>
      <c r="AE77" s="15">
        <f>IF(COUNTIF('Résultats des tournois'!$B77:'Résultats des tournois'!AE77,"&lt;&gt;")&lt;=5,32,IF(COUNTIF('Résultats des tournois'!$B77:'Résultats des tournois'!AE77,"&lt;&gt;")&lt;=15,24,16))</f>
        <v>32</v>
      </c>
      <c r="AF77" s="15">
        <f>IF(COUNTIF('Résultats des tournois'!$B77:'Résultats des tournois'!AF77,"&lt;&gt;")&lt;=5,32,IF(COUNTIF('Résultats des tournois'!$B77:'Résultats des tournois'!AF77,"&lt;&gt;")&lt;=15,24,16))</f>
        <v>32</v>
      </c>
      <c r="AG77" s="15">
        <f>IF(COUNTIF('Résultats des tournois'!$B77:'Résultats des tournois'!AG77,"&lt;&gt;")&lt;=5,32,IF(COUNTIF('Résultats des tournois'!$B77:'Résultats des tournois'!AG77,"&lt;&gt;")&lt;=15,24,16))</f>
        <v>32</v>
      </c>
      <c r="AH77" s="15">
        <f>IF(COUNTIF('Résultats des tournois'!$B77:'Résultats des tournois'!AH77,"&lt;&gt;")&lt;=5,32,IF(COUNTIF('Résultats des tournois'!$B77:'Résultats des tournois'!AH77,"&lt;&gt;")&lt;=15,24,16))</f>
        <v>32</v>
      </c>
      <c r="AI77" s="15">
        <f>IF(COUNTIF('Résultats des tournois'!$B77:'Résultats des tournois'!AI77,"&lt;&gt;")&lt;=5,32,IF(COUNTIF('Résultats des tournois'!$B77:'Résultats des tournois'!AI77,"&lt;&gt;")&lt;=15,24,16))</f>
        <v>32</v>
      </c>
      <c r="AJ77" s="15">
        <f>IF(COUNTIF('Résultats des tournois'!$B77:'Résultats des tournois'!AJ77,"&lt;&gt;")&lt;=5,32,IF(COUNTIF('Résultats des tournois'!$B77:'Résultats des tournois'!AJ77,"&lt;&gt;")&lt;=15,24,16))</f>
        <v>32</v>
      </c>
      <c r="AK77" s="15">
        <f>IF(COUNTIF('Résultats des tournois'!$B77:'Résultats des tournois'!AK77,"&lt;&gt;")&lt;=5,32,IF(COUNTIF('Résultats des tournois'!$B77:'Résultats des tournois'!AK77,"&lt;&gt;")&lt;=15,24,16))</f>
        <v>32</v>
      </c>
      <c r="AL77" s="15">
        <f>IF(COUNTIF('Résultats des tournois'!$B77:'Résultats des tournois'!AL77,"&lt;&gt;")&lt;=5,32,IF(COUNTIF('Résultats des tournois'!$B77:'Résultats des tournois'!AL77,"&lt;&gt;")&lt;=15,24,16))</f>
        <v>32</v>
      </c>
      <c r="AM77" s="15">
        <f>IF(COUNTIF('Résultats des tournois'!$B77:'Résultats des tournois'!AM77,"&lt;&gt;")&lt;=5,32,IF(COUNTIF('Résultats des tournois'!$B77:'Résultats des tournois'!AM77,"&lt;&gt;")&lt;=15,24,16))</f>
        <v>32</v>
      </c>
      <c r="AN77" s="15">
        <f>IF(COUNTIF('Résultats des tournois'!$B77:'Résultats des tournois'!AN77,"&lt;&gt;")&lt;=5,32,IF(COUNTIF('Résultats des tournois'!$B77:'Résultats des tournois'!AN77,"&lt;&gt;")&lt;=15,24,16))</f>
        <v>32</v>
      </c>
      <c r="AO77" s="15">
        <f>IF(COUNTIF('Résultats des tournois'!$B77:'Résultats des tournois'!AO77,"&lt;&gt;")&lt;=5,32,IF(COUNTIF('Résultats des tournois'!$B77:'Résultats des tournois'!AO77,"&lt;&gt;")&lt;=15,24,16))</f>
        <v>32</v>
      </c>
      <c r="AP77" s="15">
        <f>IF(COUNTIF('Résultats des tournois'!$B77:'Résultats des tournois'!AP77,"&lt;&gt;")&lt;=5,32,IF(COUNTIF('Résultats des tournois'!$B77:'Résultats des tournois'!AP77,"&lt;&gt;")&lt;=15,24,16))</f>
        <v>32</v>
      </c>
      <c r="AQ77" s="15">
        <f>IF(COUNTIF('Résultats des tournois'!$B77:'Résultats des tournois'!AQ77,"&lt;&gt;")&lt;=5,32,IF(COUNTIF('Résultats des tournois'!$B77:'Résultats des tournois'!AQ77,"&lt;&gt;")&lt;=15,24,16))</f>
        <v>32</v>
      </c>
      <c r="AR77" s="15">
        <f>IF(COUNTIF('Résultats des tournois'!$B77:'Résultats des tournois'!AR77,"&lt;&gt;")&lt;=5,32,IF(COUNTIF('Résultats des tournois'!$B77:'Résultats des tournois'!AR77,"&lt;&gt;")&lt;=15,24,16))</f>
        <v>32</v>
      </c>
      <c r="AS77" s="15">
        <f>IF(COUNTIF('Résultats des tournois'!$B77:'Résultats des tournois'!AS77,"&lt;&gt;")&lt;=5,32,IF(COUNTIF('Résultats des tournois'!$B77:'Résultats des tournois'!AS77,"&lt;&gt;")&lt;=15,24,16))</f>
        <v>32</v>
      </c>
      <c r="AT77" s="15">
        <f>IF(COUNTIF('Résultats des tournois'!$B77:'Résultats des tournois'!AT77,"&lt;&gt;")&lt;=5,32,IF(COUNTIF('Résultats des tournois'!$B77:'Résultats des tournois'!AT77,"&lt;&gt;")&lt;=15,24,16))</f>
        <v>32</v>
      </c>
      <c r="AU77" s="15">
        <f>IF(COUNTIF('Résultats des tournois'!$B77:'Résultats des tournois'!AU77,"&lt;&gt;")&lt;=5,32,IF(COUNTIF('Résultats des tournois'!$B77:'Résultats des tournois'!AU77,"&lt;&gt;")&lt;=15,24,16))</f>
        <v>32</v>
      </c>
      <c r="AV77" s="15">
        <f>IF(COUNTIF('Résultats des tournois'!$B77:'Résultats des tournois'!AV77,"&lt;&gt;")&lt;=5,32,IF(COUNTIF('Résultats des tournois'!$B77:'Résultats des tournois'!AV77,"&lt;&gt;")&lt;=15,24,16))</f>
        <v>32</v>
      </c>
      <c r="AW77" s="15">
        <f>IF(COUNTIF('Résultats des tournois'!$B77:'Résultats des tournois'!AW77,"&lt;&gt;")&lt;=5,32,IF(COUNTIF('Résultats des tournois'!$B77:'Résultats des tournois'!AW77,"&lt;&gt;")&lt;=15,24,16))</f>
        <v>32</v>
      </c>
      <c r="AX77" s="15">
        <f>IF(COUNTIF('Résultats des tournois'!$B77:'Résultats des tournois'!AX77,"&lt;&gt;")&lt;=5,32,IF(COUNTIF('Résultats des tournois'!$B77:'Résultats des tournois'!AX77,"&lt;&gt;")&lt;=15,24,16))</f>
        <v>32</v>
      </c>
    </row>
    <row r="78" ht="14.25" customHeight="1">
      <c r="A78" s="15" t="str">
        <f>IF('Résultats des tournois'!A78="","",'Résultats des tournois'!A78)</f>
        <v/>
      </c>
      <c r="B78" s="15">
        <f>IF(COUNTIF('Résultats des tournois'!B78,"&lt;&gt;")&lt;=5,32,IF(COUNTIF('Résultats des tournois'!B78,"&lt;&gt;")&lt;=15,24,16))</f>
        <v>32</v>
      </c>
      <c r="C78" s="15">
        <f>IF(COUNTIF('Résultats des tournois'!$B78:'Résultats des tournois'!C78,"&lt;&gt;")&lt;=5,32,IF(COUNTIF('Résultats des tournois'!$B78:'Résultats des tournois'!C78,"&lt;&gt;")&lt;=15,24,16))</f>
        <v>32</v>
      </c>
      <c r="D78" s="15">
        <f>IF(COUNTIF('Résultats des tournois'!$B78:'Résultats des tournois'!D78,"&lt;&gt;")&lt;=5,32,IF(COUNTIF('Résultats des tournois'!$B78:'Résultats des tournois'!D78,"&lt;&gt;")&lt;=15,24,16))</f>
        <v>32</v>
      </c>
      <c r="E78" s="15">
        <f>IF(COUNTIF('Résultats des tournois'!$B78:'Résultats des tournois'!E78,"&lt;&gt;")&lt;=5,32,IF(COUNTIF('Résultats des tournois'!$B78:'Résultats des tournois'!E78,"&lt;&gt;")&lt;=15,24,16))</f>
        <v>32</v>
      </c>
      <c r="F78" s="15">
        <f>IF(COUNTIF('Résultats des tournois'!$B78:'Résultats des tournois'!F78,"&lt;&gt;")&lt;=5,32,IF(COUNTIF('Résultats des tournois'!$B78:'Résultats des tournois'!F78,"&lt;&gt;")&lt;=15,24,16))</f>
        <v>32</v>
      </c>
      <c r="G78" s="15">
        <f>IF(COUNTIF('Résultats des tournois'!$B78:'Résultats des tournois'!G78,"&lt;&gt;")&lt;=5,32,IF(COUNTIF('Résultats des tournois'!$B78:'Résultats des tournois'!G78,"&lt;&gt;")&lt;=15,24,16))</f>
        <v>32</v>
      </c>
      <c r="H78" s="15">
        <f>IF(COUNTIF('Résultats des tournois'!$B78:'Résultats des tournois'!H78,"&lt;&gt;")&lt;=5,32,IF(COUNTIF('Résultats des tournois'!$B78:'Résultats des tournois'!H78,"&lt;&gt;")&lt;=15,24,16))</f>
        <v>32</v>
      </c>
      <c r="I78" s="15">
        <f>IF(COUNTIF('Résultats des tournois'!$B78:'Résultats des tournois'!I78,"&lt;&gt;")&lt;=5,32,IF(COUNTIF('Résultats des tournois'!$B78:'Résultats des tournois'!I78,"&lt;&gt;")&lt;=15,24,16))</f>
        <v>32</v>
      </c>
      <c r="J78" s="15">
        <f>IF(COUNTIF('Résultats des tournois'!$B78:'Résultats des tournois'!J78,"&lt;&gt;")&lt;=5,32,IF(COUNTIF('Résultats des tournois'!$B78:'Résultats des tournois'!J78,"&lt;&gt;")&lt;=15,24,16))</f>
        <v>32</v>
      </c>
      <c r="K78" s="15">
        <f>IF(COUNTIF('Résultats des tournois'!$B78:'Résultats des tournois'!K78,"&lt;&gt;")&lt;=5,32,IF(COUNTIF('Résultats des tournois'!$B78:'Résultats des tournois'!K78,"&lt;&gt;")&lt;=15,24,16))</f>
        <v>32</v>
      </c>
      <c r="L78" s="15">
        <f>IF(COUNTIF('Résultats des tournois'!$B78:'Résultats des tournois'!L78,"&lt;&gt;")&lt;=5,32,IF(COUNTIF('Résultats des tournois'!$B78:'Résultats des tournois'!L78,"&lt;&gt;")&lt;=15,24,16))</f>
        <v>32</v>
      </c>
      <c r="M78" s="15">
        <f>IF(COUNTIF('Résultats des tournois'!$B78:'Résultats des tournois'!M78,"&lt;&gt;")&lt;=5,32,IF(COUNTIF('Résultats des tournois'!$B78:'Résultats des tournois'!M78,"&lt;&gt;")&lt;=15,24,16))</f>
        <v>32</v>
      </c>
      <c r="N78" s="15">
        <f>IF(COUNTIF('Résultats des tournois'!$B78:'Résultats des tournois'!N78,"&lt;&gt;")&lt;=5,32,IF(COUNTIF('Résultats des tournois'!$B78:'Résultats des tournois'!N78,"&lt;&gt;")&lt;=15,24,16))</f>
        <v>32</v>
      </c>
      <c r="O78" s="15">
        <f>IF(COUNTIF('Résultats des tournois'!$B78:'Résultats des tournois'!O78,"&lt;&gt;")&lt;=5,32,IF(COUNTIF('Résultats des tournois'!$B78:'Résultats des tournois'!O78,"&lt;&gt;")&lt;=15,24,16))</f>
        <v>32</v>
      </c>
      <c r="P78" s="15">
        <f>IF(COUNTIF('Résultats des tournois'!$B78:'Résultats des tournois'!P78,"&lt;&gt;")&lt;=5,32,IF(COUNTIF('Résultats des tournois'!$B78:'Résultats des tournois'!P78,"&lt;&gt;")&lt;=15,24,16))</f>
        <v>32</v>
      </c>
      <c r="Q78" s="15">
        <f>IF(COUNTIF('Résultats des tournois'!$B78:'Résultats des tournois'!Q78,"&lt;&gt;")&lt;=5,32,IF(COUNTIF('Résultats des tournois'!$B78:'Résultats des tournois'!Q78,"&lt;&gt;")&lt;=15,24,16))</f>
        <v>32</v>
      </c>
      <c r="R78" s="15">
        <f>IF(COUNTIF('Résultats des tournois'!$B78:'Résultats des tournois'!R78,"&lt;&gt;")&lt;=5,32,IF(COUNTIF('Résultats des tournois'!$B78:'Résultats des tournois'!R78,"&lt;&gt;")&lt;=15,24,16))</f>
        <v>32</v>
      </c>
      <c r="S78" s="15">
        <f>IF(COUNTIF('Résultats des tournois'!$B78:'Résultats des tournois'!S78,"&lt;&gt;")&lt;=5,32,IF(COUNTIF('Résultats des tournois'!$B78:'Résultats des tournois'!S78,"&lt;&gt;")&lt;=15,24,16))</f>
        <v>32</v>
      </c>
      <c r="T78" s="15">
        <f>IF(COUNTIF('Résultats des tournois'!$B78:'Résultats des tournois'!T78,"&lt;&gt;")&lt;=5,32,IF(COUNTIF('Résultats des tournois'!$B78:'Résultats des tournois'!T78,"&lt;&gt;")&lt;=15,24,16))</f>
        <v>32</v>
      </c>
      <c r="U78" s="15">
        <f>IF(COUNTIF('Résultats des tournois'!$B78:'Résultats des tournois'!U78,"&lt;&gt;")&lt;=5,32,IF(COUNTIF('Résultats des tournois'!$B78:'Résultats des tournois'!U78,"&lt;&gt;")&lt;=15,24,16))</f>
        <v>32</v>
      </c>
      <c r="V78" s="15">
        <f>IF(COUNTIF('Résultats des tournois'!$B78:'Résultats des tournois'!V78,"&lt;&gt;")&lt;=5,32,IF(COUNTIF('Résultats des tournois'!$B78:'Résultats des tournois'!V78,"&lt;&gt;")&lt;=15,24,16))</f>
        <v>32</v>
      </c>
      <c r="W78" s="15">
        <f>IF(COUNTIF('Résultats des tournois'!$B78:'Résultats des tournois'!W78,"&lt;&gt;")&lt;=5,32,IF(COUNTIF('Résultats des tournois'!$B78:'Résultats des tournois'!W78,"&lt;&gt;")&lt;=15,24,16))</f>
        <v>32</v>
      </c>
      <c r="X78" s="15">
        <f>IF(COUNTIF('Résultats des tournois'!$B78:'Résultats des tournois'!X78,"&lt;&gt;")&lt;=5,32,IF(COUNTIF('Résultats des tournois'!$B78:'Résultats des tournois'!X78,"&lt;&gt;")&lt;=15,24,16))</f>
        <v>32</v>
      </c>
      <c r="Y78" s="15">
        <f>IF(COUNTIF('Résultats des tournois'!$B78:'Résultats des tournois'!Y78,"&lt;&gt;")&lt;=5,32,IF(COUNTIF('Résultats des tournois'!$B78:'Résultats des tournois'!Y78,"&lt;&gt;")&lt;=15,24,16))</f>
        <v>32</v>
      </c>
      <c r="Z78" s="15">
        <f>IF(COUNTIF('Résultats des tournois'!$B78:'Résultats des tournois'!Z78,"&lt;&gt;")&lt;=5,32,IF(COUNTIF('Résultats des tournois'!$B78:'Résultats des tournois'!Z78,"&lt;&gt;")&lt;=15,24,16))</f>
        <v>32</v>
      </c>
      <c r="AA78" s="15">
        <f>IF(COUNTIF('Résultats des tournois'!$B78:'Résultats des tournois'!AA78,"&lt;&gt;")&lt;=5,32,IF(COUNTIF('Résultats des tournois'!$B78:'Résultats des tournois'!AA78,"&lt;&gt;")&lt;=15,24,16))</f>
        <v>32</v>
      </c>
      <c r="AB78" s="15">
        <f>IF(COUNTIF('Résultats des tournois'!$B78:'Résultats des tournois'!AB78,"&lt;&gt;")&lt;=5,32,IF(COUNTIF('Résultats des tournois'!$B78:'Résultats des tournois'!AB78,"&lt;&gt;")&lt;=15,24,16))</f>
        <v>32</v>
      </c>
      <c r="AC78" s="15">
        <f>IF(COUNTIF('Résultats des tournois'!$B78:'Résultats des tournois'!AC78,"&lt;&gt;")&lt;=5,32,IF(COUNTIF('Résultats des tournois'!$B78:'Résultats des tournois'!AC78,"&lt;&gt;")&lt;=15,24,16))</f>
        <v>32</v>
      </c>
      <c r="AD78" s="15">
        <f>IF(COUNTIF('Résultats des tournois'!$B78:'Résultats des tournois'!AD78,"&lt;&gt;")&lt;=5,32,IF(COUNTIF('Résultats des tournois'!$B78:'Résultats des tournois'!AD78,"&lt;&gt;")&lt;=15,24,16))</f>
        <v>32</v>
      </c>
      <c r="AE78" s="15">
        <f>IF(COUNTIF('Résultats des tournois'!$B78:'Résultats des tournois'!AE78,"&lt;&gt;")&lt;=5,32,IF(COUNTIF('Résultats des tournois'!$B78:'Résultats des tournois'!AE78,"&lt;&gt;")&lt;=15,24,16))</f>
        <v>32</v>
      </c>
      <c r="AF78" s="15">
        <f>IF(COUNTIF('Résultats des tournois'!$B78:'Résultats des tournois'!AF78,"&lt;&gt;")&lt;=5,32,IF(COUNTIF('Résultats des tournois'!$B78:'Résultats des tournois'!AF78,"&lt;&gt;")&lt;=15,24,16))</f>
        <v>32</v>
      </c>
      <c r="AG78" s="15">
        <f>IF(COUNTIF('Résultats des tournois'!$B78:'Résultats des tournois'!AG78,"&lt;&gt;")&lt;=5,32,IF(COUNTIF('Résultats des tournois'!$B78:'Résultats des tournois'!AG78,"&lt;&gt;")&lt;=15,24,16))</f>
        <v>32</v>
      </c>
      <c r="AH78" s="15">
        <f>IF(COUNTIF('Résultats des tournois'!$B78:'Résultats des tournois'!AH78,"&lt;&gt;")&lt;=5,32,IF(COUNTIF('Résultats des tournois'!$B78:'Résultats des tournois'!AH78,"&lt;&gt;")&lt;=15,24,16))</f>
        <v>32</v>
      </c>
      <c r="AI78" s="15">
        <f>IF(COUNTIF('Résultats des tournois'!$B78:'Résultats des tournois'!AI78,"&lt;&gt;")&lt;=5,32,IF(COUNTIF('Résultats des tournois'!$B78:'Résultats des tournois'!AI78,"&lt;&gt;")&lt;=15,24,16))</f>
        <v>32</v>
      </c>
      <c r="AJ78" s="15">
        <f>IF(COUNTIF('Résultats des tournois'!$B78:'Résultats des tournois'!AJ78,"&lt;&gt;")&lt;=5,32,IF(COUNTIF('Résultats des tournois'!$B78:'Résultats des tournois'!AJ78,"&lt;&gt;")&lt;=15,24,16))</f>
        <v>32</v>
      </c>
      <c r="AK78" s="15">
        <f>IF(COUNTIF('Résultats des tournois'!$B78:'Résultats des tournois'!AK78,"&lt;&gt;")&lt;=5,32,IF(COUNTIF('Résultats des tournois'!$B78:'Résultats des tournois'!AK78,"&lt;&gt;")&lt;=15,24,16))</f>
        <v>32</v>
      </c>
      <c r="AL78" s="15">
        <f>IF(COUNTIF('Résultats des tournois'!$B78:'Résultats des tournois'!AL78,"&lt;&gt;")&lt;=5,32,IF(COUNTIF('Résultats des tournois'!$B78:'Résultats des tournois'!AL78,"&lt;&gt;")&lt;=15,24,16))</f>
        <v>32</v>
      </c>
      <c r="AM78" s="15">
        <f>IF(COUNTIF('Résultats des tournois'!$B78:'Résultats des tournois'!AM78,"&lt;&gt;")&lt;=5,32,IF(COUNTIF('Résultats des tournois'!$B78:'Résultats des tournois'!AM78,"&lt;&gt;")&lt;=15,24,16))</f>
        <v>32</v>
      </c>
      <c r="AN78" s="15">
        <f>IF(COUNTIF('Résultats des tournois'!$B78:'Résultats des tournois'!AN78,"&lt;&gt;")&lt;=5,32,IF(COUNTIF('Résultats des tournois'!$B78:'Résultats des tournois'!AN78,"&lt;&gt;")&lt;=15,24,16))</f>
        <v>32</v>
      </c>
      <c r="AO78" s="15">
        <f>IF(COUNTIF('Résultats des tournois'!$B78:'Résultats des tournois'!AO78,"&lt;&gt;")&lt;=5,32,IF(COUNTIF('Résultats des tournois'!$B78:'Résultats des tournois'!AO78,"&lt;&gt;")&lt;=15,24,16))</f>
        <v>32</v>
      </c>
      <c r="AP78" s="15">
        <f>IF(COUNTIF('Résultats des tournois'!$B78:'Résultats des tournois'!AP78,"&lt;&gt;")&lt;=5,32,IF(COUNTIF('Résultats des tournois'!$B78:'Résultats des tournois'!AP78,"&lt;&gt;")&lt;=15,24,16))</f>
        <v>32</v>
      </c>
      <c r="AQ78" s="15">
        <f>IF(COUNTIF('Résultats des tournois'!$B78:'Résultats des tournois'!AQ78,"&lt;&gt;")&lt;=5,32,IF(COUNTIF('Résultats des tournois'!$B78:'Résultats des tournois'!AQ78,"&lt;&gt;")&lt;=15,24,16))</f>
        <v>32</v>
      </c>
      <c r="AR78" s="15">
        <f>IF(COUNTIF('Résultats des tournois'!$B78:'Résultats des tournois'!AR78,"&lt;&gt;")&lt;=5,32,IF(COUNTIF('Résultats des tournois'!$B78:'Résultats des tournois'!AR78,"&lt;&gt;")&lt;=15,24,16))</f>
        <v>32</v>
      </c>
      <c r="AS78" s="15">
        <f>IF(COUNTIF('Résultats des tournois'!$B78:'Résultats des tournois'!AS78,"&lt;&gt;")&lt;=5,32,IF(COUNTIF('Résultats des tournois'!$B78:'Résultats des tournois'!AS78,"&lt;&gt;")&lt;=15,24,16))</f>
        <v>32</v>
      </c>
      <c r="AT78" s="15">
        <f>IF(COUNTIF('Résultats des tournois'!$B78:'Résultats des tournois'!AT78,"&lt;&gt;")&lt;=5,32,IF(COUNTIF('Résultats des tournois'!$B78:'Résultats des tournois'!AT78,"&lt;&gt;")&lt;=15,24,16))</f>
        <v>32</v>
      </c>
      <c r="AU78" s="15">
        <f>IF(COUNTIF('Résultats des tournois'!$B78:'Résultats des tournois'!AU78,"&lt;&gt;")&lt;=5,32,IF(COUNTIF('Résultats des tournois'!$B78:'Résultats des tournois'!AU78,"&lt;&gt;")&lt;=15,24,16))</f>
        <v>32</v>
      </c>
      <c r="AV78" s="15">
        <f>IF(COUNTIF('Résultats des tournois'!$B78:'Résultats des tournois'!AV78,"&lt;&gt;")&lt;=5,32,IF(COUNTIF('Résultats des tournois'!$B78:'Résultats des tournois'!AV78,"&lt;&gt;")&lt;=15,24,16))</f>
        <v>32</v>
      </c>
      <c r="AW78" s="15">
        <f>IF(COUNTIF('Résultats des tournois'!$B78:'Résultats des tournois'!AW78,"&lt;&gt;")&lt;=5,32,IF(COUNTIF('Résultats des tournois'!$B78:'Résultats des tournois'!AW78,"&lt;&gt;")&lt;=15,24,16))</f>
        <v>32</v>
      </c>
      <c r="AX78" s="15">
        <f>IF(COUNTIF('Résultats des tournois'!$B78:'Résultats des tournois'!AX78,"&lt;&gt;")&lt;=5,32,IF(COUNTIF('Résultats des tournois'!$B78:'Résultats des tournois'!AX78,"&lt;&gt;")&lt;=15,24,16))</f>
        <v>32</v>
      </c>
    </row>
    <row r="79" ht="14.25" customHeight="1">
      <c r="A79" s="15" t="str">
        <f>IF('Résultats des tournois'!A79="","",'Résultats des tournois'!A79)</f>
        <v/>
      </c>
      <c r="B79" s="15">
        <f>IF(COUNTIF('Résultats des tournois'!B79,"&lt;&gt;")&lt;=5,32,IF(COUNTIF('Résultats des tournois'!B79,"&lt;&gt;")&lt;=15,24,16))</f>
        <v>32</v>
      </c>
      <c r="C79" s="15">
        <f>IF(COUNTIF('Résultats des tournois'!$B79:'Résultats des tournois'!C79,"&lt;&gt;")&lt;=5,32,IF(COUNTIF('Résultats des tournois'!$B79:'Résultats des tournois'!C79,"&lt;&gt;")&lt;=15,24,16))</f>
        <v>32</v>
      </c>
      <c r="D79" s="15">
        <f>IF(COUNTIF('Résultats des tournois'!$B79:'Résultats des tournois'!D79,"&lt;&gt;")&lt;=5,32,IF(COUNTIF('Résultats des tournois'!$B79:'Résultats des tournois'!D79,"&lt;&gt;")&lt;=15,24,16))</f>
        <v>32</v>
      </c>
      <c r="E79" s="15">
        <f>IF(COUNTIF('Résultats des tournois'!$B79:'Résultats des tournois'!E79,"&lt;&gt;")&lt;=5,32,IF(COUNTIF('Résultats des tournois'!$B79:'Résultats des tournois'!E79,"&lt;&gt;")&lt;=15,24,16))</f>
        <v>32</v>
      </c>
      <c r="F79" s="15">
        <f>IF(COUNTIF('Résultats des tournois'!$B79:'Résultats des tournois'!F79,"&lt;&gt;")&lt;=5,32,IF(COUNTIF('Résultats des tournois'!$B79:'Résultats des tournois'!F79,"&lt;&gt;")&lt;=15,24,16))</f>
        <v>32</v>
      </c>
      <c r="G79" s="15">
        <f>IF(COUNTIF('Résultats des tournois'!$B79:'Résultats des tournois'!G79,"&lt;&gt;")&lt;=5,32,IF(COUNTIF('Résultats des tournois'!$B79:'Résultats des tournois'!G79,"&lt;&gt;")&lt;=15,24,16))</f>
        <v>32</v>
      </c>
      <c r="H79" s="15">
        <f>IF(COUNTIF('Résultats des tournois'!$B79:'Résultats des tournois'!H79,"&lt;&gt;")&lt;=5,32,IF(COUNTIF('Résultats des tournois'!$B79:'Résultats des tournois'!H79,"&lt;&gt;")&lt;=15,24,16))</f>
        <v>32</v>
      </c>
      <c r="I79" s="15">
        <f>IF(COUNTIF('Résultats des tournois'!$B79:'Résultats des tournois'!I79,"&lt;&gt;")&lt;=5,32,IF(COUNTIF('Résultats des tournois'!$B79:'Résultats des tournois'!I79,"&lt;&gt;")&lt;=15,24,16))</f>
        <v>32</v>
      </c>
      <c r="J79" s="15">
        <f>IF(COUNTIF('Résultats des tournois'!$B79:'Résultats des tournois'!J79,"&lt;&gt;")&lt;=5,32,IF(COUNTIF('Résultats des tournois'!$B79:'Résultats des tournois'!J79,"&lt;&gt;")&lt;=15,24,16))</f>
        <v>32</v>
      </c>
      <c r="K79" s="15">
        <f>IF(COUNTIF('Résultats des tournois'!$B79:'Résultats des tournois'!K79,"&lt;&gt;")&lt;=5,32,IF(COUNTIF('Résultats des tournois'!$B79:'Résultats des tournois'!K79,"&lt;&gt;")&lt;=15,24,16))</f>
        <v>32</v>
      </c>
      <c r="L79" s="15">
        <f>IF(COUNTIF('Résultats des tournois'!$B79:'Résultats des tournois'!L79,"&lt;&gt;")&lt;=5,32,IF(COUNTIF('Résultats des tournois'!$B79:'Résultats des tournois'!L79,"&lt;&gt;")&lt;=15,24,16))</f>
        <v>32</v>
      </c>
      <c r="M79" s="15">
        <f>IF(COUNTIF('Résultats des tournois'!$B79:'Résultats des tournois'!M79,"&lt;&gt;")&lt;=5,32,IF(COUNTIF('Résultats des tournois'!$B79:'Résultats des tournois'!M79,"&lt;&gt;")&lt;=15,24,16))</f>
        <v>32</v>
      </c>
      <c r="N79" s="15">
        <f>IF(COUNTIF('Résultats des tournois'!$B79:'Résultats des tournois'!N79,"&lt;&gt;")&lt;=5,32,IF(COUNTIF('Résultats des tournois'!$B79:'Résultats des tournois'!N79,"&lt;&gt;")&lt;=15,24,16))</f>
        <v>32</v>
      </c>
      <c r="O79" s="15">
        <f>IF(COUNTIF('Résultats des tournois'!$B79:'Résultats des tournois'!O79,"&lt;&gt;")&lt;=5,32,IF(COUNTIF('Résultats des tournois'!$B79:'Résultats des tournois'!O79,"&lt;&gt;")&lt;=15,24,16))</f>
        <v>32</v>
      </c>
      <c r="P79" s="15">
        <f>IF(COUNTIF('Résultats des tournois'!$B79:'Résultats des tournois'!P79,"&lt;&gt;")&lt;=5,32,IF(COUNTIF('Résultats des tournois'!$B79:'Résultats des tournois'!P79,"&lt;&gt;")&lt;=15,24,16))</f>
        <v>32</v>
      </c>
      <c r="Q79" s="15">
        <f>IF(COUNTIF('Résultats des tournois'!$B79:'Résultats des tournois'!Q79,"&lt;&gt;")&lt;=5,32,IF(COUNTIF('Résultats des tournois'!$B79:'Résultats des tournois'!Q79,"&lt;&gt;")&lt;=15,24,16))</f>
        <v>32</v>
      </c>
      <c r="R79" s="15">
        <f>IF(COUNTIF('Résultats des tournois'!$B79:'Résultats des tournois'!R79,"&lt;&gt;")&lt;=5,32,IF(COUNTIF('Résultats des tournois'!$B79:'Résultats des tournois'!R79,"&lt;&gt;")&lt;=15,24,16))</f>
        <v>32</v>
      </c>
      <c r="S79" s="15">
        <f>IF(COUNTIF('Résultats des tournois'!$B79:'Résultats des tournois'!S79,"&lt;&gt;")&lt;=5,32,IF(COUNTIF('Résultats des tournois'!$B79:'Résultats des tournois'!S79,"&lt;&gt;")&lt;=15,24,16))</f>
        <v>32</v>
      </c>
      <c r="T79" s="15">
        <f>IF(COUNTIF('Résultats des tournois'!$B79:'Résultats des tournois'!T79,"&lt;&gt;")&lt;=5,32,IF(COUNTIF('Résultats des tournois'!$B79:'Résultats des tournois'!T79,"&lt;&gt;")&lt;=15,24,16))</f>
        <v>32</v>
      </c>
      <c r="U79" s="15">
        <f>IF(COUNTIF('Résultats des tournois'!$B79:'Résultats des tournois'!U79,"&lt;&gt;")&lt;=5,32,IF(COUNTIF('Résultats des tournois'!$B79:'Résultats des tournois'!U79,"&lt;&gt;")&lt;=15,24,16))</f>
        <v>32</v>
      </c>
      <c r="V79" s="15">
        <f>IF(COUNTIF('Résultats des tournois'!$B79:'Résultats des tournois'!V79,"&lt;&gt;")&lt;=5,32,IF(COUNTIF('Résultats des tournois'!$B79:'Résultats des tournois'!V79,"&lt;&gt;")&lt;=15,24,16))</f>
        <v>32</v>
      </c>
      <c r="W79" s="15">
        <f>IF(COUNTIF('Résultats des tournois'!$B79:'Résultats des tournois'!W79,"&lt;&gt;")&lt;=5,32,IF(COUNTIF('Résultats des tournois'!$B79:'Résultats des tournois'!W79,"&lt;&gt;")&lt;=15,24,16))</f>
        <v>32</v>
      </c>
      <c r="X79" s="15">
        <f>IF(COUNTIF('Résultats des tournois'!$B79:'Résultats des tournois'!X79,"&lt;&gt;")&lt;=5,32,IF(COUNTIF('Résultats des tournois'!$B79:'Résultats des tournois'!X79,"&lt;&gt;")&lt;=15,24,16))</f>
        <v>32</v>
      </c>
      <c r="Y79" s="15">
        <f>IF(COUNTIF('Résultats des tournois'!$B79:'Résultats des tournois'!Y79,"&lt;&gt;")&lt;=5,32,IF(COUNTIF('Résultats des tournois'!$B79:'Résultats des tournois'!Y79,"&lt;&gt;")&lt;=15,24,16))</f>
        <v>32</v>
      </c>
      <c r="Z79" s="15">
        <f>IF(COUNTIF('Résultats des tournois'!$B79:'Résultats des tournois'!Z79,"&lt;&gt;")&lt;=5,32,IF(COUNTIF('Résultats des tournois'!$B79:'Résultats des tournois'!Z79,"&lt;&gt;")&lt;=15,24,16))</f>
        <v>32</v>
      </c>
      <c r="AA79" s="15">
        <f>IF(COUNTIF('Résultats des tournois'!$B79:'Résultats des tournois'!AA79,"&lt;&gt;")&lt;=5,32,IF(COUNTIF('Résultats des tournois'!$B79:'Résultats des tournois'!AA79,"&lt;&gt;")&lt;=15,24,16))</f>
        <v>32</v>
      </c>
      <c r="AB79" s="15">
        <f>IF(COUNTIF('Résultats des tournois'!$B79:'Résultats des tournois'!AB79,"&lt;&gt;")&lt;=5,32,IF(COUNTIF('Résultats des tournois'!$B79:'Résultats des tournois'!AB79,"&lt;&gt;")&lt;=15,24,16))</f>
        <v>32</v>
      </c>
      <c r="AC79" s="15">
        <f>IF(COUNTIF('Résultats des tournois'!$B79:'Résultats des tournois'!AC79,"&lt;&gt;")&lt;=5,32,IF(COUNTIF('Résultats des tournois'!$B79:'Résultats des tournois'!AC79,"&lt;&gt;")&lt;=15,24,16))</f>
        <v>32</v>
      </c>
      <c r="AD79" s="15">
        <f>IF(COUNTIF('Résultats des tournois'!$B79:'Résultats des tournois'!AD79,"&lt;&gt;")&lt;=5,32,IF(COUNTIF('Résultats des tournois'!$B79:'Résultats des tournois'!AD79,"&lt;&gt;")&lt;=15,24,16))</f>
        <v>32</v>
      </c>
      <c r="AE79" s="15">
        <f>IF(COUNTIF('Résultats des tournois'!$B79:'Résultats des tournois'!AE79,"&lt;&gt;")&lt;=5,32,IF(COUNTIF('Résultats des tournois'!$B79:'Résultats des tournois'!AE79,"&lt;&gt;")&lt;=15,24,16))</f>
        <v>32</v>
      </c>
      <c r="AF79" s="15">
        <f>IF(COUNTIF('Résultats des tournois'!$B79:'Résultats des tournois'!AF79,"&lt;&gt;")&lt;=5,32,IF(COUNTIF('Résultats des tournois'!$B79:'Résultats des tournois'!AF79,"&lt;&gt;")&lt;=15,24,16))</f>
        <v>32</v>
      </c>
      <c r="AG79" s="15">
        <f>IF(COUNTIF('Résultats des tournois'!$B79:'Résultats des tournois'!AG79,"&lt;&gt;")&lt;=5,32,IF(COUNTIF('Résultats des tournois'!$B79:'Résultats des tournois'!AG79,"&lt;&gt;")&lt;=15,24,16))</f>
        <v>32</v>
      </c>
      <c r="AH79" s="15">
        <f>IF(COUNTIF('Résultats des tournois'!$B79:'Résultats des tournois'!AH79,"&lt;&gt;")&lt;=5,32,IF(COUNTIF('Résultats des tournois'!$B79:'Résultats des tournois'!AH79,"&lt;&gt;")&lt;=15,24,16))</f>
        <v>32</v>
      </c>
      <c r="AI79" s="15">
        <f>IF(COUNTIF('Résultats des tournois'!$B79:'Résultats des tournois'!AI79,"&lt;&gt;")&lt;=5,32,IF(COUNTIF('Résultats des tournois'!$B79:'Résultats des tournois'!AI79,"&lt;&gt;")&lt;=15,24,16))</f>
        <v>32</v>
      </c>
      <c r="AJ79" s="15">
        <f>IF(COUNTIF('Résultats des tournois'!$B79:'Résultats des tournois'!AJ79,"&lt;&gt;")&lt;=5,32,IF(COUNTIF('Résultats des tournois'!$B79:'Résultats des tournois'!AJ79,"&lt;&gt;")&lt;=15,24,16))</f>
        <v>32</v>
      </c>
      <c r="AK79" s="15">
        <f>IF(COUNTIF('Résultats des tournois'!$B79:'Résultats des tournois'!AK79,"&lt;&gt;")&lt;=5,32,IF(COUNTIF('Résultats des tournois'!$B79:'Résultats des tournois'!AK79,"&lt;&gt;")&lt;=15,24,16))</f>
        <v>32</v>
      </c>
      <c r="AL79" s="15">
        <f>IF(COUNTIF('Résultats des tournois'!$B79:'Résultats des tournois'!AL79,"&lt;&gt;")&lt;=5,32,IF(COUNTIF('Résultats des tournois'!$B79:'Résultats des tournois'!AL79,"&lt;&gt;")&lt;=15,24,16))</f>
        <v>32</v>
      </c>
      <c r="AM79" s="15">
        <f>IF(COUNTIF('Résultats des tournois'!$B79:'Résultats des tournois'!AM79,"&lt;&gt;")&lt;=5,32,IF(COUNTIF('Résultats des tournois'!$B79:'Résultats des tournois'!AM79,"&lt;&gt;")&lt;=15,24,16))</f>
        <v>32</v>
      </c>
      <c r="AN79" s="15">
        <f>IF(COUNTIF('Résultats des tournois'!$B79:'Résultats des tournois'!AN79,"&lt;&gt;")&lt;=5,32,IF(COUNTIF('Résultats des tournois'!$B79:'Résultats des tournois'!AN79,"&lt;&gt;")&lt;=15,24,16))</f>
        <v>32</v>
      </c>
      <c r="AO79" s="15">
        <f>IF(COUNTIF('Résultats des tournois'!$B79:'Résultats des tournois'!AO79,"&lt;&gt;")&lt;=5,32,IF(COUNTIF('Résultats des tournois'!$B79:'Résultats des tournois'!AO79,"&lt;&gt;")&lt;=15,24,16))</f>
        <v>32</v>
      </c>
      <c r="AP79" s="15">
        <f>IF(COUNTIF('Résultats des tournois'!$B79:'Résultats des tournois'!AP79,"&lt;&gt;")&lt;=5,32,IF(COUNTIF('Résultats des tournois'!$B79:'Résultats des tournois'!AP79,"&lt;&gt;")&lt;=15,24,16))</f>
        <v>32</v>
      </c>
      <c r="AQ79" s="15">
        <f>IF(COUNTIF('Résultats des tournois'!$B79:'Résultats des tournois'!AQ79,"&lt;&gt;")&lt;=5,32,IF(COUNTIF('Résultats des tournois'!$B79:'Résultats des tournois'!AQ79,"&lt;&gt;")&lt;=15,24,16))</f>
        <v>32</v>
      </c>
      <c r="AR79" s="15">
        <f>IF(COUNTIF('Résultats des tournois'!$B79:'Résultats des tournois'!AR79,"&lt;&gt;")&lt;=5,32,IF(COUNTIF('Résultats des tournois'!$B79:'Résultats des tournois'!AR79,"&lt;&gt;")&lt;=15,24,16))</f>
        <v>32</v>
      </c>
      <c r="AS79" s="15">
        <f>IF(COUNTIF('Résultats des tournois'!$B79:'Résultats des tournois'!AS79,"&lt;&gt;")&lt;=5,32,IF(COUNTIF('Résultats des tournois'!$B79:'Résultats des tournois'!AS79,"&lt;&gt;")&lt;=15,24,16))</f>
        <v>32</v>
      </c>
      <c r="AT79" s="15">
        <f>IF(COUNTIF('Résultats des tournois'!$B79:'Résultats des tournois'!AT79,"&lt;&gt;")&lt;=5,32,IF(COUNTIF('Résultats des tournois'!$B79:'Résultats des tournois'!AT79,"&lt;&gt;")&lt;=15,24,16))</f>
        <v>32</v>
      </c>
      <c r="AU79" s="15">
        <f>IF(COUNTIF('Résultats des tournois'!$B79:'Résultats des tournois'!AU79,"&lt;&gt;")&lt;=5,32,IF(COUNTIF('Résultats des tournois'!$B79:'Résultats des tournois'!AU79,"&lt;&gt;")&lt;=15,24,16))</f>
        <v>32</v>
      </c>
      <c r="AV79" s="15">
        <f>IF(COUNTIF('Résultats des tournois'!$B79:'Résultats des tournois'!AV79,"&lt;&gt;")&lt;=5,32,IF(COUNTIF('Résultats des tournois'!$B79:'Résultats des tournois'!AV79,"&lt;&gt;")&lt;=15,24,16))</f>
        <v>32</v>
      </c>
      <c r="AW79" s="15">
        <f>IF(COUNTIF('Résultats des tournois'!$B79:'Résultats des tournois'!AW79,"&lt;&gt;")&lt;=5,32,IF(COUNTIF('Résultats des tournois'!$B79:'Résultats des tournois'!AW79,"&lt;&gt;")&lt;=15,24,16))</f>
        <v>32</v>
      </c>
      <c r="AX79" s="15">
        <f>IF(COUNTIF('Résultats des tournois'!$B79:'Résultats des tournois'!AX79,"&lt;&gt;")&lt;=5,32,IF(COUNTIF('Résultats des tournois'!$B79:'Résultats des tournois'!AX79,"&lt;&gt;")&lt;=15,24,16))</f>
        <v>32</v>
      </c>
    </row>
    <row r="80" ht="14.25" customHeight="1">
      <c r="A80" s="15" t="str">
        <f>IF('Résultats des tournois'!A80="","",'Résultats des tournois'!A80)</f>
        <v/>
      </c>
      <c r="B80" s="15">
        <f>IF(COUNTIF('Résultats des tournois'!B80,"&lt;&gt;")&lt;=5,32,IF(COUNTIF('Résultats des tournois'!B80,"&lt;&gt;")&lt;=15,24,16))</f>
        <v>32</v>
      </c>
      <c r="C80" s="15">
        <f>IF(COUNTIF('Résultats des tournois'!$B80:'Résultats des tournois'!C80,"&lt;&gt;")&lt;=5,32,IF(COUNTIF('Résultats des tournois'!$B80:'Résultats des tournois'!C80,"&lt;&gt;")&lt;=15,24,16))</f>
        <v>32</v>
      </c>
      <c r="D80" s="15">
        <f>IF(COUNTIF('Résultats des tournois'!$B80:'Résultats des tournois'!D80,"&lt;&gt;")&lt;=5,32,IF(COUNTIF('Résultats des tournois'!$B80:'Résultats des tournois'!D80,"&lt;&gt;")&lt;=15,24,16))</f>
        <v>32</v>
      </c>
      <c r="E80" s="15">
        <f>IF(COUNTIF('Résultats des tournois'!$B80:'Résultats des tournois'!E80,"&lt;&gt;")&lt;=5,32,IF(COUNTIF('Résultats des tournois'!$B80:'Résultats des tournois'!E80,"&lt;&gt;")&lt;=15,24,16))</f>
        <v>32</v>
      </c>
      <c r="F80" s="15">
        <f>IF(COUNTIF('Résultats des tournois'!$B80:'Résultats des tournois'!F80,"&lt;&gt;")&lt;=5,32,IF(COUNTIF('Résultats des tournois'!$B80:'Résultats des tournois'!F80,"&lt;&gt;")&lt;=15,24,16))</f>
        <v>32</v>
      </c>
      <c r="G80" s="15">
        <f>IF(COUNTIF('Résultats des tournois'!$B80:'Résultats des tournois'!G80,"&lt;&gt;")&lt;=5,32,IF(COUNTIF('Résultats des tournois'!$B80:'Résultats des tournois'!G80,"&lt;&gt;")&lt;=15,24,16))</f>
        <v>32</v>
      </c>
      <c r="H80" s="15">
        <f>IF(COUNTIF('Résultats des tournois'!$B80:'Résultats des tournois'!H80,"&lt;&gt;")&lt;=5,32,IF(COUNTIF('Résultats des tournois'!$B80:'Résultats des tournois'!H80,"&lt;&gt;")&lt;=15,24,16))</f>
        <v>32</v>
      </c>
      <c r="I80" s="15">
        <f>IF(COUNTIF('Résultats des tournois'!$B80:'Résultats des tournois'!I80,"&lt;&gt;")&lt;=5,32,IF(COUNTIF('Résultats des tournois'!$B80:'Résultats des tournois'!I80,"&lt;&gt;")&lt;=15,24,16))</f>
        <v>32</v>
      </c>
      <c r="J80" s="15">
        <f>IF(COUNTIF('Résultats des tournois'!$B80:'Résultats des tournois'!J80,"&lt;&gt;")&lt;=5,32,IF(COUNTIF('Résultats des tournois'!$B80:'Résultats des tournois'!J80,"&lt;&gt;")&lt;=15,24,16))</f>
        <v>32</v>
      </c>
      <c r="K80" s="15">
        <f>IF(COUNTIF('Résultats des tournois'!$B80:'Résultats des tournois'!K80,"&lt;&gt;")&lt;=5,32,IF(COUNTIF('Résultats des tournois'!$B80:'Résultats des tournois'!K80,"&lt;&gt;")&lt;=15,24,16))</f>
        <v>32</v>
      </c>
      <c r="L80" s="15">
        <f>IF(COUNTIF('Résultats des tournois'!$B80:'Résultats des tournois'!L80,"&lt;&gt;")&lt;=5,32,IF(COUNTIF('Résultats des tournois'!$B80:'Résultats des tournois'!L80,"&lt;&gt;")&lt;=15,24,16))</f>
        <v>32</v>
      </c>
      <c r="M80" s="15">
        <f>IF(COUNTIF('Résultats des tournois'!$B80:'Résultats des tournois'!M80,"&lt;&gt;")&lt;=5,32,IF(COUNTIF('Résultats des tournois'!$B80:'Résultats des tournois'!M80,"&lt;&gt;")&lt;=15,24,16))</f>
        <v>32</v>
      </c>
      <c r="N80" s="15">
        <f>IF(COUNTIF('Résultats des tournois'!$B80:'Résultats des tournois'!N80,"&lt;&gt;")&lt;=5,32,IF(COUNTIF('Résultats des tournois'!$B80:'Résultats des tournois'!N80,"&lt;&gt;")&lt;=15,24,16))</f>
        <v>32</v>
      </c>
      <c r="O80" s="15">
        <f>IF(COUNTIF('Résultats des tournois'!$B80:'Résultats des tournois'!O80,"&lt;&gt;")&lt;=5,32,IF(COUNTIF('Résultats des tournois'!$B80:'Résultats des tournois'!O80,"&lt;&gt;")&lt;=15,24,16))</f>
        <v>32</v>
      </c>
      <c r="P80" s="15">
        <f>IF(COUNTIF('Résultats des tournois'!$B80:'Résultats des tournois'!P80,"&lt;&gt;")&lt;=5,32,IF(COUNTIF('Résultats des tournois'!$B80:'Résultats des tournois'!P80,"&lt;&gt;")&lt;=15,24,16))</f>
        <v>32</v>
      </c>
      <c r="Q80" s="15">
        <f>IF(COUNTIF('Résultats des tournois'!$B80:'Résultats des tournois'!Q80,"&lt;&gt;")&lt;=5,32,IF(COUNTIF('Résultats des tournois'!$B80:'Résultats des tournois'!Q80,"&lt;&gt;")&lt;=15,24,16))</f>
        <v>32</v>
      </c>
      <c r="R80" s="15">
        <f>IF(COUNTIF('Résultats des tournois'!$B80:'Résultats des tournois'!R80,"&lt;&gt;")&lt;=5,32,IF(COUNTIF('Résultats des tournois'!$B80:'Résultats des tournois'!R80,"&lt;&gt;")&lt;=15,24,16))</f>
        <v>32</v>
      </c>
      <c r="S80" s="15">
        <f>IF(COUNTIF('Résultats des tournois'!$B80:'Résultats des tournois'!S80,"&lt;&gt;")&lt;=5,32,IF(COUNTIF('Résultats des tournois'!$B80:'Résultats des tournois'!S80,"&lt;&gt;")&lt;=15,24,16))</f>
        <v>32</v>
      </c>
      <c r="T80" s="15">
        <f>IF(COUNTIF('Résultats des tournois'!$B80:'Résultats des tournois'!T80,"&lt;&gt;")&lt;=5,32,IF(COUNTIF('Résultats des tournois'!$B80:'Résultats des tournois'!T80,"&lt;&gt;")&lt;=15,24,16))</f>
        <v>32</v>
      </c>
      <c r="U80" s="15">
        <f>IF(COUNTIF('Résultats des tournois'!$B80:'Résultats des tournois'!U80,"&lt;&gt;")&lt;=5,32,IF(COUNTIF('Résultats des tournois'!$B80:'Résultats des tournois'!U80,"&lt;&gt;")&lt;=15,24,16))</f>
        <v>32</v>
      </c>
      <c r="V80" s="15">
        <f>IF(COUNTIF('Résultats des tournois'!$B80:'Résultats des tournois'!V80,"&lt;&gt;")&lt;=5,32,IF(COUNTIF('Résultats des tournois'!$B80:'Résultats des tournois'!V80,"&lt;&gt;")&lt;=15,24,16))</f>
        <v>32</v>
      </c>
      <c r="W80" s="15">
        <f>IF(COUNTIF('Résultats des tournois'!$B80:'Résultats des tournois'!W80,"&lt;&gt;")&lt;=5,32,IF(COUNTIF('Résultats des tournois'!$B80:'Résultats des tournois'!W80,"&lt;&gt;")&lt;=15,24,16))</f>
        <v>32</v>
      </c>
      <c r="X80" s="15">
        <f>IF(COUNTIF('Résultats des tournois'!$B80:'Résultats des tournois'!X80,"&lt;&gt;")&lt;=5,32,IF(COUNTIF('Résultats des tournois'!$B80:'Résultats des tournois'!X80,"&lt;&gt;")&lt;=15,24,16))</f>
        <v>32</v>
      </c>
      <c r="Y80" s="15">
        <f>IF(COUNTIF('Résultats des tournois'!$B80:'Résultats des tournois'!Y80,"&lt;&gt;")&lt;=5,32,IF(COUNTIF('Résultats des tournois'!$B80:'Résultats des tournois'!Y80,"&lt;&gt;")&lt;=15,24,16))</f>
        <v>32</v>
      </c>
      <c r="Z80" s="15">
        <f>IF(COUNTIF('Résultats des tournois'!$B80:'Résultats des tournois'!Z80,"&lt;&gt;")&lt;=5,32,IF(COUNTIF('Résultats des tournois'!$B80:'Résultats des tournois'!Z80,"&lt;&gt;")&lt;=15,24,16))</f>
        <v>32</v>
      </c>
      <c r="AA80" s="15">
        <f>IF(COUNTIF('Résultats des tournois'!$B80:'Résultats des tournois'!AA80,"&lt;&gt;")&lt;=5,32,IF(COUNTIF('Résultats des tournois'!$B80:'Résultats des tournois'!AA80,"&lt;&gt;")&lt;=15,24,16))</f>
        <v>32</v>
      </c>
      <c r="AB80" s="15">
        <f>IF(COUNTIF('Résultats des tournois'!$B80:'Résultats des tournois'!AB80,"&lt;&gt;")&lt;=5,32,IF(COUNTIF('Résultats des tournois'!$B80:'Résultats des tournois'!AB80,"&lt;&gt;")&lt;=15,24,16))</f>
        <v>32</v>
      </c>
      <c r="AC80" s="15">
        <f>IF(COUNTIF('Résultats des tournois'!$B80:'Résultats des tournois'!AC80,"&lt;&gt;")&lt;=5,32,IF(COUNTIF('Résultats des tournois'!$B80:'Résultats des tournois'!AC80,"&lt;&gt;")&lt;=15,24,16))</f>
        <v>32</v>
      </c>
      <c r="AD80" s="15">
        <f>IF(COUNTIF('Résultats des tournois'!$B80:'Résultats des tournois'!AD80,"&lt;&gt;")&lt;=5,32,IF(COUNTIF('Résultats des tournois'!$B80:'Résultats des tournois'!AD80,"&lt;&gt;")&lt;=15,24,16))</f>
        <v>32</v>
      </c>
      <c r="AE80" s="15">
        <f>IF(COUNTIF('Résultats des tournois'!$B80:'Résultats des tournois'!AE80,"&lt;&gt;")&lt;=5,32,IF(COUNTIF('Résultats des tournois'!$B80:'Résultats des tournois'!AE80,"&lt;&gt;")&lt;=15,24,16))</f>
        <v>32</v>
      </c>
      <c r="AF80" s="15">
        <f>IF(COUNTIF('Résultats des tournois'!$B80:'Résultats des tournois'!AF80,"&lt;&gt;")&lt;=5,32,IF(COUNTIF('Résultats des tournois'!$B80:'Résultats des tournois'!AF80,"&lt;&gt;")&lt;=15,24,16))</f>
        <v>32</v>
      </c>
      <c r="AG80" s="15">
        <f>IF(COUNTIF('Résultats des tournois'!$B80:'Résultats des tournois'!AG80,"&lt;&gt;")&lt;=5,32,IF(COUNTIF('Résultats des tournois'!$B80:'Résultats des tournois'!AG80,"&lt;&gt;")&lt;=15,24,16))</f>
        <v>32</v>
      </c>
      <c r="AH80" s="15">
        <f>IF(COUNTIF('Résultats des tournois'!$B80:'Résultats des tournois'!AH80,"&lt;&gt;")&lt;=5,32,IF(COUNTIF('Résultats des tournois'!$B80:'Résultats des tournois'!AH80,"&lt;&gt;")&lt;=15,24,16))</f>
        <v>32</v>
      </c>
      <c r="AI80" s="15">
        <f>IF(COUNTIF('Résultats des tournois'!$B80:'Résultats des tournois'!AI80,"&lt;&gt;")&lt;=5,32,IF(COUNTIF('Résultats des tournois'!$B80:'Résultats des tournois'!AI80,"&lt;&gt;")&lt;=15,24,16))</f>
        <v>32</v>
      </c>
      <c r="AJ80" s="15">
        <f>IF(COUNTIF('Résultats des tournois'!$B80:'Résultats des tournois'!AJ80,"&lt;&gt;")&lt;=5,32,IF(COUNTIF('Résultats des tournois'!$B80:'Résultats des tournois'!AJ80,"&lt;&gt;")&lt;=15,24,16))</f>
        <v>32</v>
      </c>
      <c r="AK80" s="15">
        <f>IF(COUNTIF('Résultats des tournois'!$B80:'Résultats des tournois'!AK80,"&lt;&gt;")&lt;=5,32,IF(COUNTIF('Résultats des tournois'!$B80:'Résultats des tournois'!AK80,"&lt;&gt;")&lt;=15,24,16))</f>
        <v>32</v>
      </c>
      <c r="AL80" s="15">
        <f>IF(COUNTIF('Résultats des tournois'!$B80:'Résultats des tournois'!AL80,"&lt;&gt;")&lt;=5,32,IF(COUNTIF('Résultats des tournois'!$B80:'Résultats des tournois'!AL80,"&lt;&gt;")&lt;=15,24,16))</f>
        <v>32</v>
      </c>
      <c r="AM80" s="15">
        <f>IF(COUNTIF('Résultats des tournois'!$B80:'Résultats des tournois'!AM80,"&lt;&gt;")&lt;=5,32,IF(COUNTIF('Résultats des tournois'!$B80:'Résultats des tournois'!AM80,"&lt;&gt;")&lt;=15,24,16))</f>
        <v>32</v>
      </c>
      <c r="AN80" s="15">
        <f>IF(COUNTIF('Résultats des tournois'!$B80:'Résultats des tournois'!AN80,"&lt;&gt;")&lt;=5,32,IF(COUNTIF('Résultats des tournois'!$B80:'Résultats des tournois'!AN80,"&lt;&gt;")&lt;=15,24,16))</f>
        <v>32</v>
      </c>
      <c r="AO80" s="15">
        <f>IF(COUNTIF('Résultats des tournois'!$B80:'Résultats des tournois'!AO80,"&lt;&gt;")&lt;=5,32,IF(COUNTIF('Résultats des tournois'!$B80:'Résultats des tournois'!AO80,"&lt;&gt;")&lt;=15,24,16))</f>
        <v>32</v>
      </c>
      <c r="AP80" s="15">
        <f>IF(COUNTIF('Résultats des tournois'!$B80:'Résultats des tournois'!AP80,"&lt;&gt;")&lt;=5,32,IF(COUNTIF('Résultats des tournois'!$B80:'Résultats des tournois'!AP80,"&lt;&gt;")&lt;=15,24,16))</f>
        <v>32</v>
      </c>
      <c r="AQ80" s="15">
        <f>IF(COUNTIF('Résultats des tournois'!$B80:'Résultats des tournois'!AQ80,"&lt;&gt;")&lt;=5,32,IF(COUNTIF('Résultats des tournois'!$B80:'Résultats des tournois'!AQ80,"&lt;&gt;")&lt;=15,24,16))</f>
        <v>32</v>
      </c>
      <c r="AR80" s="15">
        <f>IF(COUNTIF('Résultats des tournois'!$B80:'Résultats des tournois'!AR80,"&lt;&gt;")&lt;=5,32,IF(COUNTIF('Résultats des tournois'!$B80:'Résultats des tournois'!AR80,"&lt;&gt;")&lt;=15,24,16))</f>
        <v>32</v>
      </c>
      <c r="AS80" s="15">
        <f>IF(COUNTIF('Résultats des tournois'!$B80:'Résultats des tournois'!AS80,"&lt;&gt;")&lt;=5,32,IF(COUNTIF('Résultats des tournois'!$B80:'Résultats des tournois'!AS80,"&lt;&gt;")&lt;=15,24,16))</f>
        <v>32</v>
      </c>
      <c r="AT80" s="15">
        <f>IF(COUNTIF('Résultats des tournois'!$B80:'Résultats des tournois'!AT80,"&lt;&gt;")&lt;=5,32,IF(COUNTIF('Résultats des tournois'!$B80:'Résultats des tournois'!AT80,"&lt;&gt;")&lt;=15,24,16))</f>
        <v>32</v>
      </c>
      <c r="AU80" s="15">
        <f>IF(COUNTIF('Résultats des tournois'!$B80:'Résultats des tournois'!AU80,"&lt;&gt;")&lt;=5,32,IF(COUNTIF('Résultats des tournois'!$B80:'Résultats des tournois'!AU80,"&lt;&gt;")&lt;=15,24,16))</f>
        <v>32</v>
      </c>
      <c r="AV80" s="15">
        <f>IF(COUNTIF('Résultats des tournois'!$B80:'Résultats des tournois'!AV80,"&lt;&gt;")&lt;=5,32,IF(COUNTIF('Résultats des tournois'!$B80:'Résultats des tournois'!AV80,"&lt;&gt;")&lt;=15,24,16))</f>
        <v>32</v>
      </c>
      <c r="AW80" s="15">
        <f>IF(COUNTIF('Résultats des tournois'!$B80:'Résultats des tournois'!AW80,"&lt;&gt;")&lt;=5,32,IF(COUNTIF('Résultats des tournois'!$B80:'Résultats des tournois'!AW80,"&lt;&gt;")&lt;=15,24,16))</f>
        <v>32</v>
      </c>
      <c r="AX80" s="15">
        <f>IF(COUNTIF('Résultats des tournois'!$B80:'Résultats des tournois'!AX80,"&lt;&gt;")&lt;=5,32,IF(COUNTIF('Résultats des tournois'!$B80:'Résultats des tournois'!AX80,"&lt;&gt;")&lt;=15,24,16))</f>
        <v>32</v>
      </c>
    </row>
    <row r="81" ht="14.25" customHeight="1">
      <c r="A81" s="15" t="str">
        <f>IF('Résultats des tournois'!A81="","",'Résultats des tournois'!A81)</f>
        <v/>
      </c>
      <c r="B81" s="15">
        <f>IF(COUNTIF('Résultats des tournois'!B81,"&lt;&gt;")&lt;=5,32,IF(COUNTIF('Résultats des tournois'!B81,"&lt;&gt;")&lt;=15,24,16))</f>
        <v>32</v>
      </c>
      <c r="C81" s="15">
        <f>IF(COUNTIF('Résultats des tournois'!$B81:'Résultats des tournois'!C81,"&lt;&gt;")&lt;=5,32,IF(COUNTIF('Résultats des tournois'!$B81:'Résultats des tournois'!C81,"&lt;&gt;")&lt;=15,24,16))</f>
        <v>32</v>
      </c>
      <c r="D81" s="15">
        <f>IF(COUNTIF('Résultats des tournois'!$B81:'Résultats des tournois'!D81,"&lt;&gt;")&lt;=5,32,IF(COUNTIF('Résultats des tournois'!$B81:'Résultats des tournois'!D81,"&lt;&gt;")&lt;=15,24,16))</f>
        <v>32</v>
      </c>
      <c r="E81" s="15">
        <f>IF(COUNTIF('Résultats des tournois'!$B81:'Résultats des tournois'!E81,"&lt;&gt;")&lt;=5,32,IF(COUNTIF('Résultats des tournois'!$B81:'Résultats des tournois'!E81,"&lt;&gt;")&lt;=15,24,16))</f>
        <v>32</v>
      </c>
      <c r="F81" s="15">
        <f>IF(COUNTIF('Résultats des tournois'!$B81:'Résultats des tournois'!F81,"&lt;&gt;")&lt;=5,32,IF(COUNTIF('Résultats des tournois'!$B81:'Résultats des tournois'!F81,"&lt;&gt;")&lt;=15,24,16))</f>
        <v>32</v>
      </c>
      <c r="G81" s="15">
        <f>IF(COUNTIF('Résultats des tournois'!$B81:'Résultats des tournois'!G81,"&lt;&gt;")&lt;=5,32,IF(COUNTIF('Résultats des tournois'!$B81:'Résultats des tournois'!G81,"&lt;&gt;")&lt;=15,24,16))</f>
        <v>32</v>
      </c>
      <c r="H81" s="15">
        <f>IF(COUNTIF('Résultats des tournois'!$B81:'Résultats des tournois'!H81,"&lt;&gt;")&lt;=5,32,IF(COUNTIF('Résultats des tournois'!$B81:'Résultats des tournois'!H81,"&lt;&gt;")&lt;=15,24,16))</f>
        <v>32</v>
      </c>
      <c r="I81" s="15">
        <f>IF(COUNTIF('Résultats des tournois'!$B81:'Résultats des tournois'!I81,"&lt;&gt;")&lt;=5,32,IF(COUNTIF('Résultats des tournois'!$B81:'Résultats des tournois'!I81,"&lt;&gt;")&lt;=15,24,16))</f>
        <v>32</v>
      </c>
      <c r="J81" s="15">
        <f>IF(COUNTIF('Résultats des tournois'!$B81:'Résultats des tournois'!J81,"&lt;&gt;")&lt;=5,32,IF(COUNTIF('Résultats des tournois'!$B81:'Résultats des tournois'!J81,"&lt;&gt;")&lt;=15,24,16))</f>
        <v>32</v>
      </c>
      <c r="K81" s="15">
        <f>IF(COUNTIF('Résultats des tournois'!$B81:'Résultats des tournois'!K81,"&lt;&gt;")&lt;=5,32,IF(COUNTIF('Résultats des tournois'!$B81:'Résultats des tournois'!K81,"&lt;&gt;")&lt;=15,24,16))</f>
        <v>32</v>
      </c>
      <c r="L81" s="15">
        <f>IF(COUNTIF('Résultats des tournois'!$B81:'Résultats des tournois'!L81,"&lt;&gt;")&lt;=5,32,IF(COUNTIF('Résultats des tournois'!$B81:'Résultats des tournois'!L81,"&lt;&gt;")&lt;=15,24,16))</f>
        <v>32</v>
      </c>
      <c r="M81" s="15">
        <f>IF(COUNTIF('Résultats des tournois'!$B81:'Résultats des tournois'!M81,"&lt;&gt;")&lt;=5,32,IF(COUNTIF('Résultats des tournois'!$B81:'Résultats des tournois'!M81,"&lt;&gt;")&lt;=15,24,16))</f>
        <v>32</v>
      </c>
      <c r="N81" s="15">
        <f>IF(COUNTIF('Résultats des tournois'!$B81:'Résultats des tournois'!N81,"&lt;&gt;")&lt;=5,32,IF(COUNTIF('Résultats des tournois'!$B81:'Résultats des tournois'!N81,"&lt;&gt;")&lt;=15,24,16))</f>
        <v>32</v>
      </c>
      <c r="O81" s="15">
        <f>IF(COUNTIF('Résultats des tournois'!$B81:'Résultats des tournois'!O81,"&lt;&gt;")&lt;=5,32,IF(COUNTIF('Résultats des tournois'!$B81:'Résultats des tournois'!O81,"&lt;&gt;")&lt;=15,24,16))</f>
        <v>32</v>
      </c>
      <c r="P81" s="15">
        <f>IF(COUNTIF('Résultats des tournois'!$B81:'Résultats des tournois'!P81,"&lt;&gt;")&lt;=5,32,IF(COUNTIF('Résultats des tournois'!$B81:'Résultats des tournois'!P81,"&lt;&gt;")&lt;=15,24,16))</f>
        <v>32</v>
      </c>
      <c r="Q81" s="15">
        <f>IF(COUNTIF('Résultats des tournois'!$B81:'Résultats des tournois'!Q81,"&lt;&gt;")&lt;=5,32,IF(COUNTIF('Résultats des tournois'!$B81:'Résultats des tournois'!Q81,"&lt;&gt;")&lt;=15,24,16))</f>
        <v>32</v>
      </c>
      <c r="R81" s="15">
        <f>IF(COUNTIF('Résultats des tournois'!$B81:'Résultats des tournois'!R81,"&lt;&gt;")&lt;=5,32,IF(COUNTIF('Résultats des tournois'!$B81:'Résultats des tournois'!R81,"&lt;&gt;")&lt;=15,24,16))</f>
        <v>32</v>
      </c>
      <c r="S81" s="15">
        <f>IF(COUNTIF('Résultats des tournois'!$B81:'Résultats des tournois'!S81,"&lt;&gt;")&lt;=5,32,IF(COUNTIF('Résultats des tournois'!$B81:'Résultats des tournois'!S81,"&lt;&gt;")&lt;=15,24,16))</f>
        <v>32</v>
      </c>
      <c r="T81" s="15">
        <f>IF(COUNTIF('Résultats des tournois'!$B81:'Résultats des tournois'!T81,"&lt;&gt;")&lt;=5,32,IF(COUNTIF('Résultats des tournois'!$B81:'Résultats des tournois'!T81,"&lt;&gt;")&lt;=15,24,16))</f>
        <v>32</v>
      </c>
      <c r="U81" s="15">
        <f>IF(COUNTIF('Résultats des tournois'!$B81:'Résultats des tournois'!U81,"&lt;&gt;")&lt;=5,32,IF(COUNTIF('Résultats des tournois'!$B81:'Résultats des tournois'!U81,"&lt;&gt;")&lt;=15,24,16))</f>
        <v>32</v>
      </c>
      <c r="V81" s="15">
        <f>IF(COUNTIF('Résultats des tournois'!$B81:'Résultats des tournois'!V81,"&lt;&gt;")&lt;=5,32,IF(COUNTIF('Résultats des tournois'!$B81:'Résultats des tournois'!V81,"&lt;&gt;")&lt;=15,24,16))</f>
        <v>32</v>
      </c>
      <c r="W81" s="15">
        <f>IF(COUNTIF('Résultats des tournois'!$B81:'Résultats des tournois'!W81,"&lt;&gt;")&lt;=5,32,IF(COUNTIF('Résultats des tournois'!$B81:'Résultats des tournois'!W81,"&lt;&gt;")&lt;=15,24,16))</f>
        <v>32</v>
      </c>
      <c r="X81" s="15">
        <f>IF(COUNTIF('Résultats des tournois'!$B81:'Résultats des tournois'!X81,"&lt;&gt;")&lt;=5,32,IF(COUNTIF('Résultats des tournois'!$B81:'Résultats des tournois'!X81,"&lt;&gt;")&lt;=15,24,16))</f>
        <v>32</v>
      </c>
      <c r="Y81" s="15">
        <f>IF(COUNTIF('Résultats des tournois'!$B81:'Résultats des tournois'!Y81,"&lt;&gt;")&lt;=5,32,IF(COUNTIF('Résultats des tournois'!$B81:'Résultats des tournois'!Y81,"&lt;&gt;")&lt;=15,24,16))</f>
        <v>32</v>
      </c>
      <c r="Z81" s="15">
        <f>IF(COUNTIF('Résultats des tournois'!$B81:'Résultats des tournois'!Z81,"&lt;&gt;")&lt;=5,32,IF(COUNTIF('Résultats des tournois'!$B81:'Résultats des tournois'!Z81,"&lt;&gt;")&lt;=15,24,16))</f>
        <v>32</v>
      </c>
      <c r="AA81" s="15">
        <f>IF(COUNTIF('Résultats des tournois'!$B81:'Résultats des tournois'!AA81,"&lt;&gt;")&lt;=5,32,IF(COUNTIF('Résultats des tournois'!$B81:'Résultats des tournois'!AA81,"&lt;&gt;")&lt;=15,24,16))</f>
        <v>32</v>
      </c>
      <c r="AB81" s="15">
        <f>IF(COUNTIF('Résultats des tournois'!$B81:'Résultats des tournois'!AB81,"&lt;&gt;")&lt;=5,32,IF(COUNTIF('Résultats des tournois'!$B81:'Résultats des tournois'!AB81,"&lt;&gt;")&lt;=15,24,16))</f>
        <v>32</v>
      </c>
      <c r="AC81" s="15">
        <f>IF(COUNTIF('Résultats des tournois'!$B81:'Résultats des tournois'!AC81,"&lt;&gt;")&lt;=5,32,IF(COUNTIF('Résultats des tournois'!$B81:'Résultats des tournois'!AC81,"&lt;&gt;")&lt;=15,24,16))</f>
        <v>32</v>
      </c>
      <c r="AD81" s="15">
        <f>IF(COUNTIF('Résultats des tournois'!$B81:'Résultats des tournois'!AD81,"&lt;&gt;")&lt;=5,32,IF(COUNTIF('Résultats des tournois'!$B81:'Résultats des tournois'!AD81,"&lt;&gt;")&lt;=15,24,16))</f>
        <v>32</v>
      </c>
      <c r="AE81" s="15">
        <f>IF(COUNTIF('Résultats des tournois'!$B81:'Résultats des tournois'!AE81,"&lt;&gt;")&lt;=5,32,IF(COUNTIF('Résultats des tournois'!$B81:'Résultats des tournois'!AE81,"&lt;&gt;")&lt;=15,24,16))</f>
        <v>32</v>
      </c>
      <c r="AF81" s="15">
        <f>IF(COUNTIF('Résultats des tournois'!$B81:'Résultats des tournois'!AF81,"&lt;&gt;")&lt;=5,32,IF(COUNTIF('Résultats des tournois'!$B81:'Résultats des tournois'!AF81,"&lt;&gt;")&lt;=15,24,16))</f>
        <v>32</v>
      </c>
      <c r="AG81" s="15">
        <f>IF(COUNTIF('Résultats des tournois'!$B81:'Résultats des tournois'!AG81,"&lt;&gt;")&lt;=5,32,IF(COUNTIF('Résultats des tournois'!$B81:'Résultats des tournois'!AG81,"&lt;&gt;")&lt;=15,24,16))</f>
        <v>32</v>
      </c>
      <c r="AH81" s="15">
        <f>IF(COUNTIF('Résultats des tournois'!$B81:'Résultats des tournois'!AH81,"&lt;&gt;")&lt;=5,32,IF(COUNTIF('Résultats des tournois'!$B81:'Résultats des tournois'!AH81,"&lt;&gt;")&lt;=15,24,16))</f>
        <v>32</v>
      </c>
      <c r="AI81" s="15">
        <f>IF(COUNTIF('Résultats des tournois'!$B81:'Résultats des tournois'!AI81,"&lt;&gt;")&lt;=5,32,IF(COUNTIF('Résultats des tournois'!$B81:'Résultats des tournois'!AI81,"&lt;&gt;")&lt;=15,24,16))</f>
        <v>32</v>
      </c>
      <c r="AJ81" s="15">
        <f>IF(COUNTIF('Résultats des tournois'!$B81:'Résultats des tournois'!AJ81,"&lt;&gt;")&lt;=5,32,IF(COUNTIF('Résultats des tournois'!$B81:'Résultats des tournois'!AJ81,"&lt;&gt;")&lt;=15,24,16))</f>
        <v>32</v>
      </c>
      <c r="AK81" s="15">
        <f>IF(COUNTIF('Résultats des tournois'!$B81:'Résultats des tournois'!AK81,"&lt;&gt;")&lt;=5,32,IF(COUNTIF('Résultats des tournois'!$B81:'Résultats des tournois'!AK81,"&lt;&gt;")&lt;=15,24,16))</f>
        <v>32</v>
      </c>
      <c r="AL81" s="15">
        <f>IF(COUNTIF('Résultats des tournois'!$B81:'Résultats des tournois'!AL81,"&lt;&gt;")&lt;=5,32,IF(COUNTIF('Résultats des tournois'!$B81:'Résultats des tournois'!AL81,"&lt;&gt;")&lt;=15,24,16))</f>
        <v>32</v>
      </c>
      <c r="AM81" s="15">
        <f>IF(COUNTIF('Résultats des tournois'!$B81:'Résultats des tournois'!AM81,"&lt;&gt;")&lt;=5,32,IF(COUNTIF('Résultats des tournois'!$B81:'Résultats des tournois'!AM81,"&lt;&gt;")&lt;=15,24,16))</f>
        <v>32</v>
      </c>
      <c r="AN81" s="15">
        <f>IF(COUNTIF('Résultats des tournois'!$B81:'Résultats des tournois'!AN81,"&lt;&gt;")&lt;=5,32,IF(COUNTIF('Résultats des tournois'!$B81:'Résultats des tournois'!AN81,"&lt;&gt;")&lt;=15,24,16))</f>
        <v>32</v>
      </c>
      <c r="AO81" s="15">
        <f>IF(COUNTIF('Résultats des tournois'!$B81:'Résultats des tournois'!AO81,"&lt;&gt;")&lt;=5,32,IF(COUNTIF('Résultats des tournois'!$B81:'Résultats des tournois'!AO81,"&lt;&gt;")&lt;=15,24,16))</f>
        <v>32</v>
      </c>
      <c r="AP81" s="15">
        <f>IF(COUNTIF('Résultats des tournois'!$B81:'Résultats des tournois'!AP81,"&lt;&gt;")&lt;=5,32,IF(COUNTIF('Résultats des tournois'!$B81:'Résultats des tournois'!AP81,"&lt;&gt;")&lt;=15,24,16))</f>
        <v>32</v>
      </c>
      <c r="AQ81" s="15">
        <f>IF(COUNTIF('Résultats des tournois'!$B81:'Résultats des tournois'!AQ81,"&lt;&gt;")&lt;=5,32,IF(COUNTIF('Résultats des tournois'!$B81:'Résultats des tournois'!AQ81,"&lt;&gt;")&lt;=15,24,16))</f>
        <v>32</v>
      </c>
      <c r="AR81" s="15">
        <f>IF(COUNTIF('Résultats des tournois'!$B81:'Résultats des tournois'!AR81,"&lt;&gt;")&lt;=5,32,IF(COUNTIF('Résultats des tournois'!$B81:'Résultats des tournois'!AR81,"&lt;&gt;")&lt;=15,24,16))</f>
        <v>32</v>
      </c>
      <c r="AS81" s="15">
        <f>IF(COUNTIF('Résultats des tournois'!$B81:'Résultats des tournois'!AS81,"&lt;&gt;")&lt;=5,32,IF(COUNTIF('Résultats des tournois'!$B81:'Résultats des tournois'!AS81,"&lt;&gt;")&lt;=15,24,16))</f>
        <v>32</v>
      </c>
      <c r="AT81" s="15">
        <f>IF(COUNTIF('Résultats des tournois'!$B81:'Résultats des tournois'!AT81,"&lt;&gt;")&lt;=5,32,IF(COUNTIF('Résultats des tournois'!$B81:'Résultats des tournois'!AT81,"&lt;&gt;")&lt;=15,24,16))</f>
        <v>32</v>
      </c>
      <c r="AU81" s="15">
        <f>IF(COUNTIF('Résultats des tournois'!$B81:'Résultats des tournois'!AU81,"&lt;&gt;")&lt;=5,32,IF(COUNTIF('Résultats des tournois'!$B81:'Résultats des tournois'!AU81,"&lt;&gt;")&lt;=15,24,16))</f>
        <v>32</v>
      </c>
      <c r="AV81" s="15">
        <f>IF(COUNTIF('Résultats des tournois'!$B81:'Résultats des tournois'!AV81,"&lt;&gt;")&lt;=5,32,IF(COUNTIF('Résultats des tournois'!$B81:'Résultats des tournois'!AV81,"&lt;&gt;")&lt;=15,24,16))</f>
        <v>32</v>
      </c>
      <c r="AW81" s="15">
        <f>IF(COUNTIF('Résultats des tournois'!$B81:'Résultats des tournois'!AW81,"&lt;&gt;")&lt;=5,32,IF(COUNTIF('Résultats des tournois'!$B81:'Résultats des tournois'!AW81,"&lt;&gt;")&lt;=15,24,16))</f>
        <v>32</v>
      </c>
      <c r="AX81" s="15">
        <f>IF(COUNTIF('Résultats des tournois'!$B81:'Résultats des tournois'!AX81,"&lt;&gt;")&lt;=5,32,IF(COUNTIF('Résultats des tournois'!$B81:'Résultats des tournois'!AX81,"&lt;&gt;")&lt;=15,24,16))</f>
        <v>32</v>
      </c>
    </row>
    <row r="82" ht="14.25" customHeight="1">
      <c r="A82" s="15" t="str">
        <f>IF('Résultats des tournois'!A82="","",'Résultats des tournois'!A82)</f>
        <v/>
      </c>
      <c r="B82" s="15">
        <f>IF(COUNTIF('Résultats des tournois'!B82,"&lt;&gt;")&lt;=5,32,IF(COUNTIF('Résultats des tournois'!B82,"&lt;&gt;")&lt;=15,24,16))</f>
        <v>32</v>
      </c>
      <c r="C82" s="15">
        <f>IF(COUNTIF('Résultats des tournois'!$B82:'Résultats des tournois'!C82,"&lt;&gt;")&lt;=5,32,IF(COUNTIF('Résultats des tournois'!$B82:'Résultats des tournois'!C82,"&lt;&gt;")&lt;=15,24,16))</f>
        <v>32</v>
      </c>
      <c r="D82" s="15">
        <f>IF(COUNTIF('Résultats des tournois'!$B82:'Résultats des tournois'!D82,"&lt;&gt;")&lt;=5,32,IF(COUNTIF('Résultats des tournois'!$B82:'Résultats des tournois'!D82,"&lt;&gt;")&lt;=15,24,16))</f>
        <v>32</v>
      </c>
      <c r="E82" s="15">
        <f>IF(COUNTIF('Résultats des tournois'!$B82:'Résultats des tournois'!E82,"&lt;&gt;")&lt;=5,32,IF(COUNTIF('Résultats des tournois'!$B82:'Résultats des tournois'!E82,"&lt;&gt;")&lt;=15,24,16))</f>
        <v>32</v>
      </c>
      <c r="F82" s="15">
        <f>IF(COUNTIF('Résultats des tournois'!$B82:'Résultats des tournois'!F82,"&lt;&gt;")&lt;=5,32,IF(COUNTIF('Résultats des tournois'!$B82:'Résultats des tournois'!F82,"&lt;&gt;")&lt;=15,24,16))</f>
        <v>32</v>
      </c>
      <c r="G82" s="15">
        <f>IF(COUNTIF('Résultats des tournois'!$B82:'Résultats des tournois'!G82,"&lt;&gt;")&lt;=5,32,IF(COUNTIF('Résultats des tournois'!$B82:'Résultats des tournois'!G82,"&lt;&gt;")&lt;=15,24,16))</f>
        <v>32</v>
      </c>
      <c r="H82" s="15">
        <f>IF(COUNTIF('Résultats des tournois'!$B82:'Résultats des tournois'!H82,"&lt;&gt;")&lt;=5,32,IF(COUNTIF('Résultats des tournois'!$B82:'Résultats des tournois'!H82,"&lt;&gt;")&lt;=15,24,16))</f>
        <v>32</v>
      </c>
      <c r="I82" s="15">
        <f>IF(COUNTIF('Résultats des tournois'!$B82:'Résultats des tournois'!I82,"&lt;&gt;")&lt;=5,32,IF(COUNTIF('Résultats des tournois'!$B82:'Résultats des tournois'!I82,"&lt;&gt;")&lt;=15,24,16))</f>
        <v>32</v>
      </c>
      <c r="J82" s="15">
        <f>IF(COUNTIF('Résultats des tournois'!$B82:'Résultats des tournois'!J82,"&lt;&gt;")&lt;=5,32,IF(COUNTIF('Résultats des tournois'!$B82:'Résultats des tournois'!J82,"&lt;&gt;")&lt;=15,24,16))</f>
        <v>32</v>
      </c>
      <c r="K82" s="15">
        <f>IF(COUNTIF('Résultats des tournois'!$B82:'Résultats des tournois'!K82,"&lt;&gt;")&lt;=5,32,IF(COUNTIF('Résultats des tournois'!$B82:'Résultats des tournois'!K82,"&lt;&gt;")&lt;=15,24,16))</f>
        <v>32</v>
      </c>
      <c r="L82" s="15">
        <f>IF(COUNTIF('Résultats des tournois'!$B82:'Résultats des tournois'!L82,"&lt;&gt;")&lt;=5,32,IF(COUNTIF('Résultats des tournois'!$B82:'Résultats des tournois'!L82,"&lt;&gt;")&lt;=15,24,16))</f>
        <v>32</v>
      </c>
      <c r="M82" s="15">
        <f>IF(COUNTIF('Résultats des tournois'!$B82:'Résultats des tournois'!M82,"&lt;&gt;")&lt;=5,32,IF(COUNTIF('Résultats des tournois'!$B82:'Résultats des tournois'!M82,"&lt;&gt;")&lt;=15,24,16))</f>
        <v>32</v>
      </c>
      <c r="N82" s="15">
        <f>IF(COUNTIF('Résultats des tournois'!$B82:'Résultats des tournois'!N82,"&lt;&gt;")&lt;=5,32,IF(COUNTIF('Résultats des tournois'!$B82:'Résultats des tournois'!N82,"&lt;&gt;")&lt;=15,24,16))</f>
        <v>32</v>
      </c>
      <c r="O82" s="15">
        <f>IF(COUNTIF('Résultats des tournois'!$B82:'Résultats des tournois'!O82,"&lt;&gt;")&lt;=5,32,IF(COUNTIF('Résultats des tournois'!$B82:'Résultats des tournois'!O82,"&lt;&gt;")&lt;=15,24,16))</f>
        <v>32</v>
      </c>
      <c r="P82" s="15">
        <f>IF(COUNTIF('Résultats des tournois'!$B82:'Résultats des tournois'!P82,"&lt;&gt;")&lt;=5,32,IF(COUNTIF('Résultats des tournois'!$B82:'Résultats des tournois'!P82,"&lt;&gt;")&lt;=15,24,16))</f>
        <v>32</v>
      </c>
      <c r="Q82" s="15">
        <f>IF(COUNTIF('Résultats des tournois'!$B82:'Résultats des tournois'!Q82,"&lt;&gt;")&lt;=5,32,IF(COUNTIF('Résultats des tournois'!$B82:'Résultats des tournois'!Q82,"&lt;&gt;")&lt;=15,24,16))</f>
        <v>32</v>
      </c>
      <c r="R82" s="15">
        <f>IF(COUNTIF('Résultats des tournois'!$B82:'Résultats des tournois'!R82,"&lt;&gt;")&lt;=5,32,IF(COUNTIF('Résultats des tournois'!$B82:'Résultats des tournois'!R82,"&lt;&gt;")&lt;=15,24,16))</f>
        <v>32</v>
      </c>
      <c r="S82" s="15">
        <f>IF(COUNTIF('Résultats des tournois'!$B82:'Résultats des tournois'!S82,"&lt;&gt;")&lt;=5,32,IF(COUNTIF('Résultats des tournois'!$B82:'Résultats des tournois'!S82,"&lt;&gt;")&lt;=15,24,16))</f>
        <v>32</v>
      </c>
      <c r="T82" s="15">
        <f>IF(COUNTIF('Résultats des tournois'!$B82:'Résultats des tournois'!T82,"&lt;&gt;")&lt;=5,32,IF(COUNTIF('Résultats des tournois'!$B82:'Résultats des tournois'!T82,"&lt;&gt;")&lt;=15,24,16))</f>
        <v>32</v>
      </c>
      <c r="U82" s="15">
        <f>IF(COUNTIF('Résultats des tournois'!$B82:'Résultats des tournois'!U82,"&lt;&gt;")&lt;=5,32,IF(COUNTIF('Résultats des tournois'!$B82:'Résultats des tournois'!U82,"&lt;&gt;")&lt;=15,24,16))</f>
        <v>32</v>
      </c>
      <c r="V82" s="15">
        <f>IF(COUNTIF('Résultats des tournois'!$B82:'Résultats des tournois'!V82,"&lt;&gt;")&lt;=5,32,IF(COUNTIF('Résultats des tournois'!$B82:'Résultats des tournois'!V82,"&lt;&gt;")&lt;=15,24,16))</f>
        <v>32</v>
      </c>
      <c r="W82" s="15">
        <f>IF(COUNTIF('Résultats des tournois'!$B82:'Résultats des tournois'!W82,"&lt;&gt;")&lt;=5,32,IF(COUNTIF('Résultats des tournois'!$B82:'Résultats des tournois'!W82,"&lt;&gt;")&lt;=15,24,16))</f>
        <v>32</v>
      </c>
      <c r="X82" s="15">
        <f>IF(COUNTIF('Résultats des tournois'!$B82:'Résultats des tournois'!X82,"&lt;&gt;")&lt;=5,32,IF(COUNTIF('Résultats des tournois'!$B82:'Résultats des tournois'!X82,"&lt;&gt;")&lt;=15,24,16))</f>
        <v>32</v>
      </c>
      <c r="Y82" s="15">
        <f>IF(COUNTIF('Résultats des tournois'!$B82:'Résultats des tournois'!Y82,"&lt;&gt;")&lt;=5,32,IF(COUNTIF('Résultats des tournois'!$B82:'Résultats des tournois'!Y82,"&lt;&gt;")&lt;=15,24,16))</f>
        <v>32</v>
      </c>
      <c r="Z82" s="15">
        <f>IF(COUNTIF('Résultats des tournois'!$B82:'Résultats des tournois'!Z82,"&lt;&gt;")&lt;=5,32,IF(COUNTIF('Résultats des tournois'!$B82:'Résultats des tournois'!Z82,"&lt;&gt;")&lt;=15,24,16))</f>
        <v>32</v>
      </c>
      <c r="AA82" s="15">
        <f>IF(COUNTIF('Résultats des tournois'!$B82:'Résultats des tournois'!AA82,"&lt;&gt;")&lt;=5,32,IF(COUNTIF('Résultats des tournois'!$B82:'Résultats des tournois'!AA82,"&lt;&gt;")&lt;=15,24,16))</f>
        <v>32</v>
      </c>
      <c r="AB82" s="15">
        <f>IF(COUNTIF('Résultats des tournois'!$B82:'Résultats des tournois'!AB82,"&lt;&gt;")&lt;=5,32,IF(COUNTIF('Résultats des tournois'!$B82:'Résultats des tournois'!AB82,"&lt;&gt;")&lt;=15,24,16))</f>
        <v>32</v>
      </c>
      <c r="AC82" s="15">
        <f>IF(COUNTIF('Résultats des tournois'!$B82:'Résultats des tournois'!AC82,"&lt;&gt;")&lt;=5,32,IF(COUNTIF('Résultats des tournois'!$B82:'Résultats des tournois'!AC82,"&lt;&gt;")&lt;=15,24,16))</f>
        <v>32</v>
      </c>
      <c r="AD82" s="15">
        <f>IF(COUNTIF('Résultats des tournois'!$B82:'Résultats des tournois'!AD82,"&lt;&gt;")&lt;=5,32,IF(COUNTIF('Résultats des tournois'!$B82:'Résultats des tournois'!AD82,"&lt;&gt;")&lt;=15,24,16))</f>
        <v>32</v>
      </c>
      <c r="AE82" s="15">
        <f>IF(COUNTIF('Résultats des tournois'!$B82:'Résultats des tournois'!AE82,"&lt;&gt;")&lt;=5,32,IF(COUNTIF('Résultats des tournois'!$B82:'Résultats des tournois'!AE82,"&lt;&gt;")&lt;=15,24,16))</f>
        <v>32</v>
      </c>
      <c r="AF82" s="15">
        <f>IF(COUNTIF('Résultats des tournois'!$B82:'Résultats des tournois'!AF82,"&lt;&gt;")&lt;=5,32,IF(COUNTIF('Résultats des tournois'!$B82:'Résultats des tournois'!AF82,"&lt;&gt;")&lt;=15,24,16))</f>
        <v>32</v>
      </c>
      <c r="AG82" s="15">
        <f>IF(COUNTIF('Résultats des tournois'!$B82:'Résultats des tournois'!AG82,"&lt;&gt;")&lt;=5,32,IF(COUNTIF('Résultats des tournois'!$B82:'Résultats des tournois'!AG82,"&lt;&gt;")&lt;=15,24,16))</f>
        <v>32</v>
      </c>
      <c r="AH82" s="15">
        <f>IF(COUNTIF('Résultats des tournois'!$B82:'Résultats des tournois'!AH82,"&lt;&gt;")&lt;=5,32,IF(COUNTIF('Résultats des tournois'!$B82:'Résultats des tournois'!AH82,"&lt;&gt;")&lt;=15,24,16))</f>
        <v>32</v>
      </c>
      <c r="AI82" s="15">
        <f>IF(COUNTIF('Résultats des tournois'!$B82:'Résultats des tournois'!AI82,"&lt;&gt;")&lt;=5,32,IF(COUNTIF('Résultats des tournois'!$B82:'Résultats des tournois'!AI82,"&lt;&gt;")&lt;=15,24,16))</f>
        <v>32</v>
      </c>
      <c r="AJ82" s="15">
        <f>IF(COUNTIF('Résultats des tournois'!$B82:'Résultats des tournois'!AJ82,"&lt;&gt;")&lt;=5,32,IF(COUNTIF('Résultats des tournois'!$B82:'Résultats des tournois'!AJ82,"&lt;&gt;")&lt;=15,24,16))</f>
        <v>32</v>
      </c>
      <c r="AK82" s="15">
        <f>IF(COUNTIF('Résultats des tournois'!$B82:'Résultats des tournois'!AK82,"&lt;&gt;")&lt;=5,32,IF(COUNTIF('Résultats des tournois'!$B82:'Résultats des tournois'!AK82,"&lt;&gt;")&lt;=15,24,16))</f>
        <v>32</v>
      </c>
      <c r="AL82" s="15">
        <f>IF(COUNTIF('Résultats des tournois'!$B82:'Résultats des tournois'!AL82,"&lt;&gt;")&lt;=5,32,IF(COUNTIF('Résultats des tournois'!$B82:'Résultats des tournois'!AL82,"&lt;&gt;")&lt;=15,24,16))</f>
        <v>32</v>
      </c>
      <c r="AM82" s="15">
        <f>IF(COUNTIF('Résultats des tournois'!$B82:'Résultats des tournois'!AM82,"&lt;&gt;")&lt;=5,32,IF(COUNTIF('Résultats des tournois'!$B82:'Résultats des tournois'!AM82,"&lt;&gt;")&lt;=15,24,16))</f>
        <v>32</v>
      </c>
      <c r="AN82" s="15">
        <f>IF(COUNTIF('Résultats des tournois'!$B82:'Résultats des tournois'!AN82,"&lt;&gt;")&lt;=5,32,IF(COUNTIF('Résultats des tournois'!$B82:'Résultats des tournois'!AN82,"&lt;&gt;")&lt;=15,24,16))</f>
        <v>32</v>
      </c>
      <c r="AO82" s="15">
        <f>IF(COUNTIF('Résultats des tournois'!$B82:'Résultats des tournois'!AO82,"&lt;&gt;")&lt;=5,32,IF(COUNTIF('Résultats des tournois'!$B82:'Résultats des tournois'!AO82,"&lt;&gt;")&lt;=15,24,16))</f>
        <v>32</v>
      </c>
      <c r="AP82" s="15">
        <f>IF(COUNTIF('Résultats des tournois'!$B82:'Résultats des tournois'!AP82,"&lt;&gt;")&lt;=5,32,IF(COUNTIF('Résultats des tournois'!$B82:'Résultats des tournois'!AP82,"&lt;&gt;")&lt;=15,24,16))</f>
        <v>32</v>
      </c>
      <c r="AQ82" s="15">
        <f>IF(COUNTIF('Résultats des tournois'!$B82:'Résultats des tournois'!AQ82,"&lt;&gt;")&lt;=5,32,IF(COUNTIF('Résultats des tournois'!$B82:'Résultats des tournois'!AQ82,"&lt;&gt;")&lt;=15,24,16))</f>
        <v>32</v>
      </c>
      <c r="AR82" s="15">
        <f>IF(COUNTIF('Résultats des tournois'!$B82:'Résultats des tournois'!AR82,"&lt;&gt;")&lt;=5,32,IF(COUNTIF('Résultats des tournois'!$B82:'Résultats des tournois'!AR82,"&lt;&gt;")&lt;=15,24,16))</f>
        <v>32</v>
      </c>
      <c r="AS82" s="15">
        <f>IF(COUNTIF('Résultats des tournois'!$B82:'Résultats des tournois'!AS82,"&lt;&gt;")&lt;=5,32,IF(COUNTIF('Résultats des tournois'!$B82:'Résultats des tournois'!AS82,"&lt;&gt;")&lt;=15,24,16))</f>
        <v>32</v>
      </c>
      <c r="AT82" s="15">
        <f>IF(COUNTIF('Résultats des tournois'!$B82:'Résultats des tournois'!AT82,"&lt;&gt;")&lt;=5,32,IF(COUNTIF('Résultats des tournois'!$B82:'Résultats des tournois'!AT82,"&lt;&gt;")&lt;=15,24,16))</f>
        <v>32</v>
      </c>
      <c r="AU82" s="15">
        <f>IF(COUNTIF('Résultats des tournois'!$B82:'Résultats des tournois'!AU82,"&lt;&gt;")&lt;=5,32,IF(COUNTIF('Résultats des tournois'!$B82:'Résultats des tournois'!AU82,"&lt;&gt;")&lt;=15,24,16))</f>
        <v>32</v>
      </c>
      <c r="AV82" s="15">
        <f>IF(COUNTIF('Résultats des tournois'!$B82:'Résultats des tournois'!AV82,"&lt;&gt;")&lt;=5,32,IF(COUNTIF('Résultats des tournois'!$B82:'Résultats des tournois'!AV82,"&lt;&gt;")&lt;=15,24,16))</f>
        <v>32</v>
      </c>
      <c r="AW82" s="15">
        <f>IF(COUNTIF('Résultats des tournois'!$B82:'Résultats des tournois'!AW82,"&lt;&gt;")&lt;=5,32,IF(COUNTIF('Résultats des tournois'!$B82:'Résultats des tournois'!AW82,"&lt;&gt;")&lt;=15,24,16))</f>
        <v>32</v>
      </c>
      <c r="AX82" s="15">
        <f>IF(COUNTIF('Résultats des tournois'!$B82:'Résultats des tournois'!AX82,"&lt;&gt;")&lt;=5,32,IF(COUNTIF('Résultats des tournois'!$B82:'Résultats des tournois'!AX82,"&lt;&gt;")&lt;=15,24,16))</f>
        <v>32</v>
      </c>
    </row>
    <row r="83" ht="14.25" customHeight="1">
      <c r="A83" s="15" t="str">
        <f>IF('Résultats des tournois'!A83="","",'Résultats des tournois'!A83)</f>
        <v/>
      </c>
      <c r="B83" s="15">
        <f>IF(COUNTIF('Résultats des tournois'!B83,"&lt;&gt;")&lt;=5,32,IF(COUNTIF('Résultats des tournois'!B83,"&lt;&gt;")&lt;=15,24,16))</f>
        <v>32</v>
      </c>
      <c r="C83" s="15">
        <f>IF(COUNTIF('Résultats des tournois'!$B83:'Résultats des tournois'!C83,"&lt;&gt;")&lt;=5,32,IF(COUNTIF('Résultats des tournois'!$B83:'Résultats des tournois'!C83,"&lt;&gt;")&lt;=15,24,16))</f>
        <v>32</v>
      </c>
      <c r="D83" s="15">
        <f>IF(COUNTIF('Résultats des tournois'!$B83:'Résultats des tournois'!D83,"&lt;&gt;")&lt;=5,32,IF(COUNTIF('Résultats des tournois'!$B83:'Résultats des tournois'!D83,"&lt;&gt;")&lt;=15,24,16))</f>
        <v>32</v>
      </c>
      <c r="E83" s="15">
        <f>IF(COUNTIF('Résultats des tournois'!$B83:'Résultats des tournois'!E83,"&lt;&gt;")&lt;=5,32,IF(COUNTIF('Résultats des tournois'!$B83:'Résultats des tournois'!E83,"&lt;&gt;")&lt;=15,24,16))</f>
        <v>32</v>
      </c>
      <c r="F83" s="15">
        <f>IF(COUNTIF('Résultats des tournois'!$B83:'Résultats des tournois'!F83,"&lt;&gt;")&lt;=5,32,IF(COUNTIF('Résultats des tournois'!$B83:'Résultats des tournois'!F83,"&lt;&gt;")&lt;=15,24,16))</f>
        <v>32</v>
      </c>
      <c r="G83" s="15">
        <f>IF(COUNTIF('Résultats des tournois'!$B83:'Résultats des tournois'!G83,"&lt;&gt;")&lt;=5,32,IF(COUNTIF('Résultats des tournois'!$B83:'Résultats des tournois'!G83,"&lt;&gt;")&lt;=15,24,16))</f>
        <v>32</v>
      </c>
      <c r="H83" s="15">
        <f>IF(COUNTIF('Résultats des tournois'!$B83:'Résultats des tournois'!H83,"&lt;&gt;")&lt;=5,32,IF(COUNTIF('Résultats des tournois'!$B83:'Résultats des tournois'!H83,"&lt;&gt;")&lt;=15,24,16))</f>
        <v>32</v>
      </c>
      <c r="I83" s="15">
        <f>IF(COUNTIF('Résultats des tournois'!$B83:'Résultats des tournois'!I83,"&lt;&gt;")&lt;=5,32,IF(COUNTIF('Résultats des tournois'!$B83:'Résultats des tournois'!I83,"&lt;&gt;")&lt;=15,24,16))</f>
        <v>32</v>
      </c>
      <c r="J83" s="15">
        <f>IF(COUNTIF('Résultats des tournois'!$B83:'Résultats des tournois'!J83,"&lt;&gt;")&lt;=5,32,IF(COUNTIF('Résultats des tournois'!$B83:'Résultats des tournois'!J83,"&lt;&gt;")&lt;=15,24,16))</f>
        <v>32</v>
      </c>
      <c r="K83" s="15">
        <f>IF(COUNTIF('Résultats des tournois'!$B83:'Résultats des tournois'!K83,"&lt;&gt;")&lt;=5,32,IF(COUNTIF('Résultats des tournois'!$B83:'Résultats des tournois'!K83,"&lt;&gt;")&lt;=15,24,16))</f>
        <v>32</v>
      </c>
      <c r="L83" s="15">
        <f>IF(COUNTIF('Résultats des tournois'!$B83:'Résultats des tournois'!L83,"&lt;&gt;")&lt;=5,32,IF(COUNTIF('Résultats des tournois'!$B83:'Résultats des tournois'!L83,"&lt;&gt;")&lt;=15,24,16))</f>
        <v>32</v>
      </c>
      <c r="M83" s="15">
        <f>IF(COUNTIF('Résultats des tournois'!$B83:'Résultats des tournois'!M83,"&lt;&gt;")&lt;=5,32,IF(COUNTIF('Résultats des tournois'!$B83:'Résultats des tournois'!M83,"&lt;&gt;")&lt;=15,24,16))</f>
        <v>32</v>
      </c>
      <c r="N83" s="15">
        <f>IF(COUNTIF('Résultats des tournois'!$B83:'Résultats des tournois'!N83,"&lt;&gt;")&lt;=5,32,IF(COUNTIF('Résultats des tournois'!$B83:'Résultats des tournois'!N83,"&lt;&gt;")&lt;=15,24,16))</f>
        <v>32</v>
      </c>
      <c r="O83" s="15">
        <f>IF(COUNTIF('Résultats des tournois'!$B83:'Résultats des tournois'!O83,"&lt;&gt;")&lt;=5,32,IF(COUNTIF('Résultats des tournois'!$B83:'Résultats des tournois'!O83,"&lt;&gt;")&lt;=15,24,16))</f>
        <v>32</v>
      </c>
      <c r="P83" s="15">
        <f>IF(COUNTIF('Résultats des tournois'!$B83:'Résultats des tournois'!P83,"&lt;&gt;")&lt;=5,32,IF(COUNTIF('Résultats des tournois'!$B83:'Résultats des tournois'!P83,"&lt;&gt;")&lt;=15,24,16))</f>
        <v>32</v>
      </c>
      <c r="Q83" s="15">
        <f>IF(COUNTIF('Résultats des tournois'!$B83:'Résultats des tournois'!Q83,"&lt;&gt;")&lt;=5,32,IF(COUNTIF('Résultats des tournois'!$B83:'Résultats des tournois'!Q83,"&lt;&gt;")&lt;=15,24,16))</f>
        <v>32</v>
      </c>
      <c r="R83" s="15">
        <f>IF(COUNTIF('Résultats des tournois'!$B83:'Résultats des tournois'!R83,"&lt;&gt;")&lt;=5,32,IF(COUNTIF('Résultats des tournois'!$B83:'Résultats des tournois'!R83,"&lt;&gt;")&lt;=15,24,16))</f>
        <v>32</v>
      </c>
      <c r="S83" s="15">
        <f>IF(COUNTIF('Résultats des tournois'!$B83:'Résultats des tournois'!S83,"&lt;&gt;")&lt;=5,32,IF(COUNTIF('Résultats des tournois'!$B83:'Résultats des tournois'!S83,"&lt;&gt;")&lt;=15,24,16))</f>
        <v>32</v>
      </c>
      <c r="T83" s="15">
        <f>IF(COUNTIF('Résultats des tournois'!$B83:'Résultats des tournois'!T83,"&lt;&gt;")&lt;=5,32,IF(COUNTIF('Résultats des tournois'!$B83:'Résultats des tournois'!T83,"&lt;&gt;")&lt;=15,24,16))</f>
        <v>32</v>
      </c>
      <c r="U83" s="15">
        <f>IF(COUNTIF('Résultats des tournois'!$B83:'Résultats des tournois'!U83,"&lt;&gt;")&lt;=5,32,IF(COUNTIF('Résultats des tournois'!$B83:'Résultats des tournois'!U83,"&lt;&gt;")&lt;=15,24,16))</f>
        <v>32</v>
      </c>
      <c r="V83" s="15">
        <f>IF(COUNTIF('Résultats des tournois'!$B83:'Résultats des tournois'!V83,"&lt;&gt;")&lt;=5,32,IF(COUNTIF('Résultats des tournois'!$B83:'Résultats des tournois'!V83,"&lt;&gt;")&lt;=15,24,16))</f>
        <v>32</v>
      </c>
      <c r="W83" s="15">
        <f>IF(COUNTIF('Résultats des tournois'!$B83:'Résultats des tournois'!W83,"&lt;&gt;")&lt;=5,32,IF(COUNTIF('Résultats des tournois'!$B83:'Résultats des tournois'!W83,"&lt;&gt;")&lt;=15,24,16))</f>
        <v>32</v>
      </c>
      <c r="X83" s="15">
        <f>IF(COUNTIF('Résultats des tournois'!$B83:'Résultats des tournois'!X83,"&lt;&gt;")&lt;=5,32,IF(COUNTIF('Résultats des tournois'!$B83:'Résultats des tournois'!X83,"&lt;&gt;")&lt;=15,24,16))</f>
        <v>32</v>
      </c>
      <c r="Y83" s="15">
        <f>IF(COUNTIF('Résultats des tournois'!$B83:'Résultats des tournois'!Y83,"&lt;&gt;")&lt;=5,32,IF(COUNTIF('Résultats des tournois'!$B83:'Résultats des tournois'!Y83,"&lt;&gt;")&lt;=15,24,16))</f>
        <v>32</v>
      </c>
      <c r="Z83" s="15">
        <f>IF(COUNTIF('Résultats des tournois'!$B83:'Résultats des tournois'!Z83,"&lt;&gt;")&lt;=5,32,IF(COUNTIF('Résultats des tournois'!$B83:'Résultats des tournois'!Z83,"&lt;&gt;")&lt;=15,24,16))</f>
        <v>32</v>
      </c>
      <c r="AA83" s="15">
        <f>IF(COUNTIF('Résultats des tournois'!$B83:'Résultats des tournois'!AA83,"&lt;&gt;")&lt;=5,32,IF(COUNTIF('Résultats des tournois'!$B83:'Résultats des tournois'!AA83,"&lt;&gt;")&lt;=15,24,16))</f>
        <v>32</v>
      </c>
      <c r="AB83" s="15">
        <f>IF(COUNTIF('Résultats des tournois'!$B83:'Résultats des tournois'!AB83,"&lt;&gt;")&lt;=5,32,IF(COUNTIF('Résultats des tournois'!$B83:'Résultats des tournois'!AB83,"&lt;&gt;")&lt;=15,24,16))</f>
        <v>32</v>
      </c>
      <c r="AC83" s="15">
        <f>IF(COUNTIF('Résultats des tournois'!$B83:'Résultats des tournois'!AC83,"&lt;&gt;")&lt;=5,32,IF(COUNTIF('Résultats des tournois'!$B83:'Résultats des tournois'!AC83,"&lt;&gt;")&lt;=15,24,16))</f>
        <v>32</v>
      </c>
      <c r="AD83" s="15">
        <f>IF(COUNTIF('Résultats des tournois'!$B83:'Résultats des tournois'!AD83,"&lt;&gt;")&lt;=5,32,IF(COUNTIF('Résultats des tournois'!$B83:'Résultats des tournois'!AD83,"&lt;&gt;")&lt;=15,24,16))</f>
        <v>32</v>
      </c>
      <c r="AE83" s="15">
        <f>IF(COUNTIF('Résultats des tournois'!$B83:'Résultats des tournois'!AE83,"&lt;&gt;")&lt;=5,32,IF(COUNTIF('Résultats des tournois'!$B83:'Résultats des tournois'!AE83,"&lt;&gt;")&lt;=15,24,16))</f>
        <v>32</v>
      </c>
      <c r="AF83" s="15">
        <f>IF(COUNTIF('Résultats des tournois'!$B83:'Résultats des tournois'!AF83,"&lt;&gt;")&lt;=5,32,IF(COUNTIF('Résultats des tournois'!$B83:'Résultats des tournois'!AF83,"&lt;&gt;")&lt;=15,24,16))</f>
        <v>32</v>
      </c>
      <c r="AG83" s="15">
        <f>IF(COUNTIF('Résultats des tournois'!$B83:'Résultats des tournois'!AG83,"&lt;&gt;")&lt;=5,32,IF(COUNTIF('Résultats des tournois'!$B83:'Résultats des tournois'!AG83,"&lt;&gt;")&lt;=15,24,16))</f>
        <v>32</v>
      </c>
      <c r="AH83" s="15">
        <f>IF(COUNTIF('Résultats des tournois'!$B83:'Résultats des tournois'!AH83,"&lt;&gt;")&lt;=5,32,IF(COUNTIF('Résultats des tournois'!$B83:'Résultats des tournois'!AH83,"&lt;&gt;")&lt;=15,24,16))</f>
        <v>32</v>
      </c>
      <c r="AI83" s="15">
        <f>IF(COUNTIF('Résultats des tournois'!$B83:'Résultats des tournois'!AI83,"&lt;&gt;")&lt;=5,32,IF(COUNTIF('Résultats des tournois'!$B83:'Résultats des tournois'!AI83,"&lt;&gt;")&lt;=15,24,16))</f>
        <v>32</v>
      </c>
      <c r="AJ83" s="15">
        <f>IF(COUNTIF('Résultats des tournois'!$B83:'Résultats des tournois'!AJ83,"&lt;&gt;")&lt;=5,32,IF(COUNTIF('Résultats des tournois'!$B83:'Résultats des tournois'!AJ83,"&lt;&gt;")&lt;=15,24,16))</f>
        <v>32</v>
      </c>
      <c r="AK83" s="15">
        <f>IF(COUNTIF('Résultats des tournois'!$B83:'Résultats des tournois'!AK83,"&lt;&gt;")&lt;=5,32,IF(COUNTIF('Résultats des tournois'!$B83:'Résultats des tournois'!AK83,"&lt;&gt;")&lt;=15,24,16))</f>
        <v>32</v>
      </c>
      <c r="AL83" s="15">
        <f>IF(COUNTIF('Résultats des tournois'!$B83:'Résultats des tournois'!AL83,"&lt;&gt;")&lt;=5,32,IF(COUNTIF('Résultats des tournois'!$B83:'Résultats des tournois'!AL83,"&lt;&gt;")&lt;=15,24,16))</f>
        <v>32</v>
      </c>
      <c r="AM83" s="15">
        <f>IF(COUNTIF('Résultats des tournois'!$B83:'Résultats des tournois'!AM83,"&lt;&gt;")&lt;=5,32,IF(COUNTIF('Résultats des tournois'!$B83:'Résultats des tournois'!AM83,"&lt;&gt;")&lt;=15,24,16))</f>
        <v>32</v>
      </c>
      <c r="AN83" s="15">
        <f>IF(COUNTIF('Résultats des tournois'!$B83:'Résultats des tournois'!AN83,"&lt;&gt;")&lt;=5,32,IF(COUNTIF('Résultats des tournois'!$B83:'Résultats des tournois'!AN83,"&lt;&gt;")&lt;=15,24,16))</f>
        <v>32</v>
      </c>
      <c r="AO83" s="15">
        <f>IF(COUNTIF('Résultats des tournois'!$B83:'Résultats des tournois'!AO83,"&lt;&gt;")&lt;=5,32,IF(COUNTIF('Résultats des tournois'!$B83:'Résultats des tournois'!AO83,"&lt;&gt;")&lt;=15,24,16))</f>
        <v>32</v>
      </c>
      <c r="AP83" s="15">
        <f>IF(COUNTIF('Résultats des tournois'!$B83:'Résultats des tournois'!AP83,"&lt;&gt;")&lt;=5,32,IF(COUNTIF('Résultats des tournois'!$B83:'Résultats des tournois'!AP83,"&lt;&gt;")&lt;=15,24,16))</f>
        <v>32</v>
      </c>
      <c r="AQ83" s="15">
        <f>IF(COUNTIF('Résultats des tournois'!$B83:'Résultats des tournois'!AQ83,"&lt;&gt;")&lt;=5,32,IF(COUNTIF('Résultats des tournois'!$B83:'Résultats des tournois'!AQ83,"&lt;&gt;")&lt;=15,24,16))</f>
        <v>32</v>
      </c>
      <c r="AR83" s="15">
        <f>IF(COUNTIF('Résultats des tournois'!$B83:'Résultats des tournois'!AR83,"&lt;&gt;")&lt;=5,32,IF(COUNTIF('Résultats des tournois'!$B83:'Résultats des tournois'!AR83,"&lt;&gt;")&lt;=15,24,16))</f>
        <v>32</v>
      </c>
      <c r="AS83" s="15">
        <f>IF(COUNTIF('Résultats des tournois'!$B83:'Résultats des tournois'!AS83,"&lt;&gt;")&lt;=5,32,IF(COUNTIF('Résultats des tournois'!$B83:'Résultats des tournois'!AS83,"&lt;&gt;")&lt;=15,24,16))</f>
        <v>32</v>
      </c>
      <c r="AT83" s="15">
        <f>IF(COUNTIF('Résultats des tournois'!$B83:'Résultats des tournois'!AT83,"&lt;&gt;")&lt;=5,32,IF(COUNTIF('Résultats des tournois'!$B83:'Résultats des tournois'!AT83,"&lt;&gt;")&lt;=15,24,16))</f>
        <v>32</v>
      </c>
      <c r="AU83" s="15">
        <f>IF(COUNTIF('Résultats des tournois'!$B83:'Résultats des tournois'!AU83,"&lt;&gt;")&lt;=5,32,IF(COUNTIF('Résultats des tournois'!$B83:'Résultats des tournois'!AU83,"&lt;&gt;")&lt;=15,24,16))</f>
        <v>32</v>
      </c>
      <c r="AV83" s="15">
        <f>IF(COUNTIF('Résultats des tournois'!$B83:'Résultats des tournois'!AV83,"&lt;&gt;")&lt;=5,32,IF(COUNTIF('Résultats des tournois'!$B83:'Résultats des tournois'!AV83,"&lt;&gt;")&lt;=15,24,16))</f>
        <v>32</v>
      </c>
      <c r="AW83" s="15">
        <f>IF(COUNTIF('Résultats des tournois'!$B83:'Résultats des tournois'!AW83,"&lt;&gt;")&lt;=5,32,IF(COUNTIF('Résultats des tournois'!$B83:'Résultats des tournois'!AW83,"&lt;&gt;")&lt;=15,24,16))</f>
        <v>32</v>
      </c>
      <c r="AX83" s="15">
        <f>IF(COUNTIF('Résultats des tournois'!$B83:'Résultats des tournois'!AX83,"&lt;&gt;")&lt;=5,32,IF(COUNTIF('Résultats des tournois'!$B83:'Résultats des tournois'!AX83,"&lt;&gt;")&lt;=15,24,16))</f>
        <v>32</v>
      </c>
    </row>
    <row r="84" ht="14.25" customHeight="1">
      <c r="A84" s="15" t="str">
        <f>IF('Résultats des tournois'!A84="","",'Résultats des tournois'!A84)</f>
        <v/>
      </c>
      <c r="B84" s="15">
        <f>IF(COUNTIF('Résultats des tournois'!B84,"&lt;&gt;")&lt;=5,32,IF(COUNTIF('Résultats des tournois'!B84,"&lt;&gt;")&lt;=15,24,16))</f>
        <v>32</v>
      </c>
      <c r="C84" s="15">
        <f>IF(COUNTIF('Résultats des tournois'!$B84:'Résultats des tournois'!C84,"&lt;&gt;")&lt;=5,32,IF(COUNTIF('Résultats des tournois'!$B84:'Résultats des tournois'!C84,"&lt;&gt;")&lt;=15,24,16))</f>
        <v>32</v>
      </c>
      <c r="D84" s="15">
        <f>IF(COUNTIF('Résultats des tournois'!$B84:'Résultats des tournois'!D84,"&lt;&gt;")&lt;=5,32,IF(COUNTIF('Résultats des tournois'!$B84:'Résultats des tournois'!D84,"&lt;&gt;")&lt;=15,24,16))</f>
        <v>32</v>
      </c>
      <c r="E84" s="15">
        <f>IF(COUNTIF('Résultats des tournois'!$B84:'Résultats des tournois'!E84,"&lt;&gt;")&lt;=5,32,IF(COUNTIF('Résultats des tournois'!$B84:'Résultats des tournois'!E84,"&lt;&gt;")&lt;=15,24,16))</f>
        <v>32</v>
      </c>
      <c r="F84" s="15">
        <f>IF(COUNTIF('Résultats des tournois'!$B84:'Résultats des tournois'!F84,"&lt;&gt;")&lt;=5,32,IF(COUNTIF('Résultats des tournois'!$B84:'Résultats des tournois'!F84,"&lt;&gt;")&lt;=15,24,16))</f>
        <v>32</v>
      </c>
      <c r="G84" s="15">
        <f>IF(COUNTIF('Résultats des tournois'!$B84:'Résultats des tournois'!G84,"&lt;&gt;")&lt;=5,32,IF(COUNTIF('Résultats des tournois'!$B84:'Résultats des tournois'!G84,"&lt;&gt;")&lt;=15,24,16))</f>
        <v>32</v>
      </c>
      <c r="H84" s="15">
        <f>IF(COUNTIF('Résultats des tournois'!$B84:'Résultats des tournois'!H84,"&lt;&gt;")&lt;=5,32,IF(COUNTIF('Résultats des tournois'!$B84:'Résultats des tournois'!H84,"&lt;&gt;")&lt;=15,24,16))</f>
        <v>32</v>
      </c>
      <c r="I84" s="15">
        <f>IF(COUNTIF('Résultats des tournois'!$B84:'Résultats des tournois'!I84,"&lt;&gt;")&lt;=5,32,IF(COUNTIF('Résultats des tournois'!$B84:'Résultats des tournois'!I84,"&lt;&gt;")&lt;=15,24,16))</f>
        <v>32</v>
      </c>
      <c r="J84" s="15">
        <f>IF(COUNTIF('Résultats des tournois'!$B84:'Résultats des tournois'!J84,"&lt;&gt;")&lt;=5,32,IF(COUNTIF('Résultats des tournois'!$B84:'Résultats des tournois'!J84,"&lt;&gt;")&lt;=15,24,16))</f>
        <v>32</v>
      </c>
      <c r="K84" s="15">
        <f>IF(COUNTIF('Résultats des tournois'!$B84:'Résultats des tournois'!K84,"&lt;&gt;")&lt;=5,32,IF(COUNTIF('Résultats des tournois'!$B84:'Résultats des tournois'!K84,"&lt;&gt;")&lt;=15,24,16))</f>
        <v>32</v>
      </c>
      <c r="L84" s="15">
        <f>IF(COUNTIF('Résultats des tournois'!$B84:'Résultats des tournois'!L84,"&lt;&gt;")&lt;=5,32,IF(COUNTIF('Résultats des tournois'!$B84:'Résultats des tournois'!L84,"&lt;&gt;")&lt;=15,24,16))</f>
        <v>32</v>
      </c>
      <c r="M84" s="15">
        <f>IF(COUNTIF('Résultats des tournois'!$B84:'Résultats des tournois'!M84,"&lt;&gt;")&lt;=5,32,IF(COUNTIF('Résultats des tournois'!$B84:'Résultats des tournois'!M84,"&lt;&gt;")&lt;=15,24,16))</f>
        <v>32</v>
      </c>
      <c r="N84" s="15">
        <f>IF(COUNTIF('Résultats des tournois'!$B84:'Résultats des tournois'!N84,"&lt;&gt;")&lt;=5,32,IF(COUNTIF('Résultats des tournois'!$B84:'Résultats des tournois'!N84,"&lt;&gt;")&lt;=15,24,16))</f>
        <v>32</v>
      </c>
      <c r="O84" s="15">
        <f>IF(COUNTIF('Résultats des tournois'!$B84:'Résultats des tournois'!O84,"&lt;&gt;")&lt;=5,32,IF(COUNTIF('Résultats des tournois'!$B84:'Résultats des tournois'!O84,"&lt;&gt;")&lt;=15,24,16))</f>
        <v>32</v>
      </c>
      <c r="P84" s="15">
        <f>IF(COUNTIF('Résultats des tournois'!$B84:'Résultats des tournois'!P84,"&lt;&gt;")&lt;=5,32,IF(COUNTIF('Résultats des tournois'!$B84:'Résultats des tournois'!P84,"&lt;&gt;")&lt;=15,24,16))</f>
        <v>32</v>
      </c>
      <c r="Q84" s="15">
        <f>IF(COUNTIF('Résultats des tournois'!$B84:'Résultats des tournois'!Q84,"&lt;&gt;")&lt;=5,32,IF(COUNTIF('Résultats des tournois'!$B84:'Résultats des tournois'!Q84,"&lt;&gt;")&lt;=15,24,16))</f>
        <v>32</v>
      </c>
      <c r="R84" s="15">
        <f>IF(COUNTIF('Résultats des tournois'!$B84:'Résultats des tournois'!R84,"&lt;&gt;")&lt;=5,32,IF(COUNTIF('Résultats des tournois'!$B84:'Résultats des tournois'!R84,"&lt;&gt;")&lt;=15,24,16))</f>
        <v>32</v>
      </c>
      <c r="S84" s="15">
        <f>IF(COUNTIF('Résultats des tournois'!$B84:'Résultats des tournois'!S84,"&lt;&gt;")&lt;=5,32,IF(COUNTIF('Résultats des tournois'!$B84:'Résultats des tournois'!S84,"&lt;&gt;")&lt;=15,24,16))</f>
        <v>32</v>
      </c>
      <c r="T84" s="15">
        <f>IF(COUNTIF('Résultats des tournois'!$B84:'Résultats des tournois'!T84,"&lt;&gt;")&lt;=5,32,IF(COUNTIF('Résultats des tournois'!$B84:'Résultats des tournois'!T84,"&lt;&gt;")&lt;=15,24,16))</f>
        <v>32</v>
      </c>
      <c r="U84" s="15">
        <f>IF(COUNTIF('Résultats des tournois'!$B84:'Résultats des tournois'!U84,"&lt;&gt;")&lt;=5,32,IF(COUNTIF('Résultats des tournois'!$B84:'Résultats des tournois'!U84,"&lt;&gt;")&lt;=15,24,16))</f>
        <v>32</v>
      </c>
      <c r="V84" s="15">
        <f>IF(COUNTIF('Résultats des tournois'!$B84:'Résultats des tournois'!V84,"&lt;&gt;")&lt;=5,32,IF(COUNTIF('Résultats des tournois'!$B84:'Résultats des tournois'!V84,"&lt;&gt;")&lt;=15,24,16))</f>
        <v>32</v>
      </c>
      <c r="W84" s="15">
        <f>IF(COUNTIF('Résultats des tournois'!$B84:'Résultats des tournois'!W84,"&lt;&gt;")&lt;=5,32,IF(COUNTIF('Résultats des tournois'!$B84:'Résultats des tournois'!W84,"&lt;&gt;")&lt;=15,24,16))</f>
        <v>32</v>
      </c>
      <c r="X84" s="15">
        <f>IF(COUNTIF('Résultats des tournois'!$B84:'Résultats des tournois'!X84,"&lt;&gt;")&lt;=5,32,IF(COUNTIF('Résultats des tournois'!$B84:'Résultats des tournois'!X84,"&lt;&gt;")&lt;=15,24,16))</f>
        <v>32</v>
      </c>
      <c r="Y84" s="15">
        <f>IF(COUNTIF('Résultats des tournois'!$B84:'Résultats des tournois'!Y84,"&lt;&gt;")&lt;=5,32,IF(COUNTIF('Résultats des tournois'!$B84:'Résultats des tournois'!Y84,"&lt;&gt;")&lt;=15,24,16))</f>
        <v>32</v>
      </c>
      <c r="Z84" s="15">
        <f>IF(COUNTIF('Résultats des tournois'!$B84:'Résultats des tournois'!Z84,"&lt;&gt;")&lt;=5,32,IF(COUNTIF('Résultats des tournois'!$B84:'Résultats des tournois'!Z84,"&lt;&gt;")&lt;=15,24,16))</f>
        <v>32</v>
      </c>
      <c r="AA84" s="15">
        <f>IF(COUNTIF('Résultats des tournois'!$B84:'Résultats des tournois'!AA84,"&lt;&gt;")&lt;=5,32,IF(COUNTIF('Résultats des tournois'!$B84:'Résultats des tournois'!AA84,"&lt;&gt;")&lt;=15,24,16))</f>
        <v>32</v>
      </c>
      <c r="AB84" s="15">
        <f>IF(COUNTIF('Résultats des tournois'!$B84:'Résultats des tournois'!AB84,"&lt;&gt;")&lt;=5,32,IF(COUNTIF('Résultats des tournois'!$B84:'Résultats des tournois'!AB84,"&lt;&gt;")&lt;=15,24,16))</f>
        <v>32</v>
      </c>
      <c r="AC84" s="15">
        <f>IF(COUNTIF('Résultats des tournois'!$B84:'Résultats des tournois'!AC84,"&lt;&gt;")&lt;=5,32,IF(COUNTIF('Résultats des tournois'!$B84:'Résultats des tournois'!AC84,"&lt;&gt;")&lt;=15,24,16))</f>
        <v>32</v>
      </c>
      <c r="AD84" s="15">
        <f>IF(COUNTIF('Résultats des tournois'!$B84:'Résultats des tournois'!AD84,"&lt;&gt;")&lt;=5,32,IF(COUNTIF('Résultats des tournois'!$B84:'Résultats des tournois'!AD84,"&lt;&gt;")&lt;=15,24,16))</f>
        <v>32</v>
      </c>
      <c r="AE84" s="15">
        <f>IF(COUNTIF('Résultats des tournois'!$B84:'Résultats des tournois'!AE84,"&lt;&gt;")&lt;=5,32,IF(COUNTIF('Résultats des tournois'!$B84:'Résultats des tournois'!AE84,"&lt;&gt;")&lt;=15,24,16))</f>
        <v>32</v>
      </c>
      <c r="AF84" s="15">
        <f>IF(COUNTIF('Résultats des tournois'!$B84:'Résultats des tournois'!AF84,"&lt;&gt;")&lt;=5,32,IF(COUNTIF('Résultats des tournois'!$B84:'Résultats des tournois'!AF84,"&lt;&gt;")&lt;=15,24,16))</f>
        <v>32</v>
      </c>
      <c r="AG84" s="15">
        <f>IF(COUNTIF('Résultats des tournois'!$B84:'Résultats des tournois'!AG84,"&lt;&gt;")&lt;=5,32,IF(COUNTIF('Résultats des tournois'!$B84:'Résultats des tournois'!AG84,"&lt;&gt;")&lt;=15,24,16))</f>
        <v>32</v>
      </c>
      <c r="AH84" s="15">
        <f>IF(COUNTIF('Résultats des tournois'!$B84:'Résultats des tournois'!AH84,"&lt;&gt;")&lt;=5,32,IF(COUNTIF('Résultats des tournois'!$B84:'Résultats des tournois'!AH84,"&lt;&gt;")&lt;=15,24,16))</f>
        <v>32</v>
      </c>
      <c r="AI84" s="15">
        <f>IF(COUNTIF('Résultats des tournois'!$B84:'Résultats des tournois'!AI84,"&lt;&gt;")&lt;=5,32,IF(COUNTIF('Résultats des tournois'!$B84:'Résultats des tournois'!AI84,"&lt;&gt;")&lt;=15,24,16))</f>
        <v>32</v>
      </c>
      <c r="AJ84" s="15">
        <f>IF(COUNTIF('Résultats des tournois'!$B84:'Résultats des tournois'!AJ84,"&lt;&gt;")&lt;=5,32,IF(COUNTIF('Résultats des tournois'!$B84:'Résultats des tournois'!AJ84,"&lt;&gt;")&lt;=15,24,16))</f>
        <v>32</v>
      </c>
      <c r="AK84" s="15">
        <f>IF(COUNTIF('Résultats des tournois'!$B84:'Résultats des tournois'!AK84,"&lt;&gt;")&lt;=5,32,IF(COUNTIF('Résultats des tournois'!$B84:'Résultats des tournois'!AK84,"&lt;&gt;")&lt;=15,24,16))</f>
        <v>32</v>
      </c>
      <c r="AL84" s="15">
        <f>IF(COUNTIF('Résultats des tournois'!$B84:'Résultats des tournois'!AL84,"&lt;&gt;")&lt;=5,32,IF(COUNTIF('Résultats des tournois'!$B84:'Résultats des tournois'!AL84,"&lt;&gt;")&lt;=15,24,16))</f>
        <v>32</v>
      </c>
      <c r="AM84" s="15">
        <f>IF(COUNTIF('Résultats des tournois'!$B84:'Résultats des tournois'!AM84,"&lt;&gt;")&lt;=5,32,IF(COUNTIF('Résultats des tournois'!$B84:'Résultats des tournois'!AM84,"&lt;&gt;")&lt;=15,24,16))</f>
        <v>32</v>
      </c>
      <c r="AN84" s="15">
        <f>IF(COUNTIF('Résultats des tournois'!$B84:'Résultats des tournois'!AN84,"&lt;&gt;")&lt;=5,32,IF(COUNTIF('Résultats des tournois'!$B84:'Résultats des tournois'!AN84,"&lt;&gt;")&lt;=15,24,16))</f>
        <v>32</v>
      </c>
      <c r="AO84" s="15">
        <f>IF(COUNTIF('Résultats des tournois'!$B84:'Résultats des tournois'!AO84,"&lt;&gt;")&lt;=5,32,IF(COUNTIF('Résultats des tournois'!$B84:'Résultats des tournois'!AO84,"&lt;&gt;")&lt;=15,24,16))</f>
        <v>32</v>
      </c>
      <c r="AP84" s="15">
        <f>IF(COUNTIF('Résultats des tournois'!$B84:'Résultats des tournois'!AP84,"&lt;&gt;")&lt;=5,32,IF(COUNTIF('Résultats des tournois'!$B84:'Résultats des tournois'!AP84,"&lt;&gt;")&lt;=15,24,16))</f>
        <v>32</v>
      </c>
      <c r="AQ84" s="15">
        <f>IF(COUNTIF('Résultats des tournois'!$B84:'Résultats des tournois'!AQ84,"&lt;&gt;")&lt;=5,32,IF(COUNTIF('Résultats des tournois'!$B84:'Résultats des tournois'!AQ84,"&lt;&gt;")&lt;=15,24,16))</f>
        <v>32</v>
      </c>
      <c r="AR84" s="15">
        <f>IF(COUNTIF('Résultats des tournois'!$B84:'Résultats des tournois'!AR84,"&lt;&gt;")&lt;=5,32,IF(COUNTIF('Résultats des tournois'!$B84:'Résultats des tournois'!AR84,"&lt;&gt;")&lt;=15,24,16))</f>
        <v>32</v>
      </c>
      <c r="AS84" s="15">
        <f>IF(COUNTIF('Résultats des tournois'!$B84:'Résultats des tournois'!AS84,"&lt;&gt;")&lt;=5,32,IF(COUNTIF('Résultats des tournois'!$B84:'Résultats des tournois'!AS84,"&lt;&gt;")&lt;=15,24,16))</f>
        <v>32</v>
      </c>
      <c r="AT84" s="15">
        <f>IF(COUNTIF('Résultats des tournois'!$B84:'Résultats des tournois'!AT84,"&lt;&gt;")&lt;=5,32,IF(COUNTIF('Résultats des tournois'!$B84:'Résultats des tournois'!AT84,"&lt;&gt;")&lt;=15,24,16))</f>
        <v>32</v>
      </c>
      <c r="AU84" s="15">
        <f>IF(COUNTIF('Résultats des tournois'!$B84:'Résultats des tournois'!AU84,"&lt;&gt;")&lt;=5,32,IF(COUNTIF('Résultats des tournois'!$B84:'Résultats des tournois'!AU84,"&lt;&gt;")&lt;=15,24,16))</f>
        <v>32</v>
      </c>
      <c r="AV84" s="15">
        <f>IF(COUNTIF('Résultats des tournois'!$B84:'Résultats des tournois'!AV84,"&lt;&gt;")&lt;=5,32,IF(COUNTIF('Résultats des tournois'!$B84:'Résultats des tournois'!AV84,"&lt;&gt;")&lt;=15,24,16))</f>
        <v>32</v>
      </c>
      <c r="AW84" s="15">
        <f>IF(COUNTIF('Résultats des tournois'!$B84:'Résultats des tournois'!AW84,"&lt;&gt;")&lt;=5,32,IF(COUNTIF('Résultats des tournois'!$B84:'Résultats des tournois'!AW84,"&lt;&gt;")&lt;=15,24,16))</f>
        <v>32</v>
      </c>
      <c r="AX84" s="15">
        <f>IF(COUNTIF('Résultats des tournois'!$B84:'Résultats des tournois'!AX84,"&lt;&gt;")&lt;=5,32,IF(COUNTIF('Résultats des tournois'!$B84:'Résultats des tournois'!AX84,"&lt;&gt;")&lt;=15,24,16))</f>
        <v>32</v>
      </c>
    </row>
    <row r="85" ht="14.25" customHeight="1">
      <c r="A85" s="15" t="str">
        <f>IF('Résultats des tournois'!A85="","",'Résultats des tournois'!A85)</f>
        <v/>
      </c>
      <c r="B85" s="15">
        <f>IF(COUNTIF('Résultats des tournois'!B85,"&lt;&gt;")&lt;=5,32,IF(COUNTIF('Résultats des tournois'!B85,"&lt;&gt;")&lt;=15,24,16))</f>
        <v>32</v>
      </c>
      <c r="C85" s="15">
        <f>IF(COUNTIF('Résultats des tournois'!$B85:'Résultats des tournois'!C85,"&lt;&gt;")&lt;=5,32,IF(COUNTIF('Résultats des tournois'!$B85:'Résultats des tournois'!C85,"&lt;&gt;")&lt;=15,24,16))</f>
        <v>32</v>
      </c>
      <c r="D85" s="15">
        <f>IF(COUNTIF('Résultats des tournois'!$B85:'Résultats des tournois'!D85,"&lt;&gt;")&lt;=5,32,IF(COUNTIF('Résultats des tournois'!$B85:'Résultats des tournois'!D85,"&lt;&gt;")&lt;=15,24,16))</f>
        <v>32</v>
      </c>
      <c r="E85" s="15">
        <f>IF(COUNTIF('Résultats des tournois'!$B85:'Résultats des tournois'!E85,"&lt;&gt;")&lt;=5,32,IF(COUNTIF('Résultats des tournois'!$B85:'Résultats des tournois'!E85,"&lt;&gt;")&lt;=15,24,16))</f>
        <v>32</v>
      </c>
      <c r="F85" s="15">
        <f>IF(COUNTIF('Résultats des tournois'!$B85:'Résultats des tournois'!F85,"&lt;&gt;")&lt;=5,32,IF(COUNTIF('Résultats des tournois'!$B85:'Résultats des tournois'!F85,"&lt;&gt;")&lt;=15,24,16))</f>
        <v>32</v>
      </c>
      <c r="G85" s="15">
        <f>IF(COUNTIF('Résultats des tournois'!$B85:'Résultats des tournois'!G85,"&lt;&gt;")&lt;=5,32,IF(COUNTIF('Résultats des tournois'!$B85:'Résultats des tournois'!G85,"&lt;&gt;")&lt;=15,24,16))</f>
        <v>32</v>
      </c>
      <c r="H85" s="15">
        <f>IF(COUNTIF('Résultats des tournois'!$B85:'Résultats des tournois'!H85,"&lt;&gt;")&lt;=5,32,IF(COUNTIF('Résultats des tournois'!$B85:'Résultats des tournois'!H85,"&lt;&gt;")&lt;=15,24,16))</f>
        <v>32</v>
      </c>
      <c r="I85" s="15">
        <f>IF(COUNTIF('Résultats des tournois'!$B85:'Résultats des tournois'!I85,"&lt;&gt;")&lt;=5,32,IF(COUNTIF('Résultats des tournois'!$B85:'Résultats des tournois'!I85,"&lt;&gt;")&lt;=15,24,16))</f>
        <v>32</v>
      </c>
      <c r="J85" s="15">
        <f>IF(COUNTIF('Résultats des tournois'!$B85:'Résultats des tournois'!J85,"&lt;&gt;")&lt;=5,32,IF(COUNTIF('Résultats des tournois'!$B85:'Résultats des tournois'!J85,"&lt;&gt;")&lt;=15,24,16))</f>
        <v>32</v>
      </c>
      <c r="K85" s="15">
        <f>IF(COUNTIF('Résultats des tournois'!$B85:'Résultats des tournois'!K85,"&lt;&gt;")&lt;=5,32,IF(COUNTIF('Résultats des tournois'!$B85:'Résultats des tournois'!K85,"&lt;&gt;")&lt;=15,24,16))</f>
        <v>32</v>
      </c>
      <c r="L85" s="15">
        <f>IF(COUNTIF('Résultats des tournois'!$B85:'Résultats des tournois'!L85,"&lt;&gt;")&lt;=5,32,IF(COUNTIF('Résultats des tournois'!$B85:'Résultats des tournois'!L85,"&lt;&gt;")&lt;=15,24,16))</f>
        <v>32</v>
      </c>
      <c r="M85" s="15">
        <f>IF(COUNTIF('Résultats des tournois'!$B85:'Résultats des tournois'!M85,"&lt;&gt;")&lt;=5,32,IF(COUNTIF('Résultats des tournois'!$B85:'Résultats des tournois'!M85,"&lt;&gt;")&lt;=15,24,16))</f>
        <v>32</v>
      </c>
      <c r="N85" s="15">
        <f>IF(COUNTIF('Résultats des tournois'!$B85:'Résultats des tournois'!N85,"&lt;&gt;")&lt;=5,32,IF(COUNTIF('Résultats des tournois'!$B85:'Résultats des tournois'!N85,"&lt;&gt;")&lt;=15,24,16))</f>
        <v>32</v>
      </c>
      <c r="O85" s="15">
        <f>IF(COUNTIF('Résultats des tournois'!$B85:'Résultats des tournois'!O85,"&lt;&gt;")&lt;=5,32,IF(COUNTIF('Résultats des tournois'!$B85:'Résultats des tournois'!O85,"&lt;&gt;")&lt;=15,24,16))</f>
        <v>32</v>
      </c>
      <c r="P85" s="15">
        <f>IF(COUNTIF('Résultats des tournois'!$B85:'Résultats des tournois'!P85,"&lt;&gt;")&lt;=5,32,IF(COUNTIF('Résultats des tournois'!$B85:'Résultats des tournois'!P85,"&lt;&gt;")&lt;=15,24,16))</f>
        <v>32</v>
      </c>
      <c r="Q85" s="15">
        <f>IF(COUNTIF('Résultats des tournois'!$B85:'Résultats des tournois'!Q85,"&lt;&gt;")&lt;=5,32,IF(COUNTIF('Résultats des tournois'!$B85:'Résultats des tournois'!Q85,"&lt;&gt;")&lt;=15,24,16))</f>
        <v>32</v>
      </c>
      <c r="R85" s="15">
        <f>IF(COUNTIF('Résultats des tournois'!$B85:'Résultats des tournois'!R85,"&lt;&gt;")&lt;=5,32,IF(COUNTIF('Résultats des tournois'!$B85:'Résultats des tournois'!R85,"&lt;&gt;")&lt;=15,24,16))</f>
        <v>32</v>
      </c>
      <c r="S85" s="15">
        <f>IF(COUNTIF('Résultats des tournois'!$B85:'Résultats des tournois'!S85,"&lt;&gt;")&lt;=5,32,IF(COUNTIF('Résultats des tournois'!$B85:'Résultats des tournois'!S85,"&lt;&gt;")&lt;=15,24,16))</f>
        <v>32</v>
      </c>
      <c r="T85" s="15">
        <f>IF(COUNTIF('Résultats des tournois'!$B85:'Résultats des tournois'!T85,"&lt;&gt;")&lt;=5,32,IF(COUNTIF('Résultats des tournois'!$B85:'Résultats des tournois'!T85,"&lt;&gt;")&lt;=15,24,16))</f>
        <v>32</v>
      </c>
      <c r="U85" s="15">
        <f>IF(COUNTIF('Résultats des tournois'!$B85:'Résultats des tournois'!U85,"&lt;&gt;")&lt;=5,32,IF(COUNTIF('Résultats des tournois'!$B85:'Résultats des tournois'!U85,"&lt;&gt;")&lt;=15,24,16))</f>
        <v>32</v>
      </c>
      <c r="V85" s="15">
        <f>IF(COUNTIF('Résultats des tournois'!$B85:'Résultats des tournois'!V85,"&lt;&gt;")&lt;=5,32,IF(COUNTIF('Résultats des tournois'!$B85:'Résultats des tournois'!V85,"&lt;&gt;")&lt;=15,24,16))</f>
        <v>32</v>
      </c>
      <c r="W85" s="15">
        <f>IF(COUNTIF('Résultats des tournois'!$B85:'Résultats des tournois'!W85,"&lt;&gt;")&lt;=5,32,IF(COUNTIF('Résultats des tournois'!$B85:'Résultats des tournois'!W85,"&lt;&gt;")&lt;=15,24,16))</f>
        <v>32</v>
      </c>
      <c r="X85" s="15">
        <f>IF(COUNTIF('Résultats des tournois'!$B85:'Résultats des tournois'!X85,"&lt;&gt;")&lt;=5,32,IF(COUNTIF('Résultats des tournois'!$B85:'Résultats des tournois'!X85,"&lt;&gt;")&lt;=15,24,16))</f>
        <v>32</v>
      </c>
      <c r="Y85" s="15">
        <f>IF(COUNTIF('Résultats des tournois'!$B85:'Résultats des tournois'!Y85,"&lt;&gt;")&lt;=5,32,IF(COUNTIF('Résultats des tournois'!$B85:'Résultats des tournois'!Y85,"&lt;&gt;")&lt;=15,24,16))</f>
        <v>32</v>
      </c>
      <c r="Z85" s="15">
        <f>IF(COUNTIF('Résultats des tournois'!$B85:'Résultats des tournois'!Z85,"&lt;&gt;")&lt;=5,32,IF(COUNTIF('Résultats des tournois'!$B85:'Résultats des tournois'!Z85,"&lt;&gt;")&lt;=15,24,16))</f>
        <v>32</v>
      </c>
      <c r="AA85" s="15">
        <f>IF(COUNTIF('Résultats des tournois'!$B85:'Résultats des tournois'!AA85,"&lt;&gt;")&lt;=5,32,IF(COUNTIF('Résultats des tournois'!$B85:'Résultats des tournois'!AA85,"&lt;&gt;")&lt;=15,24,16))</f>
        <v>32</v>
      </c>
      <c r="AB85" s="15">
        <f>IF(COUNTIF('Résultats des tournois'!$B85:'Résultats des tournois'!AB85,"&lt;&gt;")&lt;=5,32,IF(COUNTIF('Résultats des tournois'!$B85:'Résultats des tournois'!AB85,"&lt;&gt;")&lt;=15,24,16))</f>
        <v>32</v>
      </c>
      <c r="AC85" s="15">
        <f>IF(COUNTIF('Résultats des tournois'!$B85:'Résultats des tournois'!AC85,"&lt;&gt;")&lt;=5,32,IF(COUNTIF('Résultats des tournois'!$B85:'Résultats des tournois'!AC85,"&lt;&gt;")&lt;=15,24,16))</f>
        <v>32</v>
      </c>
      <c r="AD85" s="15">
        <f>IF(COUNTIF('Résultats des tournois'!$B85:'Résultats des tournois'!AD85,"&lt;&gt;")&lt;=5,32,IF(COUNTIF('Résultats des tournois'!$B85:'Résultats des tournois'!AD85,"&lt;&gt;")&lt;=15,24,16))</f>
        <v>32</v>
      </c>
      <c r="AE85" s="15">
        <f>IF(COUNTIF('Résultats des tournois'!$B85:'Résultats des tournois'!AE85,"&lt;&gt;")&lt;=5,32,IF(COUNTIF('Résultats des tournois'!$B85:'Résultats des tournois'!AE85,"&lt;&gt;")&lt;=15,24,16))</f>
        <v>32</v>
      </c>
      <c r="AF85" s="15">
        <f>IF(COUNTIF('Résultats des tournois'!$B85:'Résultats des tournois'!AF85,"&lt;&gt;")&lt;=5,32,IF(COUNTIF('Résultats des tournois'!$B85:'Résultats des tournois'!AF85,"&lt;&gt;")&lt;=15,24,16))</f>
        <v>32</v>
      </c>
      <c r="AG85" s="15">
        <f>IF(COUNTIF('Résultats des tournois'!$B85:'Résultats des tournois'!AG85,"&lt;&gt;")&lt;=5,32,IF(COUNTIF('Résultats des tournois'!$B85:'Résultats des tournois'!AG85,"&lt;&gt;")&lt;=15,24,16))</f>
        <v>32</v>
      </c>
      <c r="AH85" s="15">
        <f>IF(COUNTIF('Résultats des tournois'!$B85:'Résultats des tournois'!AH85,"&lt;&gt;")&lt;=5,32,IF(COUNTIF('Résultats des tournois'!$B85:'Résultats des tournois'!AH85,"&lt;&gt;")&lt;=15,24,16))</f>
        <v>32</v>
      </c>
      <c r="AI85" s="15">
        <f>IF(COUNTIF('Résultats des tournois'!$B85:'Résultats des tournois'!AI85,"&lt;&gt;")&lt;=5,32,IF(COUNTIF('Résultats des tournois'!$B85:'Résultats des tournois'!AI85,"&lt;&gt;")&lt;=15,24,16))</f>
        <v>32</v>
      </c>
      <c r="AJ85" s="15">
        <f>IF(COUNTIF('Résultats des tournois'!$B85:'Résultats des tournois'!AJ85,"&lt;&gt;")&lt;=5,32,IF(COUNTIF('Résultats des tournois'!$B85:'Résultats des tournois'!AJ85,"&lt;&gt;")&lt;=15,24,16))</f>
        <v>32</v>
      </c>
      <c r="AK85" s="15">
        <f>IF(COUNTIF('Résultats des tournois'!$B85:'Résultats des tournois'!AK85,"&lt;&gt;")&lt;=5,32,IF(COUNTIF('Résultats des tournois'!$B85:'Résultats des tournois'!AK85,"&lt;&gt;")&lt;=15,24,16))</f>
        <v>32</v>
      </c>
      <c r="AL85" s="15">
        <f>IF(COUNTIF('Résultats des tournois'!$B85:'Résultats des tournois'!AL85,"&lt;&gt;")&lt;=5,32,IF(COUNTIF('Résultats des tournois'!$B85:'Résultats des tournois'!AL85,"&lt;&gt;")&lt;=15,24,16))</f>
        <v>32</v>
      </c>
      <c r="AM85" s="15">
        <f>IF(COUNTIF('Résultats des tournois'!$B85:'Résultats des tournois'!AM85,"&lt;&gt;")&lt;=5,32,IF(COUNTIF('Résultats des tournois'!$B85:'Résultats des tournois'!AM85,"&lt;&gt;")&lt;=15,24,16))</f>
        <v>32</v>
      </c>
      <c r="AN85" s="15">
        <f>IF(COUNTIF('Résultats des tournois'!$B85:'Résultats des tournois'!AN85,"&lt;&gt;")&lt;=5,32,IF(COUNTIF('Résultats des tournois'!$B85:'Résultats des tournois'!AN85,"&lt;&gt;")&lt;=15,24,16))</f>
        <v>32</v>
      </c>
      <c r="AO85" s="15">
        <f>IF(COUNTIF('Résultats des tournois'!$B85:'Résultats des tournois'!AO85,"&lt;&gt;")&lt;=5,32,IF(COUNTIF('Résultats des tournois'!$B85:'Résultats des tournois'!AO85,"&lt;&gt;")&lt;=15,24,16))</f>
        <v>32</v>
      </c>
      <c r="AP85" s="15">
        <f>IF(COUNTIF('Résultats des tournois'!$B85:'Résultats des tournois'!AP85,"&lt;&gt;")&lt;=5,32,IF(COUNTIF('Résultats des tournois'!$B85:'Résultats des tournois'!AP85,"&lt;&gt;")&lt;=15,24,16))</f>
        <v>32</v>
      </c>
      <c r="AQ85" s="15">
        <f>IF(COUNTIF('Résultats des tournois'!$B85:'Résultats des tournois'!AQ85,"&lt;&gt;")&lt;=5,32,IF(COUNTIF('Résultats des tournois'!$B85:'Résultats des tournois'!AQ85,"&lt;&gt;")&lt;=15,24,16))</f>
        <v>32</v>
      </c>
      <c r="AR85" s="15">
        <f>IF(COUNTIF('Résultats des tournois'!$B85:'Résultats des tournois'!AR85,"&lt;&gt;")&lt;=5,32,IF(COUNTIF('Résultats des tournois'!$B85:'Résultats des tournois'!AR85,"&lt;&gt;")&lt;=15,24,16))</f>
        <v>32</v>
      </c>
      <c r="AS85" s="15">
        <f>IF(COUNTIF('Résultats des tournois'!$B85:'Résultats des tournois'!AS85,"&lt;&gt;")&lt;=5,32,IF(COUNTIF('Résultats des tournois'!$B85:'Résultats des tournois'!AS85,"&lt;&gt;")&lt;=15,24,16))</f>
        <v>32</v>
      </c>
      <c r="AT85" s="15">
        <f>IF(COUNTIF('Résultats des tournois'!$B85:'Résultats des tournois'!AT85,"&lt;&gt;")&lt;=5,32,IF(COUNTIF('Résultats des tournois'!$B85:'Résultats des tournois'!AT85,"&lt;&gt;")&lt;=15,24,16))</f>
        <v>32</v>
      </c>
      <c r="AU85" s="15">
        <f>IF(COUNTIF('Résultats des tournois'!$B85:'Résultats des tournois'!AU85,"&lt;&gt;")&lt;=5,32,IF(COUNTIF('Résultats des tournois'!$B85:'Résultats des tournois'!AU85,"&lt;&gt;")&lt;=15,24,16))</f>
        <v>32</v>
      </c>
      <c r="AV85" s="15">
        <f>IF(COUNTIF('Résultats des tournois'!$B85:'Résultats des tournois'!AV85,"&lt;&gt;")&lt;=5,32,IF(COUNTIF('Résultats des tournois'!$B85:'Résultats des tournois'!AV85,"&lt;&gt;")&lt;=15,24,16))</f>
        <v>32</v>
      </c>
      <c r="AW85" s="15">
        <f>IF(COUNTIF('Résultats des tournois'!$B85:'Résultats des tournois'!AW85,"&lt;&gt;")&lt;=5,32,IF(COUNTIF('Résultats des tournois'!$B85:'Résultats des tournois'!AW85,"&lt;&gt;")&lt;=15,24,16))</f>
        <v>32</v>
      </c>
      <c r="AX85" s="15">
        <f>IF(COUNTIF('Résultats des tournois'!$B85:'Résultats des tournois'!AX85,"&lt;&gt;")&lt;=5,32,IF(COUNTIF('Résultats des tournois'!$B85:'Résultats des tournois'!AX85,"&lt;&gt;")&lt;=15,24,16))</f>
        <v>32</v>
      </c>
    </row>
    <row r="86" ht="14.25" customHeight="1">
      <c r="A86" s="15" t="str">
        <f>IF('Résultats des tournois'!A86="","",'Résultats des tournois'!A86)</f>
        <v/>
      </c>
      <c r="B86" s="15">
        <f>IF(COUNTIF('Résultats des tournois'!B86,"&lt;&gt;")&lt;=5,32,IF(COUNTIF('Résultats des tournois'!B86,"&lt;&gt;")&lt;=15,24,16))</f>
        <v>32</v>
      </c>
      <c r="C86" s="15">
        <f>IF(COUNTIF('Résultats des tournois'!$B86:'Résultats des tournois'!C86,"&lt;&gt;")&lt;=5,32,IF(COUNTIF('Résultats des tournois'!$B86:'Résultats des tournois'!C86,"&lt;&gt;")&lt;=15,24,16))</f>
        <v>32</v>
      </c>
      <c r="D86" s="15">
        <f>IF(COUNTIF('Résultats des tournois'!$B86:'Résultats des tournois'!D86,"&lt;&gt;")&lt;=5,32,IF(COUNTIF('Résultats des tournois'!$B86:'Résultats des tournois'!D86,"&lt;&gt;")&lt;=15,24,16))</f>
        <v>32</v>
      </c>
      <c r="E86" s="15">
        <f>IF(COUNTIF('Résultats des tournois'!$B86:'Résultats des tournois'!E86,"&lt;&gt;")&lt;=5,32,IF(COUNTIF('Résultats des tournois'!$B86:'Résultats des tournois'!E86,"&lt;&gt;")&lt;=15,24,16))</f>
        <v>32</v>
      </c>
      <c r="F86" s="15">
        <f>IF(COUNTIF('Résultats des tournois'!$B86:'Résultats des tournois'!F86,"&lt;&gt;")&lt;=5,32,IF(COUNTIF('Résultats des tournois'!$B86:'Résultats des tournois'!F86,"&lt;&gt;")&lt;=15,24,16))</f>
        <v>32</v>
      </c>
      <c r="G86" s="15">
        <f>IF(COUNTIF('Résultats des tournois'!$B86:'Résultats des tournois'!G86,"&lt;&gt;")&lt;=5,32,IF(COUNTIF('Résultats des tournois'!$B86:'Résultats des tournois'!G86,"&lt;&gt;")&lt;=15,24,16))</f>
        <v>32</v>
      </c>
      <c r="H86" s="15">
        <f>IF(COUNTIF('Résultats des tournois'!$B86:'Résultats des tournois'!H86,"&lt;&gt;")&lt;=5,32,IF(COUNTIF('Résultats des tournois'!$B86:'Résultats des tournois'!H86,"&lt;&gt;")&lt;=15,24,16))</f>
        <v>32</v>
      </c>
      <c r="I86" s="15">
        <f>IF(COUNTIF('Résultats des tournois'!$B86:'Résultats des tournois'!I86,"&lt;&gt;")&lt;=5,32,IF(COUNTIF('Résultats des tournois'!$B86:'Résultats des tournois'!I86,"&lt;&gt;")&lt;=15,24,16))</f>
        <v>32</v>
      </c>
      <c r="J86" s="15">
        <f>IF(COUNTIF('Résultats des tournois'!$B86:'Résultats des tournois'!J86,"&lt;&gt;")&lt;=5,32,IF(COUNTIF('Résultats des tournois'!$B86:'Résultats des tournois'!J86,"&lt;&gt;")&lt;=15,24,16))</f>
        <v>32</v>
      </c>
      <c r="K86" s="15">
        <f>IF(COUNTIF('Résultats des tournois'!$B86:'Résultats des tournois'!K86,"&lt;&gt;")&lt;=5,32,IF(COUNTIF('Résultats des tournois'!$B86:'Résultats des tournois'!K86,"&lt;&gt;")&lt;=15,24,16))</f>
        <v>32</v>
      </c>
      <c r="L86" s="15">
        <f>IF(COUNTIF('Résultats des tournois'!$B86:'Résultats des tournois'!L86,"&lt;&gt;")&lt;=5,32,IF(COUNTIF('Résultats des tournois'!$B86:'Résultats des tournois'!L86,"&lt;&gt;")&lt;=15,24,16))</f>
        <v>32</v>
      </c>
      <c r="M86" s="15">
        <f>IF(COUNTIF('Résultats des tournois'!$B86:'Résultats des tournois'!M86,"&lt;&gt;")&lt;=5,32,IF(COUNTIF('Résultats des tournois'!$B86:'Résultats des tournois'!M86,"&lt;&gt;")&lt;=15,24,16))</f>
        <v>32</v>
      </c>
      <c r="N86" s="15">
        <f>IF(COUNTIF('Résultats des tournois'!$B86:'Résultats des tournois'!N86,"&lt;&gt;")&lt;=5,32,IF(COUNTIF('Résultats des tournois'!$B86:'Résultats des tournois'!N86,"&lt;&gt;")&lt;=15,24,16))</f>
        <v>32</v>
      </c>
      <c r="O86" s="15">
        <f>IF(COUNTIF('Résultats des tournois'!$B86:'Résultats des tournois'!O86,"&lt;&gt;")&lt;=5,32,IF(COUNTIF('Résultats des tournois'!$B86:'Résultats des tournois'!O86,"&lt;&gt;")&lt;=15,24,16))</f>
        <v>32</v>
      </c>
      <c r="P86" s="15">
        <f>IF(COUNTIF('Résultats des tournois'!$B86:'Résultats des tournois'!P86,"&lt;&gt;")&lt;=5,32,IF(COUNTIF('Résultats des tournois'!$B86:'Résultats des tournois'!P86,"&lt;&gt;")&lt;=15,24,16))</f>
        <v>32</v>
      </c>
      <c r="Q86" s="15">
        <f>IF(COUNTIF('Résultats des tournois'!$B86:'Résultats des tournois'!Q86,"&lt;&gt;")&lt;=5,32,IF(COUNTIF('Résultats des tournois'!$B86:'Résultats des tournois'!Q86,"&lt;&gt;")&lt;=15,24,16))</f>
        <v>32</v>
      </c>
      <c r="R86" s="15">
        <f>IF(COUNTIF('Résultats des tournois'!$B86:'Résultats des tournois'!R86,"&lt;&gt;")&lt;=5,32,IF(COUNTIF('Résultats des tournois'!$B86:'Résultats des tournois'!R86,"&lt;&gt;")&lt;=15,24,16))</f>
        <v>32</v>
      </c>
      <c r="S86" s="15">
        <f>IF(COUNTIF('Résultats des tournois'!$B86:'Résultats des tournois'!S86,"&lt;&gt;")&lt;=5,32,IF(COUNTIF('Résultats des tournois'!$B86:'Résultats des tournois'!S86,"&lt;&gt;")&lt;=15,24,16))</f>
        <v>32</v>
      </c>
      <c r="T86" s="15">
        <f>IF(COUNTIF('Résultats des tournois'!$B86:'Résultats des tournois'!T86,"&lt;&gt;")&lt;=5,32,IF(COUNTIF('Résultats des tournois'!$B86:'Résultats des tournois'!T86,"&lt;&gt;")&lt;=15,24,16))</f>
        <v>32</v>
      </c>
      <c r="U86" s="15">
        <f>IF(COUNTIF('Résultats des tournois'!$B86:'Résultats des tournois'!U86,"&lt;&gt;")&lt;=5,32,IF(COUNTIF('Résultats des tournois'!$B86:'Résultats des tournois'!U86,"&lt;&gt;")&lt;=15,24,16))</f>
        <v>32</v>
      </c>
      <c r="V86" s="15">
        <f>IF(COUNTIF('Résultats des tournois'!$B86:'Résultats des tournois'!V86,"&lt;&gt;")&lt;=5,32,IF(COUNTIF('Résultats des tournois'!$B86:'Résultats des tournois'!V86,"&lt;&gt;")&lt;=15,24,16))</f>
        <v>32</v>
      </c>
      <c r="W86" s="15">
        <f>IF(COUNTIF('Résultats des tournois'!$B86:'Résultats des tournois'!W86,"&lt;&gt;")&lt;=5,32,IF(COUNTIF('Résultats des tournois'!$B86:'Résultats des tournois'!W86,"&lt;&gt;")&lt;=15,24,16))</f>
        <v>32</v>
      </c>
      <c r="X86" s="15">
        <f>IF(COUNTIF('Résultats des tournois'!$B86:'Résultats des tournois'!X86,"&lt;&gt;")&lt;=5,32,IF(COUNTIF('Résultats des tournois'!$B86:'Résultats des tournois'!X86,"&lt;&gt;")&lt;=15,24,16))</f>
        <v>32</v>
      </c>
      <c r="Y86" s="15">
        <f>IF(COUNTIF('Résultats des tournois'!$B86:'Résultats des tournois'!Y86,"&lt;&gt;")&lt;=5,32,IF(COUNTIF('Résultats des tournois'!$B86:'Résultats des tournois'!Y86,"&lt;&gt;")&lt;=15,24,16))</f>
        <v>32</v>
      </c>
      <c r="Z86" s="15">
        <f>IF(COUNTIF('Résultats des tournois'!$B86:'Résultats des tournois'!Z86,"&lt;&gt;")&lt;=5,32,IF(COUNTIF('Résultats des tournois'!$B86:'Résultats des tournois'!Z86,"&lt;&gt;")&lt;=15,24,16))</f>
        <v>32</v>
      </c>
      <c r="AA86" s="15">
        <f>IF(COUNTIF('Résultats des tournois'!$B86:'Résultats des tournois'!AA86,"&lt;&gt;")&lt;=5,32,IF(COUNTIF('Résultats des tournois'!$B86:'Résultats des tournois'!AA86,"&lt;&gt;")&lt;=15,24,16))</f>
        <v>32</v>
      </c>
      <c r="AB86" s="15">
        <f>IF(COUNTIF('Résultats des tournois'!$B86:'Résultats des tournois'!AB86,"&lt;&gt;")&lt;=5,32,IF(COUNTIF('Résultats des tournois'!$B86:'Résultats des tournois'!AB86,"&lt;&gt;")&lt;=15,24,16))</f>
        <v>32</v>
      </c>
      <c r="AC86" s="15">
        <f>IF(COUNTIF('Résultats des tournois'!$B86:'Résultats des tournois'!AC86,"&lt;&gt;")&lt;=5,32,IF(COUNTIF('Résultats des tournois'!$B86:'Résultats des tournois'!AC86,"&lt;&gt;")&lt;=15,24,16))</f>
        <v>32</v>
      </c>
      <c r="AD86" s="15">
        <f>IF(COUNTIF('Résultats des tournois'!$B86:'Résultats des tournois'!AD86,"&lt;&gt;")&lt;=5,32,IF(COUNTIF('Résultats des tournois'!$B86:'Résultats des tournois'!AD86,"&lt;&gt;")&lt;=15,24,16))</f>
        <v>32</v>
      </c>
      <c r="AE86" s="15">
        <f>IF(COUNTIF('Résultats des tournois'!$B86:'Résultats des tournois'!AE86,"&lt;&gt;")&lt;=5,32,IF(COUNTIF('Résultats des tournois'!$B86:'Résultats des tournois'!AE86,"&lt;&gt;")&lt;=15,24,16))</f>
        <v>32</v>
      </c>
      <c r="AF86" s="15">
        <f>IF(COUNTIF('Résultats des tournois'!$B86:'Résultats des tournois'!AF86,"&lt;&gt;")&lt;=5,32,IF(COUNTIF('Résultats des tournois'!$B86:'Résultats des tournois'!AF86,"&lt;&gt;")&lt;=15,24,16))</f>
        <v>32</v>
      </c>
      <c r="AG86" s="15">
        <f>IF(COUNTIF('Résultats des tournois'!$B86:'Résultats des tournois'!AG86,"&lt;&gt;")&lt;=5,32,IF(COUNTIF('Résultats des tournois'!$B86:'Résultats des tournois'!AG86,"&lt;&gt;")&lt;=15,24,16))</f>
        <v>32</v>
      </c>
      <c r="AH86" s="15">
        <f>IF(COUNTIF('Résultats des tournois'!$B86:'Résultats des tournois'!AH86,"&lt;&gt;")&lt;=5,32,IF(COUNTIF('Résultats des tournois'!$B86:'Résultats des tournois'!AH86,"&lt;&gt;")&lt;=15,24,16))</f>
        <v>32</v>
      </c>
      <c r="AI86" s="15">
        <f>IF(COUNTIF('Résultats des tournois'!$B86:'Résultats des tournois'!AI86,"&lt;&gt;")&lt;=5,32,IF(COUNTIF('Résultats des tournois'!$B86:'Résultats des tournois'!AI86,"&lt;&gt;")&lt;=15,24,16))</f>
        <v>32</v>
      </c>
      <c r="AJ86" s="15">
        <f>IF(COUNTIF('Résultats des tournois'!$B86:'Résultats des tournois'!AJ86,"&lt;&gt;")&lt;=5,32,IF(COUNTIF('Résultats des tournois'!$B86:'Résultats des tournois'!AJ86,"&lt;&gt;")&lt;=15,24,16))</f>
        <v>32</v>
      </c>
      <c r="AK86" s="15">
        <f>IF(COUNTIF('Résultats des tournois'!$B86:'Résultats des tournois'!AK86,"&lt;&gt;")&lt;=5,32,IF(COUNTIF('Résultats des tournois'!$B86:'Résultats des tournois'!AK86,"&lt;&gt;")&lt;=15,24,16))</f>
        <v>32</v>
      </c>
      <c r="AL86" s="15">
        <f>IF(COUNTIF('Résultats des tournois'!$B86:'Résultats des tournois'!AL86,"&lt;&gt;")&lt;=5,32,IF(COUNTIF('Résultats des tournois'!$B86:'Résultats des tournois'!AL86,"&lt;&gt;")&lt;=15,24,16))</f>
        <v>32</v>
      </c>
      <c r="AM86" s="15">
        <f>IF(COUNTIF('Résultats des tournois'!$B86:'Résultats des tournois'!AM86,"&lt;&gt;")&lt;=5,32,IF(COUNTIF('Résultats des tournois'!$B86:'Résultats des tournois'!AM86,"&lt;&gt;")&lt;=15,24,16))</f>
        <v>32</v>
      </c>
      <c r="AN86" s="15">
        <f>IF(COUNTIF('Résultats des tournois'!$B86:'Résultats des tournois'!AN86,"&lt;&gt;")&lt;=5,32,IF(COUNTIF('Résultats des tournois'!$B86:'Résultats des tournois'!AN86,"&lt;&gt;")&lt;=15,24,16))</f>
        <v>32</v>
      </c>
      <c r="AO86" s="15">
        <f>IF(COUNTIF('Résultats des tournois'!$B86:'Résultats des tournois'!AO86,"&lt;&gt;")&lt;=5,32,IF(COUNTIF('Résultats des tournois'!$B86:'Résultats des tournois'!AO86,"&lt;&gt;")&lt;=15,24,16))</f>
        <v>32</v>
      </c>
      <c r="AP86" s="15">
        <f>IF(COUNTIF('Résultats des tournois'!$B86:'Résultats des tournois'!AP86,"&lt;&gt;")&lt;=5,32,IF(COUNTIF('Résultats des tournois'!$B86:'Résultats des tournois'!AP86,"&lt;&gt;")&lt;=15,24,16))</f>
        <v>32</v>
      </c>
      <c r="AQ86" s="15">
        <f>IF(COUNTIF('Résultats des tournois'!$B86:'Résultats des tournois'!AQ86,"&lt;&gt;")&lt;=5,32,IF(COUNTIF('Résultats des tournois'!$B86:'Résultats des tournois'!AQ86,"&lt;&gt;")&lt;=15,24,16))</f>
        <v>32</v>
      </c>
      <c r="AR86" s="15">
        <f>IF(COUNTIF('Résultats des tournois'!$B86:'Résultats des tournois'!AR86,"&lt;&gt;")&lt;=5,32,IF(COUNTIF('Résultats des tournois'!$B86:'Résultats des tournois'!AR86,"&lt;&gt;")&lt;=15,24,16))</f>
        <v>32</v>
      </c>
      <c r="AS86" s="15">
        <f>IF(COUNTIF('Résultats des tournois'!$B86:'Résultats des tournois'!AS86,"&lt;&gt;")&lt;=5,32,IF(COUNTIF('Résultats des tournois'!$B86:'Résultats des tournois'!AS86,"&lt;&gt;")&lt;=15,24,16))</f>
        <v>32</v>
      </c>
      <c r="AT86" s="15">
        <f>IF(COUNTIF('Résultats des tournois'!$B86:'Résultats des tournois'!AT86,"&lt;&gt;")&lt;=5,32,IF(COUNTIF('Résultats des tournois'!$B86:'Résultats des tournois'!AT86,"&lt;&gt;")&lt;=15,24,16))</f>
        <v>32</v>
      </c>
      <c r="AU86" s="15">
        <f>IF(COUNTIF('Résultats des tournois'!$B86:'Résultats des tournois'!AU86,"&lt;&gt;")&lt;=5,32,IF(COUNTIF('Résultats des tournois'!$B86:'Résultats des tournois'!AU86,"&lt;&gt;")&lt;=15,24,16))</f>
        <v>32</v>
      </c>
      <c r="AV86" s="15">
        <f>IF(COUNTIF('Résultats des tournois'!$B86:'Résultats des tournois'!AV86,"&lt;&gt;")&lt;=5,32,IF(COUNTIF('Résultats des tournois'!$B86:'Résultats des tournois'!AV86,"&lt;&gt;")&lt;=15,24,16))</f>
        <v>32</v>
      </c>
      <c r="AW86" s="15">
        <f>IF(COUNTIF('Résultats des tournois'!$B86:'Résultats des tournois'!AW86,"&lt;&gt;")&lt;=5,32,IF(COUNTIF('Résultats des tournois'!$B86:'Résultats des tournois'!AW86,"&lt;&gt;")&lt;=15,24,16))</f>
        <v>32</v>
      </c>
      <c r="AX86" s="15">
        <f>IF(COUNTIF('Résultats des tournois'!$B86:'Résultats des tournois'!AX86,"&lt;&gt;")&lt;=5,32,IF(COUNTIF('Résultats des tournois'!$B86:'Résultats des tournois'!AX86,"&lt;&gt;")&lt;=15,24,16))</f>
        <v>32</v>
      </c>
    </row>
    <row r="87" ht="14.25" customHeight="1">
      <c r="A87" s="15" t="str">
        <f>IF('Résultats des tournois'!A87="","",'Résultats des tournois'!A87)</f>
        <v/>
      </c>
      <c r="B87" s="15">
        <f>IF(COUNTIF('Résultats des tournois'!B87,"&lt;&gt;")&lt;=5,32,IF(COUNTIF('Résultats des tournois'!B87,"&lt;&gt;")&lt;=15,24,16))</f>
        <v>32</v>
      </c>
      <c r="C87" s="15">
        <f>IF(COUNTIF('Résultats des tournois'!$B87:'Résultats des tournois'!C87,"&lt;&gt;")&lt;=5,32,IF(COUNTIF('Résultats des tournois'!$B87:'Résultats des tournois'!C87,"&lt;&gt;")&lt;=15,24,16))</f>
        <v>32</v>
      </c>
      <c r="D87" s="15">
        <f>IF(COUNTIF('Résultats des tournois'!$B87:'Résultats des tournois'!D87,"&lt;&gt;")&lt;=5,32,IF(COUNTIF('Résultats des tournois'!$B87:'Résultats des tournois'!D87,"&lt;&gt;")&lt;=15,24,16))</f>
        <v>32</v>
      </c>
      <c r="E87" s="15">
        <f>IF(COUNTIF('Résultats des tournois'!$B87:'Résultats des tournois'!E87,"&lt;&gt;")&lt;=5,32,IF(COUNTIF('Résultats des tournois'!$B87:'Résultats des tournois'!E87,"&lt;&gt;")&lt;=15,24,16))</f>
        <v>32</v>
      </c>
      <c r="F87" s="15">
        <f>IF(COUNTIF('Résultats des tournois'!$B87:'Résultats des tournois'!F87,"&lt;&gt;")&lt;=5,32,IF(COUNTIF('Résultats des tournois'!$B87:'Résultats des tournois'!F87,"&lt;&gt;")&lt;=15,24,16))</f>
        <v>32</v>
      </c>
      <c r="G87" s="15">
        <f>IF(COUNTIF('Résultats des tournois'!$B87:'Résultats des tournois'!G87,"&lt;&gt;")&lt;=5,32,IF(COUNTIF('Résultats des tournois'!$B87:'Résultats des tournois'!G87,"&lt;&gt;")&lt;=15,24,16))</f>
        <v>32</v>
      </c>
      <c r="H87" s="15">
        <f>IF(COUNTIF('Résultats des tournois'!$B87:'Résultats des tournois'!H87,"&lt;&gt;")&lt;=5,32,IF(COUNTIF('Résultats des tournois'!$B87:'Résultats des tournois'!H87,"&lt;&gt;")&lt;=15,24,16))</f>
        <v>32</v>
      </c>
      <c r="I87" s="15">
        <f>IF(COUNTIF('Résultats des tournois'!$B87:'Résultats des tournois'!I87,"&lt;&gt;")&lt;=5,32,IF(COUNTIF('Résultats des tournois'!$B87:'Résultats des tournois'!I87,"&lt;&gt;")&lt;=15,24,16))</f>
        <v>32</v>
      </c>
      <c r="J87" s="15">
        <f>IF(COUNTIF('Résultats des tournois'!$B87:'Résultats des tournois'!J87,"&lt;&gt;")&lt;=5,32,IF(COUNTIF('Résultats des tournois'!$B87:'Résultats des tournois'!J87,"&lt;&gt;")&lt;=15,24,16))</f>
        <v>32</v>
      </c>
      <c r="K87" s="15">
        <f>IF(COUNTIF('Résultats des tournois'!$B87:'Résultats des tournois'!K87,"&lt;&gt;")&lt;=5,32,IF(COUNTIF('Résultats des tournois'!$B87:'Résultats des tournois'!K87,"&lt;&gt;")&lt;=15,24,16))</f>
        <v>32</v>
      </c>
      <c r="L87" s="15">
        <f>IF(COUNTIF('Résultats des tournois'!$B87:'Résultats des tournois'!L87,"&lt;&gt;")&lt;=5,32,IF(COUNTIF('Résultats des tournois'!$B87:'Résultats des tournois'!L87,"&lt;&gt;")&lt;=15,24,16))</f>
        <v>32</v>
      </c>
      <c r="M87" s="15">
        <f>IF(COUNTIF('Résultats des tournois'!$B87:'Résultats des tournois'!M87,"&lt;&gt;")&lt;=5,32,IF(COUNTIF('Résultats des tournois'!$B87:'Résultats des tournois'!M87,"&lt;&gt;")&lt;=15,24,16))</f>
        <v>32</v>
      </c>
      <c r="N87" s="15">
        <f>IF(COUNTIF('Résultats des tournois'!$B87:'Résultats des tournois'!N87,"&lt;&gt;")&lt;=5,32,IF(COUNTIF('Résultats des tournois'!$B87:'Résultats des tournois'!N87,"&lt;&gt;")&lt;=15,24,16))</f>
        <v>32</v>
      </c>
      <c r="O87" s="15">
        <f>IF(COUNTIF('Résultats des tournois'!$B87:'Résultats des tournois'!O87,"&lt;&gt;")&lt;=5,32,IF(COUNTIF('Résultats des tournois'!$B87:'Résultats des tournois'!O87,"&lt;&gt;")&lt;=15,24,16))</f>
        <v>32</v>
      </c>
      <c r="P87" s="15">
        <f>IF(COUNTIF('Résultats des tournois'!$B87:'Résultats des tournois'!P87,"&lt;&gt;")&lt;=5,32,IF(COUNTIF('Résultats des tournois'!$B87:'Résultats des tournois'!P87,"&lt;&gt;")&lt;=15,24,16))</f>
        <v>32</v>
      </c>
      <c r="Q87" s="15">
        <f>IF(COUNTIF('Résultats des tournois'!$B87:'Résultats des tournois'!Q87,"&lt;&gt;")&lt;=5,32,IF(COUNTIF('Résultats des tournois'!$B87:'Résultats des tournois'!Q87,"&lt;&gt;")&lt;=15,24,16))</f>
        <v>32</v>
      </c>
      <c r="R87" s="15">
        <f>IF(COUNTIF('Résultats des tournois'!$B87:'Résultats des tournois'!R87,"&lt;&gt;")&lt;=5,32,IF(COUNTIF('Résultats des tournois'!$B87:'Résultats des tournois'!R87,"&lt;&gt;")&lt;=15,24,16))</f>
        <v>32</v>
      </c>
      <c r="S87" s="15">
        <f>IF(COUNTIF('Résultats des tournois'!$B87:'Résultats des tournois'!S87,"&lt;&gt;")&lt;=5,32,IF(COUNTIF('Résultats des tournois'!$B87:'Résultats des tournois'!S87,"&lt;&gt;")&lt;=15,24,16))</f>
        <v>32</v>
      </c>
      <c r="T87" s="15">
        <f>IF(COUNTIF('Résultats des tournois'!$B87:'Résultats des tournois'!T87,"&lt;&gt;")&lt;=5,32,IF(COUNTIF('Résultats des tournois'!$B87:'Résultats des tournois'!T87,"&lt;&gt;")&lt;=15,24,16))</f>
        <v>32</v>
      </c>
      <c r="U87" s="15">
        <f>IF(COUNTIF('Résultats des tournois'!$B87:'Résultats des tournois'!U87,"&lt;&gt;")&lt;=5,32,IF(COUNTIF('Résultats des tournois'!$B87:'Résultats des tournois'!U87,"&lt;&gt;")&lt;=15,24,16))</f>
        <v>32</v>
      </c>
      <c r="V87" s="15">
        <f>IF(COUNTIF('Résultats des tournois'!$B87:'Résultats des tournois'!V87,"&lt;&gt;")&lt;=5,32,IF(COUNTIF('Résultats des tournois'!$B87:'Résultats des tournois'!V87,"&lt;&gt;")&lt;=15,24,16))</f>
        <v>32</v>
      </c>
      <c r="W87" s="15">
        <f>IF(COUNTIF('Résultats des tournois'!$B87:'Résultats des tournois'!W87,"&lt;&gt;")&lt;=5,32,IF(COUNTIF('Résultats des tournois'!$B87:'Résultats des tournois'!W87,"&lt;&gt;")&lt;=15,24,16))</f>
        <v>32</v>
      </c>
      <c r="X87" s="15">
        <f>IF(COUNTIF('Résultats des tournois'!$B87:'Résultats des tournois'!X87,"&lt;&gt;")&lt;=5,32,IF(COUNTIF('Résultats des tournois'!$B87:'Résultats des tournois'!X87,"&lt;&gt;")&lt;=15,24,16))</f>
        <v>32</v>
      </c>
      <c r="Y87" s="15">
        <f>IF(COUNTIF('Résultats des tournois'!$B87:'Résultats des tournois'!Y87,"&lt;&gt;")&lt;=5,32,IF(COUNTIF('Résultats des tournois'!$B87:'Résultats des tournois'!Y87,"&lt;&gt;")&lt;=15,24,16))</f>
        <v>32</v>
      </c>
      <c r="Z87" s="15">
        <f>IF(COUNTIF('Résultats des tournois'!$B87:'Résultats des tournois'!Z87,"&lt;&gt;")&lt;=5,32,IF(COUNTIF('Résultats des tournois'!$B87:'Résultats des tournois'!Z87,"&lt;&gt;")&lt;=15,24,16))</f>
        <v>32</v>
      </c>
      <c r="AA87" s="15">
        <f>IF(COUNTIF('Résultats des tournois'!$B87:'Résultats des tournois'!AA87,"&lt;&gt;")&lt;=5,32,IF(COUNTIF('Résultats des tournois'!$B87:'Résultats des tournois'!AA87,"&lt;&gt;")&lt;=15,24,16))</f>
        <v>32</v>
      </c>
      <c r="AB87" s="15">
        <f>IF(COUNTIF('Résultats des tournois'!$B87:'Résultats des tournois'!AB87,"&lt;&gt;")&lt;=5,32,IF(COUNTIF('Résultats des tournois'!$B87:'Résultats des tournois'!AB87,"&lt;&gt;")&lt;=15,24,16))</f>
        <v>32</v>
      </c>
      <c r="AC87" s="15">
        <f>IF(COUNTIF('Résultats des tournois'!$B87:'Résultats des tournois'!AC87,"&lt;&gt;")&lt;=5,32,IF(COUNTIF('Résultats des tournois'!$B87:'Résultats des tournois'!AC87,"&lt;&gt;")&lt;=15,24,16))</f>
        <v>32</v>
      </c>
      <c r="AD87" s="15">
        <f>IF(COUNTIF('Résultats des tournois'!$B87:'Résultats des tournois'!AD87,"&lt;&gt;")&lt;=5,32,IF(COUNTIF('Résultats des tournois'!$B87:'Résultats des tournois'!AD87,"&lt;&gt;")&lt;=15,24,16))</f>
        <v>32</v>
      </c>
      <c r="AE87" s="15">
        <f>IF(COUNTIF('Résultats des tournois'!$B87:'Résultats des tournois'!AE87,"&lt;&gt;")&lt;=5,32,IF(COUNTIF('Résultats des tournois'!$B87:'Résultats des tournois'!AE87,"&lt;&gt;")&lt;=15,24,16))</f>
        <v>32</v>
      </c>
      <c r="AF87" s="15">
        <f>IF(COUNTIF('Résultats des tournois'!$B87:'Résultats des tournois'!AF87,"&lt;&gt;")&lt;=5,32,IF(COUNTIF('Résultats des tournois'!$B87:'Résultats des tournois'!AF87,"&lt;&gt;")&lt;=15,24,16))</f>
        <v>32</v>
      </c>
      <c r="AG87" s="15">
        <f>IF(COUNTIF('Résultats des tournois'!$B87:'Résultats des tournois'!AG87,"&lt;&gt;")&lt;=5,32,IF(COUNTIF('Résultats des tournois'!$B87:'Résultats des tournois'!AG87,"&lt;&gt;")&lt;=15,24,16))</f>
        <v>32</v>
      </c>
      <c r="AH87" s="15">
        <f>IF(COUNTIF('Résultats des tournois'!$B87:'Résultats des tournois'!AH87,"&lt;&gt;")&lt;=5,32,IF(COUNTIF('Résultats des tournois'!$B87:'Résultats des tournois'!AH87,"&lt;&gt;")&lt;=15,24,16))</f>
        <v>32</v>
      </c>
      <c r="AI87" s="15">
        <f>IF(COUNTIF('Résultats des tournois'!$B87:'Résultats des tournois'!AI87,"&lt;&gt;")&lt;=5,32,IF(COUNTIF('Résultats des tournois'!$B87:'Résultats des tournois'!AI87,"&lt;&gt;")&lt;=15,24,16))</f>
        <v>32</v>
      </c>
      <c r="AJ87" s="15">
        <f>IF(COUNTIF('Résultats des tournois'!$B87:'Résultats des tournois'!AJ87,"&lt;&gt;")&lt;=5,32,IF(COUNTIF('Résultats des tournois'!$B87:'Résultats des tournois'!AJ87,"&lt;&gt;")&lt;=15,24,16))</f>
        <v>32</v>
      </c>
      <c r="AK87" s="15">
        <f>IF(COUNTIF('Résultats des tournois'!$B87:'Résultats des tournois'!AK87,"&lt;&gt;")&lt;=5,32,IF(COUNTIF('Résultats des tournois'!$B87:'Résultats des tournois'!AK87,"&lt;&gt;")&lt;=15,24,16))</f>
        <v>32</v>
      </c>
      <c r="AL87" s="15">
        <f>IF(COUNTIF('Résultats des tournois'!$B87:'Résultats des tournois'!AL87,"&lt;&gt;")&lt;=5,32,IF(COUNTIF('Résultats des tournois'!$B87:'Résultats des tournois'!AL87,"&lt;&gt;")&lt;=15,24,16))</f>
        <v>32</v>
      </c>
      <c r="AM87" s="15">
        <f>IF(COUNTIF('Résultats des tournois'!$B87:'Résultats des tournois'!AM87,"&lt;&gt;")&lt;=5,32,IF(COUNTIF('Résultats des tournois'!$B87:'Résultats des tournois'!AM87,"&lt;&gt;")&lt;=15,24,16))</f>
        <v>32</v>
      </c>
      <c r="AN87" s="15">
        <f>IF(COUNTIF('Résultats des tournois'!$B87:'Résultats des tournois'!AN87,"&lt;&gt;")&lt;=5,32,IF(COUNTIF('Résultats des tournois'!$B87:'Résultats des tournois'!AN87,"&lt;&gt;")&lt;=15,24,16))</f>
        <v>32</v>
      </c>
      <c r="AO87" s="15">
        <f>IF(COUNTIF('Résultats des tournois'!$B87:'Résultats des tournois'!AO87,"&lt;&gt;")&lt;=5,32,IF(COUNTIF('Résultats des tournois'!$B87:'Résultats des tournois'!AO87,"&lt;&gt;")&lt;=15,24,16))</f>
        <v>32</v>
      </c>
      <c r="AP87" s="15">
        <f>IF(COUNTIF('Résultats des tournois'!$B87:'Résultats des tournois'!AP87,"&lt;&gt;")&lt;=5,32,IF(COUNTIF('Résultats des tournois'!$B87:'Résultats des tournois'!AP87,"&lt;&gt;")&lt;=15,24,16))</f>
        <v>32</v>
      </c>
      <c r="AQ87" s="15">
        <f>IF(COUNTIF('Résultats des tournois'!$B87:'Résultats des tournois'!AQ87,"&lt;&gt;")&lt;=5,32,IF(COUNTIF('Résultats des tournois'!$B87:'Résultats des tournois'!AQ87,"&lt;&gt;")&lt;=15,24,16))</f>
        <v>32</v>
      </c>
      <c r="AR87" s="15">
        <f>IF(COUNTIF('Résultats des tournois'!$B87:'Résultats des tournois'!AR87,"&lt;&gt;")&lt;=5,32,IF(COUNTIF('Résultats des tournois'!$B87:'Résultats des tournois'!AR87,"&lt;&gt;")&lt;=15,24,16))</f>
        <v>32</v>
      </c>
      <c r="AS87" s="15">
        <f>IF(COUNTIF('Résultats des tournois'!$B87:'Résultats des tournois'!AS87,"&lt;&gt;")&lt;=5,32,IF(COUNTIF('Résultats des tournois'!$B87:'Résultats des tournois'!AS87,"&lt;&gt;")&lt;=15,24,16))</f>
        <v>32</v>
      </c>
      <c r="AT87" s="15">
        <f>IF(COUNTIF('Résultats des tournois'!$B87:'Résultats des tournois'!AT87,"&lt;&gt;")&lt;=5,32,IF(COUNTIF('Résultats des tournois'!$B87:'Résultats des tournois'!AT87,"&lt;&gt;")&lt;=15,24,16))</f>
        <v>32</v>
      </c>
      <c r="AU87" s="15">
        <f>IF(COUNTIF('Résultats des tournois'!$B87:'Résultats des tournois'!AU87,"&lt;&gt;")&lt;=5,32,IF(COUNTIF('Résultats des tournois'!$B87:'Résultats des tournois'!AU87,"&lt;&gt;")&lt;=15,24,16))</f>
        <v>32</v>
      </c>
      <c r="AV87" s="15">
        <f>IF(COUNTIF('Résultats des tournois'!$B87:'Résultats des tournois'!AV87,"&lt;&gt;")&lt;=5,32,IF(COUNTIF('Résultats des tournois'!$B87:'Résultats des tournois'!AV87,"&lt;&gt;")&lt;=15,24,16))</f>
        <v>32</v>
      </c>
      <c r="AW87" s="15">
        <f>IF(COUNTIF('Résultats des tournois'!$B87:'Résultats des tournois'!AW87,"&lt;&gt;")&lt;=5,32,IF(COUNTIF('Résultats des tournois'!$B87:'Résultats des tournois'!AW87,"&lt;&gt;")&lt;=15,24,16))</f>
        <v>32</v>
      </c>
      <c r="AX87" s="15">
        <f>IF(COUNTIF('Résultats des tournois'!$B87:'Résultats des tournois'!AX87,"&lt;&gt;")&lt;=5,32,IF(COUNTIF('Résultats des tournois'!$B87:'Résultats des tournois'!AX87,"&lt;&gt;")&lt;=15,24,16))</f>
        <v>32</v>
      </c>
    </row>
    <row r="88" ht="14.25" customHeight="1">
      <c r="A88" s="15" t="str">
        <f>IF('Résultats des tournois'!A88="","",'Résultats des tournois'!A88)</f>
        <v/>
      </c>
      <c r="B88" s="15">
        <f>IF(COUNTIF('Résultats des tournois'!B88,"&lt;&gt;")&lt;=5,32,IF(COUNTIF('Résultats des tournois'!B88,"&lt;&gt;")&lt;=15,24,16))</f>
        <v>32</v>
      </c>
      <c r="C88" s="15">
        <f>IF(COUNTIF('Résultats des tournois'!$B88:'Résultats des tournois'!C88,"&lt;&gt;")&lt;=5,32,IF(COUNTIF('Résultats des tournois'!$B88:'Résultats des tournois'!C88,"&lt;&gt;")&lt;=15,24,16))</f>
        <v>32</v>
      </c>
      <c r="D88" s="15">
        <f>IF(COUNTIF('Résultats des tournois'!$B88:'Résultats des tournois'!D88,"&lt;&gt;")&lt;=5,32,IF(COUNTIF('Résultats des tournois'!$B88:'Résultats des tournois'!D88,"&lt;&gt;")&lt;=15,24,16))</f>
        <v>32</v>
      </c>
      <c r="E88" s="15">
        <f>IF(COUNTIF('Résultats des tournois'!$B88:'Résultats des tournois'!E88,"&lt;&gt;")&lt;=5,32,IF(COUNTIF('Résultats des tournois'!$B88:'Résultats des tournois'!E88,"&lt;&gt;")&lt;=15,24,16))</f>
        <v>32</v>
      </c>
      <c r="F88" s="15">
        <f>IF(COUNTIF('Résultats des tournois'!$B88:'Résultats des tournois'!F88,"&lt;&gt;")&lt;=5,32,IF(COUNTIF('Résultats des tournois'!$B88:'Résultats des tournois'!F88,"&lt;&gt;")&lt;=15,24,16))</f>
        <v>32</v>
      </c>
      <c r="G88" s="15">
        <f>IF(COUNTIF('Résultats des tournois'!$B88:'Résultats des tournois'!G88,"&lt;&gt;")&lt;=5,32,IF(COUNTIF('Résultats des tournois'!$B88:'Résultats des tournois'!G88,"&lt;&gt;")&lt;=15,24,16))</f>
        <v>32</v>
      </c>
      <c r="H88" s="15">
        <f>IF(COUNTIF('Résultats des tournois'!$B88:'Résultats des tournois'!H88,"&lt;&gt;")&lt;=5,32,IF(COUNTIF('Résultats des tournois'!$B88:'Résultats des tournois'!H88,"&lt;&gt;")&lt;=15,24,16))</f>
        <v>32</v>
      </c>
      <c r="I88" s="15">
        <f>IF(COUNTIF('Résultats des tournois'!$B88:'Résultats des tournois'!I88,"&lt;&gt;")&lt;=5,32,IF(COUNTIF('Résultats des tournois'!$B88:'Résultats des tournois'!I88,"&lt;&gt;")&lt;=15,24,16))</f>
        <v>32</v>
      </c>
      <c r="J88" s="15">
        <f>IF(COUNTIF('Résultats des tournois'!$B88:'Résultats des tournois'!J88,"&lt;&gt;")&lt;=5,32,IF(COUNTIF('Résultats des tournois'!$B88:'Résultats des tournois'!J88,"&lt;&gt;")&lt;=15,24,16))</f>
        <v>32</v>
      </c>
      <c r="K88" s="15">
        <f>IF(COUNTIF('Résultats des tournois'!$B88:'Résultats des tournois'!K88,"&lt;&gt;")&lt;=5,32,IF(COUNTIF('Résultats des tournois'!$B88:'Résultats des tournois'!K88,"&lt;&gt;")&lt;=15,24,16))</f>
        <v>32</v>
      </c>
      <c r="L88" s="15">
        <f>IF(COUNTIF('Résultats des tournois'!$B88:'Résultats des tournois'!L88,"&lt;&gt;")&lt;=5,32,IF(COUNTIF('Résultats des tournois'!$B88:'Résultats des tournois'!L88,"&lt;&gt;")&lt;=15,24,16))</f>
        <v>32</v>
      </c>
      <c r="M88" s="15">
        <f>IF(COUNTIF('Résultats des tournois'!$B88:'Résultats des tournois'!M88,"&lt;&gt;")&lt;=5,32,IF(COUNTIF('Résultats des tournois'!$B88:'Résultats des tournois'!M88,"&lt;&gt;")&lt;=15,24,16))</f>
        <v>32</v>
      </c>
      <c r="N88" s="15">
        <f>IF(COUNTIF('Résultats des tournois'!$B88:'Résultats des tournois'!N88,"&lt;&gt;")&lt;=5,32,IF(COUNTIF('Résultats des tournois'!$B88:'Résultats des tournois'!N88,"&lt;&gt;")&lt;=15,24,16))</f>
        <v>32</v>
      </c>
      <c r="O88" s="15">
        <f>IF(COUNTIF('Résultats des tournois'!$B88:'Résultats des tournois'!O88,"&lt;&gt;")&lt;=5,32,IF(COUNTIF('Résultats des tournois'!$B88:'Résultats des tournois'!O88,"&lt;&gt;")&lt;=15,24,16))</f>
        <v>32</v>
      </c>
      <c r="P88" s="15">
        <f>IF(COUNTIF('Résultats des tournois'!$B88:'Résultats des tournois'!P88,"&lt;&gt;")&lt;=5,32,IF(COUNTIF('Résultats des tournois'!$B88:'Résultats des tournois'!P88,"&lt;&gt;")&lt;=15,24,16))</f>
        <v>32</v>
      </c>
      <c r="Q88" s="15">
        <f>IF(COUNTIF('Résultats des tournois'!$B88:'Résultats des tournois'!Q88,"&lt;&gt;")&lt;=5,32,IF(COUNTIF('Résultats des tournois'!$B88:'Résultats des tournois'!Q88,"&lt;&gt;")&lt;=15,24,16))</f>
        <v>32</v>
      </c>
      <c r="R88" s="15">
        <f>IF(COUNTIF('Résultats des tournois'!$B88:'Résultats des tournois'!R88,"&lt;&gt;")&lt;=5,32,IF(COUNTIF('Résultats des tournois'!$B88:'Résultats des tournois'!R88,"&lt;&gt;")&lt;=15,24,16))</f>
        <v>32</v>
      </c>
      <c r="S88" s="15">
        <f>IF(COUNTIF('Résultats des tournois'!$B88:'Résultats des tournois'!S88,"&lt;&gt;")&lt;=5,32,IF(COUNTIF('Résultats des tournois'!$B88:'Résultats des tournois'!S88,"&lt;&gt;")&lt;=15,24,16))</f>
        <v>32</v>
      </c>
      <c r="T88" s="15">
        <f>IF(COUNTIF('Résultats des tournois'!$B88:'Résultats des tournois'!T88,"&lt;&gt;")&lt;=5,32,IF(COUNTIF('Résultats des tournois'!$B88:'Résultats des tournois'!T88,"&lt;&gt;")&lt;=15,24,16))</f>
        <v>32</v>
      </c>
      <c r="U88" s="15">
        <f>IF(COUNTIF('Résultats des tournois'!$B88:'Résultats des tournois'!U88,"&lt;&gt;")&lt;=5,32,IF(COUNTIF('Résultats des tournois'!$B88:'Résultats des tournois'!U88,"&lt;&gt;")&lt;=15,24,16))</f>
        <v>32</v>
      </c>
      <c r="V88" s="15">
        <f>IF(COUNTIF('Résultats des tournois'!$B88:'Résultats des tournois'!V88,"&lt;&gt;")&lt;=5,32,IF(COUNTIF('Résultats des tournois'!$B88:'Résultats des tournois'!V88,"&lt;&gt;")&lt;=15,24,16))</f>
        <v>32</v>
      </c>
      <c r="W88" s="15">
        <f>IF(COUNTIF('Résultats des tournois'!$B88:'Résultats des tournois'!W88,"&lt;&gt;")&lt;=5,32,IF(COUNTIF('Résultats des tournois'!$B88:'Résultats des tournois'!W88,"&lt;&gt;")&lt;=15,24,16))</f>
        <v>32</v>
      </c>
      <c r="X88" s="15">
        <f>IF(COUNTIF('Résultats des tournois'!$B88:'Résultats des tournois'!X88,"&lt;&gt;")&lt;=5,32,IF(COUNTIF('Résultats des tournois'!$B88:'Résultats des tournois'!X88,"&lt;&gt;")&lt;=15,24,16))</f>
        <v>32</v>
      </c>
      <c r="Y88" s="15">
        <f>IF(COUNTIF('Résultats des tournois'!$B88:'Résultats des tournois'!Y88,"&lt;&gt;")&lt;=5,32,IF(COUNTIF('Résultats des tournois'!$B88:'Résultats des tournois'!Y88,"&lt;&gt;")&lt;=15,24,16))</f>
        <v>32</v>
      </c>
      <c r="Z88" s="15">
        <f>IF(COUNTIF('Résultats des tournois'!$B88:'Résultats des tournois'!Z88,"&lt;&gt;")&lt;=5,32,IF(COUNTIF('Résultats des tournois'!$B88:'Résultats des tournois'!Z88,"&lt;&gt;")&lt;=15,24,16))</f>
        <v>32</v>
      </c>
      <c r="AA88" s="15">
        <f>IF(COUNTIF('Résultats des tournois'!$B88:'Résultats des tournois'!AA88,"&lt;&gt;")&lt;=5,32,IF(COUNTIF('Résultats des tournois'!$B88:'Résultats des tournois'!AA88,"&lt;&gt;")&lt;=15,24,16))</f>
        <v>32</v>
      </c>
      <c r="AB88" s="15">
        <f>IF(COUNTIF('Résultats des tournois'!$B88:'Résultats des tournois'!AB88,"&lt;&gt;")&lt;=5,32,IF(COUNTIF('Résultats des tournois'!$B88:'Résultats des tournois'!AB88,"&lt;&gt;")&lt;=15,24,16))</f>
        <v>32</v>
      </c>
      <c r="AC88" s="15">
        <f>IF(COUNTIF('Résultats des tournois'!$B88:'Résultats des tournois'!AC88,"&lt;&gt;")&lt;=5,32,IF(COUNTIF('Résultats des tournois'!$B88:'Résultats des tournois'!AC88,"&lt;&gt;")&lt;=15,24,16))</f>
        <v>32</v>
      </c>
      <c r="AD88" s="15">
        <f>IF(COUNTIF('Résultats des tournois'!$B88:'Résultats des tournois'!AD88,"&lt;&gt;")&lt;=5,32,IF(COUNTIF('Résultats des tournois'!$B88:'Résultats des tournois'!AD88,"&lt;&gt;")&lt;=15,24,16))</f>
        <v>32</v>
      </c>
      <c r="AE88" s="15">
        <f>IF(COUNTIF('Résultats des tournois'!$B88:'Résultats des tournois'!AE88,"&lt;&gt;")&lt;=5,32,IF(COUNTIF('Résultats des tournois'!$B88:'Résultats des tournois'!AE88,"&lt;&gt;")&lt;=15,24,16))</f>
        <v>32</v>
      </c>
      <c r="AF88" s="15">
        <f>IF(COUNTIF('Résultats des tournois'!$B88:'Résultats des tournois'!AF88,"&lt;&gt;")&lt;=5,32,IF(COUNTIF('Résultats des tournois'!$B88:'Résultats des tournois'!AF88,"&lt;&gt;")&lt;=15,24,16))</f>
        <v>32</v>
      </c>
      <c r="AG88" s="15">
        <f>IF(COUNTIF('Résultats des tournois'!$B88:'Résultats des tournois'!AG88,"&lt;&gt;")&lt;=5,32,IF(COUNTIF('Résultats des tournois'!$B88:'Résultats des tournois'!AG88,"&lt;&gt;")&lt;=15,24,16))</f>
        <v>32</v>
      </c>
      <c r="AH88" s="15">
        <f>IF(COUNTIF('Résultats des tournois'!$B88:'Résultats des tournois'!AH88,"&lt;&gt;")&lt;=5,32,IF(COUNTIF('Résultats des tournois'!$B88:'Résultats des tournois'!AH88,"&lt;&gt;")&lt;=15,24,16))</f>
        <v>32</v>
      </c>
      <c r="AI88" s="15">
        <f>IF(COUNTIF('Résultats des tournois'!$B88:'Résultats des tournois'!AI88,"&lt;&gt;")&lt;=5,32,IF(COUNTIF('Résultats des tournois'!$B88:'Résultats des tournois'!AI88,"&lt;&gt;")&lt;=15,24,16))</f>
        <v>32</v>
      </c>
      <c r="AJ88" s="15">
        <f>IF(COUNTIF('Résultats des tournois'!$B88:'Résultats des tournois'!AJ88,"&lt;&gt;")&lt;=5,32,IF(COUNTIF('Résultats des tournois'!$B88:'Résultats des tournois'!AJ88,"&lt;&gt;")&lt;=15,24,16))</f>
        <v>32</v>
      </c>
      <c r="AK88" s="15">
        <f>IF(COUNTIF('Résultats des tournois'!$B88:'Résultats des tournois'!AK88,"&lt;&gt;")&lt;=5,32,IF(COUNTIF('Résultats des tournois'!$B88:'Résultats des tournois'!AK88,"&lt;&gt;")&lt;=15,24,16))</f>
        <v>32</v>
      </c>
      <c r="AL88" s="15">
        <f>IF(COUNTIF('Résultats des tournois'!$B88:'Résultats des tournois'!AL88,"&lt;&gt;")&lt;=5,32,IF(COUNTIF('Résultats des tournois'!$B88:'Résultats des tournois'!AL88,"&lt;&gt;")&lt;=15,24,16))</f>
        <v>32</v>
      </c>
      <c r="AM88" s="15">
        <f>IF(COUNTIF('Résultats des tournois'!$B88:'Résultats des tournois'!AM88,"&lt;&gt;")&lt;=5,32,IF(COUNTIF('Résultats des tournois'!$B88:'Résultats des tournois'!AM88,"&lt;&gt;")&lt;=15,24,16))</f>
        <v>32</v>
      </c>
      <c r="AN88" s="15">
        <f>IF(COUNTIF('Résultats des tournois'!$B88:'Résultats des tournois'!AN88,"&lt;&gt;")&lt;=5,32,IF(COUNTIF('Résultats des tournois'!$B88:'Résultats des tournois'!AN88,"&lt;&gt;")&lt;=15,24,16))</f>
        <v>32</v>
      </c>
      <c r="AO88" s="15">
        <f>IF(COUNTIF('Résultats des tournois'!$B88:'Résultats des tournois'!AO88,"&lt;&gt;")&lt;=5,32,IF(COUNTIF('Résultats des tournois'!$B88:'Résultats des tournois'!AO88,"&lt;&gt;")&lt;=15,24,16))</f>
        <v>32</v>
      </c>
      <c r="AP88" s="15">
        <f>IF(COUNTIF('Résultats des tournois'!$B88:'Résultats des tournois'!AP88,"&lt;&gt;")&lt;=5,32,IF(COUNTIF('Résultats des tournois'!$B88:'Résultats des tournois'!AP88,"&lt;&gt;")&lt;=15,24,16))</f>
        <v>32</v>
      </c>
      <c r="AQ88" s="15">
        <f>IF(COUNTIF('Résultats des tournois'!$B88:'Résultats des tournois'!AQ88,"&lt;&gt;")&lt;=5,32,IF(COUNTIF('Résultats des tournois'!$B88:'Résultats des tournois'!AQ88,"&lt;&gt;")&lt;=15,24,16))</f>
        <v>32</v>
      </c>
      <c r="AR88" s="15">
        <f>IF(COUNTIF('Résultats des tournois'!$B88:'Résultats des tournois'!AR88,"&lt;&gt;")&lt;=5,32,IF(COUNTIF('Résultats des tournois'!$B88:'Résultats des tournois'!AR88,"&lt;&gt;")&lt;=15,24,16))</f>
        <v>32</v>
      </c>
      <c r="AS88" s="15">
        <f>IF(COUNTIF('Résultats des tournois'!$B88:'Résultats des tournois'!AS88,"&lt;&gt;")&lt;=5,32,IF(COUNTIF('Résultats des tournois'!$B88:'Résultats des tournois'!AS88,"&lt;&gt;")&lt;=15,24,16))</f>
        <v>32</v>
      </c>
      <c r="AT88" s="15">
        <f>IF(COUNTIF('Résultats des tournois'!$B88:'Résultats des tournois'!AT88,"&lt;&gt;")&lt;=5,32,IF(COUNTIF('Résultats des tournois'!$B88:'Résultats des tournois'!AT88,"&lt;&gt;")&lt;=15,24,16))</f>
        <v>32</v>
      </c>
      <c r="AU88" s="15">
        <f>IF(COUNTIF('Résultats des tournois'!$B88:'Résultats des tournois'!AU88,"&lt;&gt;")&lt;=5,32,IF(COUNTIF('Résultats des tournois'!$B88:'Résultats des tournois'!AU88,"&lt;&gt;")&lt;=15,24,16))</f>
        <v>32</v>
      </c>
      <c r="AV88" s="15">
        <f>IF(COUNTIF('Résultats des tournois'!$B88:'Résultats des tournois'!AV88,"&lt;&gt;")&lt;=5,32,IF(COUNTIF('Résultats des tournois'!$B88:'Résultats des tournois'!AV88,"&lt;&gt;")&lt;=15,24,16))</f>
        <v>32</v>
      </c>
      <c r="AW88" s="15">
        <f>IF(COUNTIF('Résultats des tournois'!$B88:'Résultats des tournois'!AW88,"&lt;&gt;")&lt;=5,32,IF(COUNTIF('Résultats des tournois'!$B88:'Résultats des tournois'!AW88,"&lt;&gt;")&lt;=15,24,16))</f>
        <v>32</v>
      </c>
      <c r="AX88" s="15">
        <f>IF(COUNTIF('Résultats des tournois'!$B88:'Résultats des tournois'!AX88,"&lt;&gt;")&lt;=5,32,IF(COUNTIF('Résultats des tournois'!$B88:'Résultats des tournois'!AX88,"&lt;&gt;")&lt;=15,24,16))</f>
        <v>32</v>
      </c>
    </row>
    <row r="89" ht="14.25" customHeight="1">
      <c r="A89" s="15" t="str">
        <f>IF('Résultats des tournois'!A89="","",'Résultats des tournois'!A89)</f>
        <v/>
      </c>
      <c r="B89" s="15">
        <f>IF(COUNTIF('Résultats des tournois'!B89,"&lt;&gt;")&lt;=5,32,IF(COUNTIF('Résultats des tournois'!B89,"&lt;&gt;")&lt;=15,24,16))</f>
        <v>32</v>
      </c>
      <c r="C89" s="15">
        <f>IF(COUNTIF('Résultats des tournois'!$B89:'Résultats des tournois'!C89,"&lt;&gt;")&lt;=5,32,IF(COUNTIF('Résultats des tournois'!$B89:'Résultats des tournois'!C89,"&lt;&gt;")&lt;=15,24,16))</f>
        <v>32</v>
      </c>
      <c r="D89" s="15">
        <f>IF(COUNTIF('Résultats des tournois'!$B89:'Résultats des tournois'!D89,"&lt;&gt;")&lt;=5,32,IF(COUNTIF('Résultats des tournois'!$B89:'Résultats des tournois'!D89,"&lt;&gt;")&lt;=15,24,16))</f>
        <v>32</v>
      </c>
      <c r="E89" s="15">
        <f>IF(COUNTIF('Résultats des tournois'!$B89:'Résultats des tournois'!E89,"&lt;&gt;")&lt;=5,32,IF(COUNTIF('Résultats des tournois'!$B89:'Résultats des tournois'!E89,"&lt;&gt;")&lt;=15,24,16))</f>
        <v>32</v>
      </c>
      <c r="F89" s="15">
        <f>IF(COUNTIF('Résultats des tournois'!$B89:'Résultats des tournois'!F89,"&lt;&gt;")&lt;=5,32,IF(COUNTIF('Résultats des tournois'!$B89:'Résultats des tournois'!F89,"&lt;&gt;")&lt;=15,24,16))</f>
        <v>32</v>
      </c>
      <c r="G89" s="15">
        <f>IF(COUNTIF('Résultats des tournois'!$B89:'Résultats des tournois'!G89,"&lt;&gt;")&lt;=5,32,IF(COUNTIF('Résultats des tournois'!$B89:'Résultats des tournois'!G89,"&lt;&gt;")&lt;=15,24,16))</f>
        <v>32</v>
      </c>
      <c r="H89" s="15">
        <f>IF(COUNTIF('Résultats des tournois'!$B89:'Résultats des tournois'!H89,"&lt;&gt;")&lt;=5,32,IF(COUNTIF('Résultats des tournois'!$B89:'Résultats des tournois'!H89,"&lt;&gt;")&lt;=15,24,16))</f>
        <v>32</v>
      </c>
      <c r="I89" s="15">
        <f>IF(COUNTIF('Résultats des tournois'!$B89:'Résultats des tournois'!I89,"&lt;&gt;")&lt;=5,32,IF(COUNTIF('Résultats des tournois'!$B89:'Résultats des tournois'!I89,"&lt;&gt;")&lt;=15,24,16))</f>
        <v>32</v>
      </c>
      <c r="J89" s="15">
        <f>IF(COUNTIF('Résultats des tournois'!$B89:'Résultats des tournois'!J89,"&lt;&gt;")&lt;=5,32,IF(COUNTIF('Résultats des tournois'!$B89:'Résultats des tournois'!J89,"&lt;&gt;")&lt;=15,24,16))</f>
        <v>32</v>
      </c>
      <c r="K89" s="15">
        <f>IF(COUNTIF('Résultats des tournois'!$B89:'Résultats des tournois'!K89,"&lt;&gt;")&lt;=5,32,IF(COUNTIF('Résultats des tournois'!$B89:'Résultats des tournois'!K89,"&lt;&gt;")&lt;=15,24,16))</f>
        <v>32</v>
      </c>
      <c r="L89" s="15">
        <f>IF(COUNTIF('Résultats des tournois'!$B89:'Résultats des tournois'!L89,"&lt;&gt;")&lt;=5,32,IF(COUNTIF('Résultats des tournois'!$B89:'Résultats des tournois'!L89,"&lt;&gt;")&lt;=15,24,16))</f>
        <v>32</v>
      </c>
      <c r="M89" s="15">
        <f>IF(COUNTIF('Résultats des tournois'!$B89:'Résultats des tournois'!M89,"&lt;&gt;")&lt;=5,32,IF(COUNTIF('Résultats des tournois'!$B89:'Résultats des tournois'!M89,"&lt;&gt;")&lt;=15,24,16))</f>
        <v>32</v>
      </c>
      <c r="N89" s="15">
        <f>IF(COUNTIF('Résultats des tournois'!$B89:'Résultats des tournois'!N89,"&lt;&gt;")&lt;=5,32,IF(COUNTIF('Résultats des tournois'!$B89:'Résultats des tournois'!N89,"&lt;&gt;")&lt;=15,24,16))</f>
        <v>32</v>
      </c>
      <c r="O89" s="15">
        <f>IF(COUNTIF('Résultats des tournois'!$B89:'Résultats des tournois'!O89,"&lt;&gt;")&lt;=5,32,IF(COUNTIF('Résultats des tournois'!$B89:'Résultats des tournois'!O89,"&lt;&gt;")&lt;=15,24,16))</f>
        <v>32</v>
      </c>
      <c r="P89" s="15">
        <f>IF(COUNTIF('Résultats des tournois'!$B89:'Résultats des tournois'!P89,"&lt;&gt;")&lt;=5,32,IF(COUNTIF('Résultats des tournois'!$B89:'Résultats des tournois'!P89,"&lt;&gt;")&lt;=15,24,16))</f>
        <v>32</v>
      </c>
      <c r="Q89" s="15">
        <f>IF(COUNTIF('Résultats des tournois'!$B89:'Résultats des tournois'!Q89,"&lt;&gt;")&lt;=5,32,IF(COUNTIF('Résultats des tournois'!$B89:'Résultats des tournois'!Q89,"&lt;&gt;")&lt;=15,24,16))</f>
        <v>32</v>
      </c>
      <c r="R89" s="15">
        <f>IF(COUNTIF('Résultats des tournois'!$B89:'Résultats des tournois'!R89,"&lt;&gt;")&lt;=5,32,IF(COUNTIF('Résultats des tournois'!$B89:'Résultats des tournois'!R89,"&lt;&gt;")&lt;=15,24,16))</f>
        <v>32</v>
      </c>
      <c r="S89" s="15">
        <f>IF(COUNTIF('Résultats des tournois'!$B89:'Résultats des tournois'!S89,"&lt;&gt;")&lt;=5,32,IF(COUNTIF('Résultats des tournois'!$B89:'Résultats des tournois'!S89,"&lt;&gt;")&lt;=15,24,16))</f>
        <v>32</v>
      </c>
      <c r="T89" s="15">
        <f>IF(COUNTIF('Résultats des tournois'!$B89:'Résultats des tournois'!T89,"&lt;&gt;")&lt;=5,32,IF(COUNTIF('Résultats des tournois'!$B89:'Résultats des tournois'!T89,"&lt;&gt;")&lt;=15,24,16))</f>
        <v>32</v>
      </c>
      <c r="U89" s="15">
        <f>IF(COUNTIF('Résultats des tournois'!$B89:'Résultats des tournois'!U89,"&lt;&gt;")&lt;=5,32,IF(COUNTIF('Résultats des tournois'!$B89:'Résultats des tournois'!U89,"&lt;&gt;")&lt;=15,24,16))</f>
        <v>32</v>
      </c>
      <c r="V89" s="15">
        <f>IF(COUNTIF('Résultats des tournois'!$B89:'Résultats des tournois'!V89,"&lt;&gt;")&lt;=5,32,IF(COUNTIF('Résultats des tournois'!$B89:'Résultats des tournois'!V89,"&lt;&gt;")&lt;=15,24,16))</f>
        <v>32</v>
      </c>
      <c r="W89" s="15">
        <f>IF(COUNTIF('Résultats des tournois'!$B89:'Résultats des tournois'!W89,"&lt;&gt;")&lt;=5,32,IF(COUNTIF('Résultats des tournois'!$B89:'Résultats des tournois'!W89,"&lt;&gt;")&lt;=15,24,16))</f>
        <v>32</v>
      </c>
      <c r="X89" s="15">
        <f>IF(COUNTIF('Résultats des tournois'!$B89:'Résultats des tournois'!X89,"&lt;&gt;")&lt;=5,32,IF(COUNTIF('Résultats des tournois'!$B89:'Résultats des tournois'!X89,"&lt;&gt;")&lt;=15,24,16))</f>
        <v>32</v>
      </c>
      <c r="Y89" s="15">
        <f>IF(COUNTIF('Résultats des tournois'!$B89:'Résultats des tournois'!Y89,"&lt;&gt;")&lt;=5,32,IF(COUNTIF('Résultats des tournois'!$B89:'Résultats des tournois'!Y89,"&lt;&gt;")&lt;=15,24,16))</f>
        <v>32</v>
      </c>
      <c r="Z89" s="15">
        <f>IF(COUNTIF('Résultats des tournois'!$B89:'Résultats des tournois'!Z89,"&lt;&gt;")&lt;=5,32,IF(COUNTIF('Résultats des tournois'!$B89:'Résultats des tournois'!Z89,"&lt;&gt;")&lt;=15,24,16))</f>
        <v>32</v>
      </c>
      <c r="AA89" s="15">
        <f>IF(COUNTIF('Résultats des tournois'!$B89:'Résultats des tournois'!AA89,"&lt;&gt;")&lt;=5,32,IF(COUNTIF('Résultats des tournois'!$B89:'Résultats des tournois'!AA89,"&lt;&gt;")&lt;=15,24,16))</f>
        <v>32</v>
      </c>
      <c r="AB89" s="15">
        <f>IF(COUNTIF('Résultats des tournois'!$B89:'Résultats des tournois'!AB89,"&lt;&gt;")&lt;=5,32,IF(COUNTIF('Résultats des tournois'!$B89:'Résultats des tournois'!AB89,"&lt;&gt;")&lt;=15,24,16))</f>
        <v>32</v>
      </c>
      <c r="AC89" s="15">
        <f>IF(COUNTIF('Résultats des tournois'!$B89:'Résultats des tournois'!AC89,"&lt;&gt;")&lt;=5,32,IF(COUNTIF('Résultats des tournois'!$B89:'Résultats des tournois'!AC89,"&lt;&gt;")&lt;=15,24,16))</f>
        <v>32</v>
      </c>
      <c r="AD89" s="15">
        <f>IF(COUNTIF('Résultats des tournois'!$B89:'Résultats des tournois'!AD89,"&lt;&gt;")&lt;=5,32,IF(COUNTIF('Résultats des tournois'!$B89:'Résultats des tournois'!AD89,"&lt;&gt;")&lt;=15,24,16))</f>
        <v>32</v>
      </c>
      <c r="AE89" s="15">
        <f>IF(COUNTIF('Résultats des tournois'!$B89:'Résultats des tournois'!AE89,"&lt;&gt;")&lt;=5,32,IF(COUNTIF('Résultats des tournois'!$B89:'Résultats des tournois'!AE89,"&lt;&gt;")&lt;=15,24,16))</f>
        <v>32</v>
      </c>
      <c r="AF89" s="15">
        <f>IF(COUNTIF('Résultats des tournois'!$B89:'Résultats des tournois'!AF89,"&lt;&gt;")&lt;=5,32,IF(COUNTIF('Résultats des tournois'!$B89:'Résultats des tournois'!AF89,"&lt;&gt;")&lt;=15,24,16))</f>
        <v>32</v>
      </c>
      <c r="AG89" s="15">
        <f>IF(COUNTIF('Résultats des tournois'!$B89:'Résultats des tournois'!AG89,"&lt;&gt;")&lt;=5,32,IF(COUNTIF('Résultats des tournois'!$B89:'Résultats des tournois'!AG89,"&lt;&gt;")&lt;=15,24,16))</f>
        <v>32</v>
      </c>
      <c r="AH89" s="15">
        <f>IF(COUNTIF('Résultats des tournois'!$B89:'Résultats des tournois'!AH89,"&lt;&gt;")&lt;=5,32,IF(COUNTIF('Résultats des tournois'!$B89:'Résultats des tournois'!AH89,"&lt;&gt;")&lt;=15,24,16))</f>
        <v>32</v>
      </c>
      <c r="AI89" s="15">
        <f>IF(COUNTIF('Résultats des tournois'!$B89:'Résultats des tournois'!AI89,"&lt;&gt;")&lt;=5,32,IF(COUNTIF('Résultats des tournois'!$B89:'Résultats des tournois'!AI89,"&lt;&gt;")&lt;=15,24,16))</f>
        <v>32</v>
      </c>
      <c r="AJ89" s="15">
        <f>IF(COUNTIF('Résultats des tournois'!$B89:'Résultats des tournois'!AJ89,"&lt;&gt;")&lt;=5,32,IF(COUNTIF('Résultats des tournois'!$B89:'Résultats des tournois'!AJ89,"&lt;&gt;")&lt;=15,24,16))</f>
        <v>32</v>
      </c>
      <c r="AK89" s="15">
        <f>IF(COUNTIF('Résultats des tournois'!$B89:'Résultats des tournois'!AK89,"&lt;&gt;")&lt;=5,32,IF(COUNTIF('Résultats des tournois'!$B89:'Résultats des tournois'!AK89,"&lt;&gt;")&lt;=15,24,16))</f>
        <v>32</v>
      </c>
      <c r="AL89" s="15">
        <f>IF(COUNTIF('Résultats des tournois'!$B89:'Résultats des tournois'!AL89,"&lt;&gt;")&lt;=5,32,IF(COUNTIF('Résultats des tournois'!$B89:'Résultats des tournois'!AL89,"&lt;&gt;")&lt;=15,24,16))</f>
        <v>32</v>
      </c>
      <c r="AM89" s="15">
        <f>IF(COUNTIF('Résultats des tournois'!$B89:'Résultats des tournois'!AM89,"&lt;&gt;")&lt;=5,32,IF(COUNTIF('Résultats des tournois'!$B89:'Résultats des tournois'!AM89,"&lt;&gt;")&lt;=15,24,16))</f>
        <v>32</v>
      </c>
      <c r="AN89" s="15">
        <f>IF(COUNTIF('Résultats des tournois'!$B89:'Résultats des tournois'!AN89,"&lt;&gt;")&lt;=5,32,IF(COUNTIF('Résultats des tournois'!$B89:'Résultats des tournois'!AN89,"&lt;&gt;")&lt;=15,24,16))</f>
        <v>32</v>
      </c>
      <c r="AO89" s="15">
        <f>IF(COUNTIF('Résultats des tournois'!$B89:'Résultats des tournois'!AO89,"&lt;&gt;")&lt;=5,32,IF(COUNTIF('Résultats des tournois'!$B89:'Résultats des tournois'!AO89,"&lt;&gt;")&lt;=15,24,16))</f>
        <v>32</v>
      </c>
      <c r="AP89" s="15">
        <f>IF(COUNTIF('Résultats des tournois'!$B89:'Résultats des tournois'!AP89,"&lt;&gt;")&lt;=5,32,IF(COUNTIF('Résultats des tournois'!$B89:'Résultats des tournois'!AP89,"&lt;&gt;")&lt;=15,24,16))</f>
        <v>32</v>
      </c>
      <c r="AQ89" s="15">
        <f>IF(COUNTIF('Résultats des tournois'!$B89:'Résultats des tournois'!AQ89,"&lt;&gt;")&lt;=5,32,IF(COUNTIF('Résultats des tournois'!$B89:'Résultats des tournois'!AQ89,"&lt;&gt;")&lt;=15,24,16))</f>
        <v>32</v>
      </c>
      <c r="AR89" s="15">
        <f>IF(COUNTIF('Résultats des tournois'!$B89:'Résultats des tournois'!AR89,"&lt;&gt;")&lt;=5,32,IF(COUNTIF('Résultats des tournois'!$B89:'Résultats des tournois'!AR89,"&lt;&gt;")&lt;=15,24,16))</f>
        <v>32</v>
      </c>
      <c r="AS89" s="15">
        <f>IF(COUNTIF('Résultats des tournois'!$B89:'Résultats des tournois'!AS89,"&lt;&gt;")&lt;=5,32,IF(COUNTIF('Résultats des tournois'!$B89:'Résultats des tournois'!AS89,"&lt;&gt;")&lt;=15,24,16))</f>
        <v>32</v>
      </c>
      <c r="AT89" s="15">
        <f>IF(COUNTIF('Résultats des tournois'!$B89:'Résultats des tournois'!AT89,"&lt;&gt;")&lt;=5,32,IF(COUNTIF('Résultats des tournois'!$B89:'Résultats des tournois'!AT89,"&lt;&gt;")&lt;=15,24,16))</f>
        <v>32</v>
      </c>
      <c r="AU89" s="15">
        <f>IF(COUNTIF('Résultats des tournois'!$B89:'Résultats des tournois'!AU89,"&lt;&gt;")&lt;=5,32,IF(COUNTIF('Résultats des tournois'!$B89:'Résultats des tournois'!AU89,"&lt;&gt;")&lt;=15,24,16))</f>
        <v>32</v>
      </c>
      <c r="AV89" s="15">
        <f>IF(COUNTIF('Résultats des tournois'!$B89:'Résultats des tournois'!AV89,"&lt;&gt;")&lt;=5,32,IF(COUNTIF('Résultats des tournois'!$B89:'Résultats des tournois'!AV89,"&lt;&gt;")&lt;=15,24,16))</f>
        <v>32</v>
      </c>
      <c r="AW89" s="15">
        <f>IF(COUNTIF('Résultats des tournois'!$B89:'Résultats des tournois'!AW89,"&lt;&gt;")&lt;=5,32,IF(COUNTIF('Résultats des tournois'!$B89:'Résultats des tournois'!AW89,"&lt;&gt;")&lt;=15,24,16))</f>
        <v>32</v>
      </c>
      <c r="AX89" s="15">
        <f>IF(COUNTIF('Résultats des tournois'!$B89:'Résultats des tournois'!AX89,"&lt;&gt;")&lt;=5,32,IF(COUNTIF('Résultats des tournois'!$B89:'Résultats des tournois'!AX89,"&lt;&gt;")&lt;=15,24,16))</f>
        <v>32</v>
      </c>
    </row>
    <row r="90" ht="14.25" customHeight="1">
      <c r="A90" s="15" t="str">
        <f>IF('Résultats des tournois'!A90="","",'Résultats des tournois'!A90)</f>
        <v/>
      </c>
      <c r="B90" s="15">
        <f>IF(COUNTIF('Résultats des tournois'!B90,"&lt;&gt;")&lt;=5,32,IF(COUNTIF('Résultats des tournois'!B90,"&lt;&gt;")&lt;=15,24,16))</f>
        <v>32</v>
      </c>
      <c r="C90" s="15">
        <f>IF(COUNTIF('Résultats des tournois'!$B90:'Résultats des tournois'!C90,"&lt;&gt;")&lt;=5,32,IF(COUNTIF('Résultats des tournois'!$B90:'Résultats des tournois'!C90,"&lt;&gt;")&lt;=15,24,16))</f>
        <v>32</v>
      </c>
      <c r="D90" s="15">
        <f>IF(COUNTIF('Résultats des tournois'!$B90:'Résultats des tournois'!D90,"&lt;&gt;")&lt;=5,32,IF(COUNTIF('Résultats des tournois'!$B90:'Résultats des tournois'!D90,"&lt;&gt;")&lt;=15,24,16))</f>
        <v>32</v>
      </c>
      <c r="E90" s="15">
        <f>IF(COUNTIF('Résultats des tournois'!$B90:'Résultats des tournois'!E90,"&lt;&gt;")&lt;=5,32,IF(COUNTIF('Résultats des tournois'!$B90:'Résultats des tournois'!E90,"&lt;&gt;")&lt;=15,24,16))</f>
        <v>32</v>
      </c>
      <c r="F90" s="15">
        <f>IF(COUNTIF('Résultats des tournois'!$B90:'Résultats des tournois'!F90,"&lt;&gt;")&lt;=5,32,IF(COUNTIF('Résultats des tournois'!$B90:'Résultats des tournois'!F90,"&lt;&gt;")&lt;=15,24,16))</f>
        <v>32</v>
      </c>
      <c r="G90" s="15">
        <f>IF(COUNTIF('Résultats des tournois'!$B90:'Résultats des tournois'!G90,"&lt;&gt;")&lt;=5,32,IF(COUNTIF('Résultats des tournois'!$B90:'Résultats des tournois'!G90,"&lt;&gt;")&lt;=15,24,16))</f>
        <v>32</v>
      </c>
      <c r="H90" s="15">
        <f>IF(COUNTIF('Résultats des tournois'!$B90:'Résultats des tournois'!H90,"&lt;&gt;")&lt;=5,32,IF(COUNTIF('Résultats des tournois'!$B90:'Résultats des tournois'!H90,"&lt;&gt;")&lt;=15,24,16))</f>
        <v>32</v>
      </c>
      <c r="I90" s="15">
        <f>IF(COUNTIF('Résultats des tournois'!$B90:'Résultats des tournois'!I90,"&lt;&gt;")&lt;=5,32,IF(COUNTIF('Résultats des tournois'!$B90:'Résultats des tournois'!I90,"&lt;&gt;")&lt;=15,24,16))</f>
        <v>32</v>
      </c>
      <c r="J90" s="15">
        <f>IF(COUNTIF('Résultats des tournois'!$B90:'Résultats des tournois'!J90,"&lt;&gt;")&lt;=5,32,IF(COUNTIF('Résultats des tournois'!$B90:'Résultats des tournois'!J90,"&lt;&gt;")&lt;=15,24,16))</f>
        <v>32</v>
      </c>
      <c r="K90" s="15">
        <f>IF(COUNTIF('Résultats des tournois'!$B90:'Résultats des tournois'!K90,"&lt;&gt;")&lt;=5,32,IF(COUNTIF('Résultats des tournois'!$B90:'Résultats des tournois'!K90,"&lt;&gt;")&lt;=15,24,16))</f>
        <v>32</v>
      </c>
      <c r="L90" s="15">
        <f>IF(COUNTIF('Résultats des tournois'!$B90:'Résultats des tournois'!L90,"&lt;&gt;")&lt;=5,32,IF(COUNTIF('Résultats des tournois'!$B90:'Résultats des tournois'!L90,"&lt;&gt;")&lt;=15,24,16))</f>
        <v>32</v>
      </c>
      <c r="M90" s="15">
        <f>IF(COUNTIF('Résultats des tournois'!$B90:'Résultats des tournois'!M90,"&lt;&gt;")&lt;=5,32,IF(COUNTIF('Résultats des tournois'!$B90:'Résultats des tournois'!M90,"&lt;&gt;")&lt;=15,24,16))</f>
        <v>32</v>
      </c>
      <c r="N90" s="15">
        <f>IF(COUNTIF('Résultats des tournois'!$B90:'Résultats des tournois'!N90,"&lt;&gt;")&lt;=5,32,IF(COUNTIF('Résultats des tournois'!$B90:'Résultats des tournois'!N90,"&lt;&gt;")&lt;=15,24,16))</f>
        <v>32</v>
      </c>
      <c r="O90" s="15">
        <f>IF(COUNTIF('Résultats des tournois'!$B90:'Résultats des tournois'!O90,"&lt;&gt;")&lt;=5,32,IF(COUNTIF('Résultats des tournois'!$B90:'Résultats des tournois'!O90,"&lt;&gt;")&lt;=15,24,16))</f>
        <v>32</v>
      </c>
      <c r="P90" s="15">
        <f>IF(COUNTIF('Résultats des tournois'!$B90:'Résultats des tournois'!P90,"&lt;&gt;")&lt;=5,32,IF(COUNTIF('Résultats des tournois'!$B90:'Résultats des tournois'!P90,"&lt;&gt;")&lt;=15,24,16))</f>
        <v>32</v>
      </c>
      <c r="Q90" s="15">
        <f>IF(COUNTIF('Résultats des tournois'!$B90:'Résultats des tournois'!Q90,"&lt;&gt;")&lt;=5,32,IF(COUNTIF('Résultats des tournois'!$B90:'Résultats des tournois'!Q90,"&lt;&gt;")&lt;=15,24,16))</f>
        <v>32</v>
      </c>
      <c r="R90" s="15">
        <f>IF(COUNTIF('Résultats des tournois'!$B90:'Résultats des tournois'!R90,"&lt;&gt;")&lt;=5,32,IF(COUNTIF('Résultats des tournois'!$B90:'Résultats des tournois'!R90,"&lt;&gt;")&lt;=15,24,16))</f>
        <v>32</v>
      </c>
      <c r="S90" s="15">
        <f>IF(COUNTIF('Résultats des tournois'!$B90:'Résultats des tournois'!S90,"&lt;&gt;")&lt;=5,32,IF(COUNTIF('Résultats des tournois'!$B90:'Résultats des tournois'!S90,"&lt;&gt;")&lt;=15,24,16))</f>
        <v>32</v>
      </c>
      <c r="T90" s="15">
        <f>IF(COUNTIF('Résultats des tournois'!$B90:'Résultats des tournois'!T90,"&lt;&gt;")&lt;=5,32,IF(COUNTIF('Résultats des tournois'!$B90:'Résultats des tournois'!T90,"&lt;&gt;")&lt;=15,24,16))</f>
        <v>32</v>
      </c>
      <c r="U90" s="15">
        <f>IF(COUNTIF('Résultats des tournois'!$B90:'Résultats des tournois'!U90,"&lt;&gt;")&lt;=5,32,IF(COUNTIF('Résultats des tournois'!$B90:'Résultats des tournois'!U90,"&lt;&gt;")&lt;=15,24,16))</f>
        <v>32</v>
      </c>
      <c r="V90" s="15">
        <f>IF(COUNTIF('Résultats des tournois'!$B90:'Résultats des tournois'!V90,"&lt;&gt;")&lt;=5,32,IF(COUNTIF('Résultats des tournois'!$B90:'Résultats des tournois'!V90,"&lt;&gt;")&lt;=15,24,16))</f>
        <v>32</v>
      </c>
      <c r="W90" s="15">
        <f>IF(COUNTIF('Résultats des tournois'!$B90:'Résultats des tournois'!W90,"&lt;&gt;")&lt;=5,32,IF(COUNTIF('Résultats des tournois'!$B90:'Résultats des tournois'!W90,"&lt;&gt;")&lt;=15,24,16))</f>
        <v>32</v>
      </c>
      <c r="X90" s="15">
        <f>IF(COUNTIF('Résultats des tournois'!$B90:'Résultats des tournois'!X90,"&lt;&gt;")&lt;=5,32,IF(COUNTIF('Résultats des tournois'!$B90:'Résultats des tournois'!X90,"&lt;&gt;")&lt;=15,24,16))</f>
        <v>32</v>
      </c>
      <c r="Y90" s="15">
        <f>IF(COUNTIF('Résultats des tournois'!$B90:'Résultats des tournois'!Y90,"&lt;&gt;")&lt;=5,32,IF(COUNTIF('Résultats des tournois'!$B90:'Résultats des tournois'!Y90,"&lt;&gt;")&lt;=15,24,16))</f>
        <v>32</v>
      </c>
      <c r="Z90" s="15">
        <f>IF(COUNTIF('Résultats des tournois'!$B90:'Résultats des tournois'!Z90,"&lt;&gt;")&lt;=5,32,IF(COUNTIF('Résultats des tournois'!$B90:'Résultats des tournois'!Z90,"&lt;&gt;")&lt;=15,24,16))</f>
        <v>32</v>
      </c>
      <c r="AA90" s="15">
        <f>IF(COUNTIF('Résultats des tournois'!$B90:'Résultats des tournois'!AA90,"&lt;&gt;")&lt;=5,32,IF(COUNTIF('Résultats des tournois'!$B90:'Résultats des tournois'!AA90,"&lt;&gt;")&lt;=15,24,16))</f>
        <v>32</v>
      </c>
      <c r="AB90" s="15">
        <f>IF(COUNTIF('Résultats des tournois'!$B90:'Résultats des tournois'!AB90,"&lt;&gt;")&lt;=5,32,IF(COUNTIF('Résultats des tournois'!$B90:'Résultats des tournois'!AB90,"&lt;&gt;")&lt;=15,24,16))</f>
        <v>32</v>
      </c>
      <c r="AC90" s="15">
        <f>IF(COUNTIF('Résultats des tournois'!$B90:'Résultats des tournois'!AC90,"&lt;&gt;")&lt;=5,32,IF(COUNTIF('Résultats des tournois'!$B90:'Résultats des tournois'!AC90,"&lt;&gt;")&lt;=15,24,16))</f>
        <v>32</v>
      </c>
      <c r="AD90" s="15">
        <f>IF(COUNTIF('Résultats des tournois'!$B90:'Résultats des tournois'!AD90,"&lt;&gt;")&lt;=5,32,IF(COUNTIF('Résultats des tournois'!$B90:'Résultats des tournois'!AD90,"&lt;&gt;")&lt;=15,24,16))</f>
        <v>32</v>
      </c>
      <c r="AE90" s="15">
        <f>IF(COUNTIF('Résultats des tournois'!$B90:'Résultats des tournois'!AE90,"&lt;&gt;")&lt;=5,32,IF(COUNTIF('Résultats des tournois'!$B90:'Résultats des tournois'!AE90,"&lt;&gt;")&lt;=15,24,16))</f>
        <v>32</v>
      </c>
      <c r="AF90" s="15">
        <f>IF(COUNTIF('Résultats des tournois'!$B90:'Résultats des tournois'!AF90,"&lt;&gt;")&lt;=5,32,IF(COUNTIF('Résultats des tournois'!$B90:'Résultats des tournois'!AF90,"&lt;&gt;")&lt;=15,24,16))</f>
        <v>32</v>
      </c>
      <c r="AG90" s="15">
        <f>IF(COUNTIF('Résultats des tournois'!$B90:'Résultats des tournois'!AG90,"&lt;&gt;")&lt;=5,32,IF(COUNTIF('Résultats des tournois'!$B90:'Résultats des tournois'!AG90,"&lt;&gt;")&lt;=15,24,16))</f>
        <v>32</v>
      </c>
      <c r="AH90" s="15">
        <f>IF(COUNTIF('Résultats des tournois'!$B90:'Résultats des tournois'!AH90,"&lt;&gt;")&lt;=5,32,IF(COUNTIF('Résultats des tournois'!$B90:'Résultats des tournois'!AH90,"&lt;&gt;")&lt;=15,24,16))</f>
        <v>32</v>
      </c>
      <c r="AI90" s="15">
        <f>IF(COUNTIF('Résultats des tournois'!$B90:'Résultats des tournois'!AI90,"&lt;&gt;")&lt;=5,32,IF(COUNTIF('Résultats des tournois'!$B90:'Résultats des tournois'!AI90,"&lt;&gt;")&lt;=15,24,16))</f>
        <v>32</v>
      </c>
      <c r="AJ90" s="15">
        <f>IF(COUNTIF('Résultats des tournois'!$B90:'Résultats des tournois'!AJ90,"&lt;&gt;")&lt;=5,32,IF(COUNTIF('Résultats des tournois'!$B90:'Résultats des tournois'!AJ90,"&lt;&gt;")&lt;=15,24,16))</f>
        <v>32</v>
      </c>
      <c r="AK90" s="15">
        <f>IF(COUNTIF('Résultats des tournois'!$B90:'Résultats des tournois'!AK90,"&lt;&gt;")&lt;=5,32,IF(COUNTIF('Résultats des tournois'!$B90:'Résultats des tournois'!AK90,"&lt;&gt;")&lt;=15,24,16))</f>
        <v>32</v>
      </c>
      <c r="AL90" s="15">
        <f>IF(COUNTIF('Résultats des tournois'!$B90:'Résultats des tournois'!AL90,"&lt;&gt;")&lt;=5,32,IF(COUNTIF('Résultats des tournois'!$B90:'Résultats des tournois'!AL90,"&lt;&gt;")&lt;=15,24,16))</f>
        <v>32</v>
      </c>
      <c r="AM90" s="15">
        <f>IF(COUNTIF('Résultats des tournois'!$B90:'Résultats des tournois'!AM90,"&lt;&gt;")&lt;=5,32,IF(COUNTIF('Résultats des tournois'!$B90:'Résultats des tournois'!AM90,"&lt;&gt;")&lt;=15,24,16))</f>
        <v>32</v>
      </c>
      <c r="AN90" s="15">
        <f>IF(COUNTIF('Résultats des tournois'!$B90:'Résultats des tournois'!AN90,"&lt;&gt;")&lt;=5,32,IF(COUNTIF('Résultats des tournois'!$B90:'Résultats des tournois'!AN90,"&lt;&gt;")&lt;=15,24,16))</f>
        <v>32</v>
      </c>
      <c r="AO90" s="15">
        <f>IF(COUNTIF('Résultats des tournois'!$B90:'Résultats des tournois'!AO90,"&lt;&gt;")&lt;=5,32,IF(COUNTIF('Résultats des tournois'!$B90:'Résultats des tournois'!AO90,"&lt;&gt;")&lt;=15,24,16))</f>
        <v>32</v>
      </c>
      <c r="AP90" s="15">
        <f>IF(COUNTIF('Résultats des tournois'!$B90:'Résultats des tournois'!AP90,"&lt;&gt;")&lt;=5,32,IF(COUNTIF('Résultats des tournois'!$B90:'Résultats des tournois'!AP90,"&lt;&gt;")&lt;=15,24,16))</f>
        <v>32</v>
      </c>
      <c r="AQ90" s="15">
        <f>IF(COUNTIF('Résultats des tournois'!$B90:'Résultats des tournois'!AQ90,"&lt;&gt;")&lt;=5,32,IF(COUNTIF('Résultats des tournois'!$B90:'Résultats des tournois'!AQ90,"&lt;&gt;")&lt;=15,24,16))</f>
        <v>32</v>
      </c>
      <c r="AR90" s="15">
        <f>IF(COUNTIF('Résultats des tournois'!$B90:'Résultats des tournois'!AR90,"&lt;&gt;")&lt;=5,32,IF(COUNTIF('Résultats des tournois'!$B90:'Résultats des tournois'!AR90,"&lt;&gt;")&lt;=15,24,16))</f>
        <v>32</v>
      </c>
      <c r="AS90" s="15">
        <f>IF(COUNTIF('Résultats des tournois'!$B90:'Résultats des tournois'!AS90,"&lt;&gt;")&lt;=5,32,IF(COUNTIF('Résultats des tournois'!$B90:'Résultats des tournois'!AS90,"&lt;&gt;")&lt;=15,24,16))</f>
        <v>32</v>
      </c>
      <c r="AT90" s="15">
        <f>IF(COUNTIF('Résultats des tournois'!$B90:'Résultats des tournois'!AT90,"&lt;&gt;")&lt;=5,32,IF(COUNTIF('Résultats des tournois'!$B90:'Résultats des tournois'!AT90,"&lt;&gt;")&lt;=15,24,16))</f>
        <v>32</v>
      </c>
      <c r="AU90" s="15">
        <f>IF(COUNTIF('Résultats des tournois'!$B90:'Résultats des tournois'!AU90,"&lt;&gt;")&lt;=5,32,IF(COUNTIF('Résultats des tournois'!$B90:'Résultats des tournois'!AU90,"&lt;&gt;")&lt;=15,24,16))</f>
        <v>32</v>
      </c>
      <c r="AV90" s="15">
        <f>IF(COUNTIF('Résultats des tournois'!$B90:'Résultats des tournois'!AV90,"&lt;&gt;")&lt;=5,32,IF(COUNTIF('Résultats des tournois'!$B90:'Résultats des tournois'!AV90,"&lt;&gt;")&lt;=15,24,16))</f>
        <v>32</v>
      </c>
      <c r="AW90" s="15">
        <f>IF(COUNTIF('Résultats des tournois'!$B90:'Résultats des tournois'!AW90,"&lt;&gt;")&lt;=5,32,IF(COUNTIF('Résultats des tournois'!$B90:'Résultats des tournois'!AW90,"&lt;&gt;")&lt;=15,24,16))</f>
        <v>32</v>
      </c>
      <c r="AX90" s="15">
        <f>IF(COUNTIF('Résultats des tournois'!$B90:'Résultats des tournois'!AX90,"&lt;&gt;")&lt;=5,32,IF(COUNTIF('Résultats des tournois'!$B90:'Résultats des tournois'!AX90,"&lt;&gt;")&lt;=15,24,16))</f>
        <v>32</v>
      </c>
    </row>
    <row r="91" ht="14.25" customHeight="1">
      <c r="A91" s="15" t="str">
        <f>IF('Résultats des tournois'!A91="","",'Résultats des tournois'!A91)</f>
        <v/>
      </c>
      <c r="B91" s="15">
        <f>IF(COUNTIF('Résultats des tournois'!B91,"&lt;&gt;")&lt;=5,32,IF(COUNTIF('Résultats des tournois'!B91,"&lt;&gt;")&lt;=15,24,16))</f>
        <v>32</v>
      </c>
      <c r="C91" s="15">
        <f>IF(COUNTIF('Résultats des tournois'!$B91:'Résultats des tournois'!C91,"&lt;&gt;")&lt;=5,32,IF(COUNTIF('Résultats des tournois'!$B91:'Résultats des tournois'!C91,"&lt;&gt;")&lt;=15,24,16))</f>
        <v>32</v>
      </c>
      <c r="D91" s="15">
        <f>IF(COUNTIF('Résultats des tournois'!$B91:'Résultats des tournois'!D91,"&lt;&gt;")&lt;=5,32,IF(COUNTIF('Résultats des tournois'!$B91:'Résultats des tournois'!D91,"&lt;&gt;")&lt;=15,24,16))</f>
        <v>32</v>
      </c>
      <c r="E91" s="15">
        <f>IF(COUNTIF('Résultats des tournois'!$B91:'Résultats des tournois'!E91,"&lt;&gt;")&lt;=5,32,IF(COUNTIF('Résultats des tournois'!$B91:'Résultats des tournois'!E91,"&lt;&gt;")&lt;=15,24,16))</f>
        <v>32</v>
      </c>
      <c r="F91" s="15">
        <f>IF(COUNTIF('Résultats des tournois'!$B91:'Résultats des tournois'!F91,"&lt;&gt;")&lt;=5,32,IF(COUNTIF('Résultats des tournois'!$B91:'Résultats des tournois'!F91,"&lt;&gt;")&lt;=15,24,16))</f>
        <v>32</v>
      </c>
      <c r="G91" s="15">
        <f>IF(COUNTIF('Résultats des tournois'!$B91:'Résultats des tournois'!G91,"&lt;&gt;")&lt;=5,32,IF(COUNTIF('Résultats des tournois'!$B91:'Résultats des tournois'!G91,"&lt;&gt;")&lt;=15,24,16))</f>
        <v>32</v>
      </c>
      <c r="H91" s="15">
        <f>IF(COUNTIF('Résultats des tournois'!$B91:'Résultats des tournois'!H91,"&lt;&gt;")&lt;=5,32,IF(COUNTIF('Résultats des tournois'!$B91:'Résultats des tournois'!H91,"&lt;&gt;")&lt;=15,24,16))</f>
        <v>32</v>
      </c>
      <c r="I91" s="15">
        <f>IF(COUNTIF('Résultats des tournois'!$B91:'Résultats des tournois'!I91,"&lt;&gt;")&lt;=5,32,IF(COUNTIF('Résultats des tournois'!$B91:'Résultats des tournois'!I91,"&lt;&gt;")&lt;=15,24,16))</f>
        <v>32</v>
      </c>
      <c r="J91" s="15">
        <f>IF(COUNTIF('Résultats des tournois'!$B91:'Résultats des tournois'!J91,"&lt;&gt;")&lt;=5,32,IF(COUNTIF('Résultats des tournois'!$B91:'Résultats des tournois'!J91,"&lt;&gt;")&lt;=15,24,16))</f>
        <v>32</v>
      </c>
      <c r="K91" s="15">
        <f>IF(COUNTIF('Résultats des tournois'!$B91:'Résultats des tournois'!K91,"&lt;&gt;")&lt;=5,32,IF(COUNTIF('Résultats des tournois'!$B91:'Résultats des tournois'!K91,"&lt;&gt;")&lt;=15,24,16))</f>
        <v>32</v>
      </c>
      <c r="L91" s="15">
        <f>IF(COUNTIF('Résultats des tournois'!$B91:'Résultats des tournois'!L91,"&lt;&gt;")&lt;=5,32,IF(COUNTIF('Résultats des tournois'!$B91:'Résultats des tournois'!L91,"&lt;&gt;")&lt;=15,24,16))</f>
        <v>32</v>
      </c>
      <c r="M91" s="15">
        <f>IF(COUNTIF('Résultats des tournois'!$B91:'Résultats des tournois'!M91,"&lt;&gt;")&lt;=5,32,IF(COUNTIF('Résultats des tournois'!$B91:'Résultats des tournois'!M91,"&lt;&gt;")&lt;=15,24,16))</f>
        <v>32</v>
      </c>
      <c r="N91" s="15">
        <f>IF(COUNTIF('Résultats des tournois'!$B91:'Résultats des tournois'!N91,"&lt;&gt;")&lt;=5,32,IF(COUNTIF('Résultats des tournois'!$B91:'Résultats des tournois'!N91,"&lt;&gt;")&lt;=15,24,16))</f>
        <v>32</v>
      </c>
      <c r="O91" s="15">
        <f>IF(COUNTIF('Résultats des tournois'!$B91:'Résultats des tournois'!O91,"&lt;&gt;")&lt;=5,32,IF(COUNTIF('Résultats des tournois'!$B91:'Résultats des tournois'!O91,"&lt;&gt;")&lt;=15,24,16))</f>
        <v>32</v>
      </c>
      <c r="P91" s="15">
        <f>IF(COUNTIF('Résultats des tournois'!$B91:'Résultats des tournois'!P91,"&lt;&gt;")&lt;=5,32,IF(COUNTIF('Résultats des tournois'!$B91:'Résultats des tournois'!P91,"&lt;&gt;")&lt;=15,24,16))</f>
        <v>32</v>
      </c>
      <c r="Q91" s="15">
        <f>IF(COUNTIF('Résultats des tournois'!$B91:'Résultats des tournois'!Q91,"&lt;&gt;")&lt;=5,32,IF(COUNTIF('Résultats des tournois'!$B91:'Résultats des tournois'!Q91,"&lt;&gt;")&lt;=15,24,16))</f>
        <v>32</v>
      </c>
      <c r="R91" s="15">
        <f>IF(COUNTIF('Résultats des tournois'!$B91:'Résultats des tournois'!R91,"&lt;&gt;")&lt;=5,32,IF(COUNTIF('Résultats des tournois'!$B91:'Résultats des tournois'!R91,"&lt;&gt;")&lt;=15,24,16))</f>
        <v>32</v>
      </c>
      <c r="S91" s="15">
        <f>IF(COUNTIF('Résultats des tournois'!$B91:'Résultats des tournois'!S91,"&lt;&gt;")&lt;=5,32,IF(COUNTIF('Résultats des tournois'!$B91:'Résultats des tournois'!S91,"&lt;&gt;")&lt;=15,24,16))</f>
        <v>32</v>
      </c>
      <c r="T91" s="15">
        <f>IF(COUNTIF('Résultats des tournois'!$B91:'Résultats des tournois'!T91,"&lt;&gt;")&lt;=5,32,IF(COUNTIF('Résultats des tournois'!$B91:'Résultats des tournois'!T91,"&lt;&gt;")&lt;=15,24,16))</f>
        <v>32</v>
      </c>
      <c r="U91" s="15">
        <f>IF(COUNTIF('Résultats des tournois'!$B91:'Résultats des tournois'!U91,"&lt;&gt;")&lt;=5,32,IF(COUNTIF('Résultats des tournois'!$B91:'Résultats des tournois'!U91,"&lt;&gt;")&lt;=15,24,16))</f>
        <v>32</v>
      </c>
      <c r="V91" s="15">
        <f>IF(COUNTIF('Résultats des tournois'!$B91:'Résultats des tournois'!V91,"&lt;&gt;")&lt;=5,32,IF(COUNTIF('Résultats des tournois'!$B91:'Résultats des tournois'!V91,"&lt;&gt;")&lt;=15,24,16))</f>
        <v>32</v>
      </c>
      <c r="W91" s="15">
        <f>IF(COUNTIF('Résultats des tournois'!$B91:'Résultats des tournois'!W91,"&lt;&gt;")&lt;=5,32,IF(COUNTIF('Résultats des tournois'!$B91:'Résultats des tournois'!W91,"&lt;&gt;")&lt;=15,24,16))</f>
        <v>32</v>
      </c>
      <c r="X91" s="15">
        <f>IF(COUNTIF('Résultats des tournois'!$B91:'Résultats des tournois'!X91,"&lt;&gt;")&lt;=5,32,IF(COUNTIF('Résultats des tournois'!$B91:'Résultats des tournois'!X91,"&lt;&gt;")&lt;=15,24,16))</f>
        <v>32</v>
      </c>
      <c r="Y91" s="15">
        <f>IF(COUNTIF('Résultats des tournois'!$B91:'Résultats des tournois'!Y91,"&lt;&gt;")&lt;=5,32,IF(COUNTIF('Résultats des tournois'!$B91:'Résultats des tournois'!Y91,"&lt;&gt;")&lt;=15,24,16))</f>
        <v>32</v>
      </c>
      <c r="Z91" s="15">
        <f>IF(COUNTIF('Résultats des tournois'!$B91:'Résultats des tournois'!Z91,"&lt;&gt;")&lt;=5,32,IF(COUNTIF('Résultats des tournois'!$B91:'Résultats des tournois'!Z91,"&lt;&gt;")&lt;=15,24,16))</f>
        <v>32</v>
      </c>
      <c r="AA91" s="15">
        <f>IF(COUNTIF('Résultats des tournois'!$B91:'Résultats des tournois'!AA91,"&lt;&gt;")&lt;=5,32,IF(COUNTIF('Résultats des tournois'!$B91:'Résultats des tournois'!AA91,"&lt;&gt;")&lt;=15,24,16))</f>
        <v>32</v>
      </c>
      <c r="AB91" s="15">
        <f>IF(COUNTIF('Résultats des tournois'!$B91:'Résultats des tournois'!AB91,"&lt;&gt;")&lt;=5,32,IF(COUNTIF('Résultats des tournois'!$B91:'Résultats des tournois'!AB91,"&lt;&gt;")&lt;=15,24,16))</f>
        <v>32</v>
      </c>
      <c r="AC91" s="15">
        <f>IF(COUNTIF('Résultats des tournois'!$B91:'Résultats des tournois'!AC91,"&lt;&gt;")&lt;=5,32,IF(COUNTIF('Résultats des tournois'!$B91:'Résultats des tournois'!AC91,"&lt;&gt;")&lt;=15,24,16))</f>
        <v>32</v>
      </c>
      <c r="AD91" s="15">
        <f>IF(COUNTIF('Résultats des tournois'!$B91:'Résultats des tournois'!AD91,"&lt;&gt;")&lt;=5,32,IF(COUNTIF('Résultats des tournois'!$B91:'Résultats des tournois'!AD91,"&lt;&gt;")&lt;=15,24,16))</f>
        <v>32</v>
      </c>
      <c r="AE91" s="15">
        <f>IF(COUNTIF('Résultats des tournois'!$B91:'Résultats des tournois'!AE91,"&lt;&gt;")&lt;=5,32,IF(COUNTIF('Résultats des tournois'!$B91:'Résultats des tournois'!AE91,"&lt;&gt;")&lt;=15,24,16))</f>
        <v>32</v>
      </c>
      <c r="AF91" s="15">
        <f>IF(COUNTIF('Résultats des tournois'!$B91:'Résultats des tournois'!AF91,"&lt;&gt;")&lt;=5,32,IF(COUNTIF('Résultats des tournois'!$B91:'Résultats des tournois'!AF91,"&lt;&gt;")&lt;=15,24,16))</f>
        <v>32</v>
      </c>
      <c r="AG91" s="15">
        <f>IF(COUNTIF('Résultats des tournois'!$B91:'Résultats des tournois'!AG91,"&lt;&gt;")&lt;=5,32,IF(COUNTIF('Résultats des tournois'!$B91:'Résultats des tournois'!AG91,"&lt;&gt;")&lt;=15,24,16))</f>
        <v>32</v>
      </c>
      <c r="AH91" s="15">
        <f>IF(COUNTIF('Résultats des tournois'!$B91:'Résultats des tournois'!AH91,"&lt;&gt;")&lt;=5,32,IF(COUNTIF('Résultats des tournois'!$B91:'Résultats des tournois'!AH91,"&lt;&gt;")&lt;=15,24,16))</f>
        <v>32</v>
      </c>
      <c r="AI91" s="15">
        <f>IF(COUNTIF('Résultats des tournois'!$B91:'Résultats des tournois'!AI91,"&lt;&gt;")&lt;=5,32,IF(COUNTIF('Résultats des tournois'!$B91:'Résultats des tournois'!AI91,"&lt;&gt;")&lt;=15,24,16))</f>
        <v>32</v>
      </c>
      <c r="AJ91" s="15">
        <f>IF(COUNTIF('Résultats des tournois'!$B91:'Résultats des tournois'!AJ91,"&lt;&gt;")&lt;=5,32,IF(COUNTIF('Résultats des tournois'!$B91:'Résultats des tournois'!AJ91,"&lt;&gt;")&lt;=15,24,16))</f>
        <v>32</v>
      </c>
      <c r="AK91" s="15">
        <f>IF(COUNTIF('Résultats des tournois'!$B91:'Résultats des tournois'!AK91,"&lt;&gt;")&lt;=5,32,IF(COUNTIF('Résultats des tournois'!$B91:'Résultats des tournois'!AK91,"&lt;&gt;")&lt;=15,24,16))</f>
        <v>32</v>
      </c>
      <c r="AL91" s="15">
        <f>IF(COUNTIF('Résultats des tournois'!$B91:'Résultats des tournois'!AL91,"&lt;&gt;")&lt;=5,32,IF(COUNTIF('Résultats des tournois'!$B91:'Résultats des tournois'!AL91,"&lt;&gt;")&lt;=15,24,16))</f>
        <v>32</v>
      </c>
      <c r="AM91" s="15">
        <f>IF(COUNTIF('Résultats des tournois'!$B91:'Résultats des tournois'!AM91,"&lt;&gt;")&lt;=5,32,IF(COUNTIF('Résultats des tournois'!$B91:'Résultats des tournois'!AM91,"&lt;&gt;")&lt;=15,24,16))</f>
        <v>32</v>
      </c>
      <c r="AN91" s="15">
        <f>IF(COUNTIF('Résultats des tournois'!$B91:'Résultats des tournois'!AN91,"&lt;&gt;")&lt;=5,32,IF(COUNTIF('Résultats des tournois'!$B91:'Résultats des tournois'!AN91,"&lt;&gt;")&lt;=15,24,16))</f>
        <v>32</v>
      </c>
      <c r="AO91" s="15">
        <f>IF(COUNTIF('Résultats des tournois'!$B91:'Résultats des tournois'!AO91,"&lt;&gt;")&lt;=5,32,IF(COUNTIF('Résultats des tournois'!$B91:'Résultats des tournois'!AO91,"&lt;&gt;")&lt;=15,24,16))</f>
        <v>32</v>
      </c>
      <c r="AP91" s="15">
        <f>IF(COUNTIF('Résultats des tournois'!$B91:'Résultats des tournois'!AP91,"&lt;&gt;")&lt;=5,32,IF(COUNTIF('Résultats des tournois'!$B91:'Résultats des tournois'!AP91,"&lt;&gt;")&lt;=15,24,16))</f>
        <v>32</v>
      </c>
      <c r="AQ91" s="15">
        <f>IF(COUNTIF('Résultats des tournois'!$B91:'Résultats des tournois'!AQ91,"&lt;&gt;")&lt;=5,32,IF(COUNTIF('Résultats des tournois'!$B91:'Résultats des tournois'!AQ91,"&lt;&gt;")&lt;=15,24,16))</f>
        <v>32</v>
      </c>
      <c r="AR91" s="15">
        <f>IF(COUNTIF('Résultats des tournois'!$B91:'Résultats des tournois'!AR91,"&lt;&gt;")&lt;=5,32,IF(COUNTIF('Résultats des tournois'!$B91:'Résultats des tournois'!AR91,"&lt;&gt;")&lt;=15,24,16))</f>
        <v>32</v>
      </c>
      <c r="AS91" s="15">
        <f>IF(COUNTIF('Résultats des tournois'!$B91:'Résultats des tournois'!AS91,"&lt;&gt;")&lt;=5,32,IF(COUNTIF('Résultats des tournois'!$B91:'Résultats des tournois'!AS91,"&lt;&gt;")&lt;=15,24,16))</f>
        <v>32</v>
      </c>
      <c r="AT91" s="15">
        <f>IF(COUNTIF('Résultats des tournois'!$B91:'Résultats des tournois'!AT91,"&lt;&gt;")&lt;=5,32,IF(COUNTIF('Résultats des tournois'!$B91:'Résultats des tournois'!AT91,"&lt;&gt;")&lt;=15,24,16))</f>
        <v>32</v>
      </c>
      <c r="AU91" s="15">
        <f>IF(COUNTIF('Résultats des tournois'!$B91:'Résultats des tournois'!AU91,"&lt;&gt;")&lt;=5,32,IF(COUNTIF('Résultats des tournois'!$B91:'Résultats des tournois'!AU91,"&lt;&gt;")&lt;=15,24,16))</f>
        <v>32</v>
      </c>
      <c r="AV91" s="15">
        <f>IF(COUNTIF('Résultats des tournois'!$B91:'Résultats des tournois'!AV91,"&lt;&gt;")&lt;=5,32,IF(COUNTIF('Résultats des tournois'!$B91:'Résultats des tournois'!AV91,"&lt;&gt;")&lt;=15,24,16))</f>
        <v>32</v>
      </c>
      <c r="AW91" s="15">
        <f>IF(COUNTIF('Résultats des tournois'!$B91:'Résultats des tournois'!AW91,"&lt;&gt;")&lt;=5,32,IF(COUNTIF('Résultats des tournois'!$B91:'Résultats des tournois'!AW91,"&lt;&gt;")&lt;=15,24,16))</f>
        <v>32</v>
      </c>
      <c r="AX91" s="15">
        <f>IF(COUNTIF('Résultats des tournois'!$B91:'Résultats des tournois'!AX91,"&lt;&gt;")&lt;=5,32,IF(COUNTIF('Résultats des tournois'!$B91:'Résultats des tournois'!AX91,"&lt;&gt;")&lt;=15,24,16))</f>
        <v>32</v>
      </c>
    </row>
    <row r="92" ht="14.25" customHeight="1">
      <c r="A92" s="15" t="str">
        <f>IF('Résultats des tournois'!A92="","",'Résultats des tournois'!A92)</f>
        <v/>
      </c>
      <c r="B92" s="15">
        <f>IF(COUNTIF('Résultats des tournois'!B92,"&lt;&gt;")&lt;=5,32,IF(COUNTIF('Résultats des tournois'!B92,"&lt;&gt;")&lt;=15,24,16))</f>
        <v>32</v>
      </c>
      <c r="C92" s="15">
        <f>IF(COUNTIF('Résultats des tournois'!$B92:'Résultats des tournois'!C92,"&lt;&gt;")&lt;=5,32,IF(COUNTIF('Résultats des tournois'!$B92:'Résultats des tournois'!C92,"&lt;&gt;")&lt;=15,24,16))</f>
        <v>32</v>
      </c>
      <c r="D92" s="15">
        <f>IF(COUNTIF('Résultats des tournois'!$B92:'Résultats des tournois'!D92,"&lt;&gt;")&lt;=5,32,IF(COUNTIF('Résultats des tournois'!$B92:'Résultats des tournois'!D92,"&lt;&gt;")&lt;=15,24,16))</f>
        <v>32</v>
      </c>
      <c r="E92" s="15">
        <f>IF(COUNTIF('Résultats des tournois'!$B92:'Résultats des tournois'!E92,"&lt;&gt;")&lt;=5,32,IF(COUNTIF('Résultats des tournois'!$B92:'Résultats des tournois'!E92,"&lt;&gt;")&lt;=15,24,16))</f>
        <v>32</v>
      </c>
      <c r="F92" s="15">
        <f>IF(COUNTIF('Résultats des tournois'!$B92:'Résultats des tournois'!F92,"&lt;&gt;")&lt;=5,32,IF(COUNTIF('Résultats des tournois'!$B92:'Résultats des tournois'!F92,"&lt;&gt;")&lt;=15,24,16))</f>
        <v>32</v>
      </c>
      <c r="G92" s="15">
        <f>IF(COUNTIF('Résultats des tournois'!$B92:'Résultats des tournois'!G92,"&lt;&gt;")&lt;=5,32,IF(COUNTIF('Résultats des tournois'!$B92:'Résultats des tournois'!G92,"&lt;&gt;")&lt;=15,24,16))</f>
        <v>32</v>
      </c>
      <c r="H92" s="15">
        <f>IF(COUNTIF('Résultats des tournois'!$B92:'Résultats des tournois'!H92,"&lt;&gt;")&lt;=5,32,IF(COUNTIF('Résultats des tournois'!$B92:'Résultats des tournois'!H92,"&lt;&gt;")&lt;=15,24,16))</f>
        <v>32</v>
      </c>
      <c r="I92" s="15">
        <f>IF(COUNTIF('Résultats des tournois'!$B92:'Résultats des tournois'!I92,"&lt;&gt;")&lt;=5,32,IF(COUNTIF('Résultats des tournois'!$B92:'Résultats des tournois'!I92,"&lt;&gt;")&lt;=15,24,16))</f>
        <v>32</v>
      </c>
      <c r="J92" s="15">
        <f>IF(COUNTIF('Résultats des tournois'!$B92:'Résultats des tournois'!J92,"&lt;&gt;")&lt;=5,32,IF(COUNTIF('Résultats des tournois'!$B92:'Résultats des tournois'!J92,"&lt;&gt;")&lt;=15,24,16))</f>
        <v>32</v>
      </c>
      <c r="K92" s="15">
        <f>IF(COUNTIF('Résultats des tournois'!$B92:'Résultats des tournois'!K92,"&lt;&gt;")&lt;=5,32,IF(COUNTIF('Résultats des tournois'!$B92:'Résultats des tournois'!K92,"&lt;&gt;")&lt;=15,24,16))</f>
        <v>32</v>
      </c>
      <c r="L92" s="15">
        <f>IF(COUNTIF('Résultats des tournois'!$B92:'Résultats des tournois'!L92,"&lt;&gt;")&lt;=5,32,IF(COUNTIF('Résultats des tournois'!$B92:'Résultats des tournois'!L92,"&lt;&gt;")&lt;=15,24,16))</f>
        <v>32</v>
      </c>
      <c r="M92" s="15">
        <f>IF(COUNTIF('Résultats des tournois'!$B92:'Résultats des tournois'!M92,"&lt;&gt;")&lt;=5,32,IF(COUNTIF('Résultats des tournois'!$B92:'Résultats des tournois'!M92,"&lt;&gt;")&lt;=15,24,16))</f>
        <v>32</v>
      </c>
      <c r="N92" s="15">
        <f>IF(COUNTIF('Résultats des tournois'!$B92:'Résultats des tournois'!N92,"&lt;&gt;")&lt;=5,32,IF(COUNTIF('Résultats des tournois'!$B92:'Résultats des tournois'!N92,"&lt;&gt;")&lt;=15,24,16))</f>
        <v>32</v>
      </c>
      <c r="O92" s="15">
        <f>IF(COUNTIF('Résultats des tournois'!$B92:'Résultats des tournois'!O92,"&lt;&gt;")&lt;=5,32,IF(COUNTIF('Résultats des tournois'!$B92:'Résultats des tournois'!O92,"&lt;&gt;")&lt;=15,24,16))</f>
        <v>32</v>
      </c>
      <c r="P92" s="15">
        <f>IF(COUNTIF('Résultats des tournois'!$B92:'Résultats des tournois'!P92,"&lt;&gt;")&lt;=5,32,IF(COUNTIF('Résultats des tournois'!$B92:'Résultats des tournois'!P92,"&lt;&gt;")&lt;=15,24,16))</f>
        <v>32</v>
      </c>
      <c r="Q92" s="15">
        <f>IF(COUNTIF('Résultats des tournois'!$B92:'Résultats des tournois'!Q92,"&lt;&gt;")&lt;=5,32,IF(COUNTIF('Résultats des tournois'!$B92:'Résultats des tournois'!Q92,"&lt;&gt;")&lt;=15,24,16))</f>
        <v>32</v>
      </c>
      <c r="R92" s="15">
        <f>IF(COUNTIF('Résultats des tournois'!$B92:'Résultats des tournois'!R92,"&lt;&gt;")&lt;=5,32,IF(COUNTIF('Résultats des tournois'!$B92:'Résultats des tournois'!R92,"&lt;&gt;")&lt;=15,24,16))</f>
        <v>32</v>
      </c>
      <c r="S92" s="15">
        <f>IF(COUNTIF('Résultats des tournois'!$B92:'Résultats des tournois'!S92,"&lt;&gt;")&lt;=5,32,IF(COUNTIF('Résultats des tournois'!$B92:'Résultats des tournois'!S92,"&lt;&gt;")&lt;=15,24,16))</f>
        <v>32</v>
      </c>
      <c r="T92" s="15">
        <f>IF(COUNTIF('Résultats des tournois'!$B92:'Résultats des tournois'!T92,"&lt;&gt;")&lt;=5,32,IF(COUNTIF('Résultats des tournois'!$B92:'Résultats des tournois'!T92,"&lt;&gt;")&lt;=15,24,16))</f>
        <v>32</v>
      </c>
      <c r="U92" s="15">
        <f>IF(COUNTIF('Résultats des tournois'!$B92:'Résultats des tournois'!U92,"&lt;&gt;")&lt;=5,32,IF(COUNTIF('Résultats des tournois'!$B92:'Résultats des tournois'!U92,"&lt;&gt;")&lt;=15,24,16))</f>
        <v>32</v>
      </c>
      <c r="V92" s="15">
        <f>IF(COUNTIF('Résultats des tournois'!$B92:'Résultats des tournois'!V92,"&lt;&gt;")&lt;=5,32,IF(COUNTIF('Résultats des tournois'!$B92:'Résultats des tournois'!V92,"&lt;&gt;")&lt;=15,24,16))</f>
        <v>32</v>
      </c>
      <c r="W92" s="15">
        <f>IF(COUNTIF('Résultats des tournois'!$B92:'Résultats des tournois'!W92,"&lt;&gt;")&lt;=5,32,IF(COUNTIF('Résultats des tournois'!$B92:'Résultats des tournois'!W92,"&lt;&gt;")&lt;=15,24,16))</f>
        <v>32</v>
      </c>
      <c r="X92" s="15">
        <f>IF(COUNTIF('Résultats des tournois'!$B92:'Résultats des tournois'!X92,"&lt;&gt;")&lt;=5,32,IF(COUNTIF('Résultats des tournois'!$B92:'Résultats des tournois'!X92,"&lt;&gt;")&lt;=15,24,16))</f>
        <v>32</v>
      </c>
      <c r="Y92" s="15">
        <f>IF(COUNTIF('Résultats des tournois'!$B92:'Résultats des tournois'!Y92,"&lt;&gt;")&lt;=5,32,IF(COUNTIF('Résultats des tournois'!$B92:'Résultats des tournois'!Y92,"&lt;&gt;")&lt;=15,24,16))</f>
        <v>32</v>
      </c>
      <c r="Z92" s="15">
        <f>IF(COUNTIF('Résultats des tournois'!$B92:'Résultats des tournois'!Z92,"&lt;&gt;")&lt;=5,32,IF(COUNTIF('Résultats des tournois'!$B92:'Résultats des tournois'!Z92,"&lt;&gt;")&lt;=15,24,16))</f>
        <v>32</v>
      </c>
      <c r="AA92" s="15">
        <f>IF(COUNTIF('Résultats des tournois'!$B92:'Résultats des tournois'!AA92,"&lt;&gt;")&lt;=5,32,IF(COUNTIF('Résultats des tournois'!$B92:'Résultats des tournois'!AA92,"&lt;&gt;")&lt;=15,24,16))</f>
        <v>32</v>
      </c>
      <c r="AB92" s="15">
        <f>IF(COUNTIF('Résultats des tournois'!$B92:'Résultats des tournois'!AB92,"&lt;&gt;")&lt;=5,32,IF(COUNTIF('Résultats des tournois'!$B92:'Résultats des tournois'!AB92,"&lt;&gt;")&lt;=15,24,16))</f>
        <v>32</v>
      </c>
      <c r="AC92" s="15">
        <f>IF(COUNTIF('Résultats des tournois'!$B92:'Résultats des tournois'!AC92,"&lt;&gt;")&lt;=5,32,IF(COUNTIF('Résultats des tournois'!$B92:'Résultats des tournois'!AC92,"&lt;&gt;")&lt;=15,24,16))</f>
        <v>32</v>
      </c>
      <c r="AD92" s="15">
        <f>IF(COUNTIF('Résultats des tournois'!$B92:'Résultats des tournois'!AD92,"&lt;&gt;")&lt;=5,32,IF(COUNTIF('Résultats des tournois'!$B92:'Résultats des tournois'!AD92,"&lt;&gt;")&lt;=15,24,16))</f>
        <v>32</v>
      </c>
      <c r="AE92" s="15">
        <f>IF(COUNTIF('Résultats des tournois'!$B92:'Résultats des tournois'!AE92,"&lt;&gt;")&lt;=5,32,IF(COUNTIF('Résultats des tournois'!$B92:'Résultats des tournois'!AE92,"&lt;&gt;")&lt;=15,24,16))</f>
        <v>32</v>
      </c>
      <c r="AF92" s="15">
        <f>IF(COUNTIF('Résultats des tournois'!$B92:'Résultats des tournois'!AF92,"&lt;&gt;")&lt;=5,32,IF(COUNTIF('Résultats des tournois'!$B92:'Résultats des tournois'!AF92,"&lt;&gt;")&lt;=15,24,16))</f>
        <v>32</v>
      </c>
      <c r="AG92" s="15">
        <f>IF(COUNTIF('Résultats des tournois'!$B92:'Résultats des tournois'!AG92,"&lt;&gt;")&lt;=5,32,IF(COUNTIF('Résultats des tournois'!$B92:'Résultats des tournois'!AG92,"&lt;&gt;")&lt;=15,24,16))</f>
        <v>32</v>
      </c>
      <c r="AH92" s="15">
        <f>IF(COUNTIF('Résultats des tournois'!$B92:'Résultats des tournois'!AH92,"&lt;&gt;")&lt;=5,32,IF(COUNTIF('Résultats des tournois'!$B92:'Résultats des tournois'!AH92,"&lt;&gt;")&lt;=15,24,16))</f>
        <v>32</v>
      </c>
      <c r="AI92" s="15">
        <f>IF(COUNTIF('Résultats des tournois'!$B92:'Résultats des tournois'!AI92,"&lt;&gt;")&lt;=5,32,IF(COUNTIF('Résultats des tournois'!$B92:'Résultats des tournois'!AI92,"&lt;&gt;")&lt;=15,24,16))</f>
        <v>32</v>
      </c>
      <c r="AJ92" s="15">
        <f>IF(COUNTIF('Résultats des tournois'!$B92:'Résultats des tournois'!AJ92,"&lt;&gt;")&lt;=5,32,IF(COUNTIF('Résultats des tournois'!$B92:'Résultats des tournois'!AJ92,"&lt;&gt;")&lt;=15,24,16))</f>
        <v>32</v>
      </c>
      <c r="AK92" s="15">
        <f>IF(COUNTIF('Résultats des tournois'!$B92:'Résultats des tournois'!AK92,"&lt;&gt;")&lt;=5,32,IF(COUNTIF('Résultats des tournois'!$B92:'Résultats des tournois'!AK92,"&lt;&gt;")&lt;=15,24,16))</f>
        <v>32</v>
      </c>
      <c r="AL92" s="15">
        <f>IF(COUNTIF('Résultats des tournois'!$B92:'Résultats des tournois'!AL92,"&lt;&gt;")&lt;=5,32,IF(COUNTIF('Résultats des tournois'!$B92:'Résultats des tournois'!AL92,"&lt;&gt;")&lt;=15,24,16))</f>
        <v>32</v>
      </c>
      <c r="AM92" s="15">
        <f>IF(COUNTIF('Résultats des tournois'!$B92:'Résultats des tournois'!AM92,"&lt;&gt;")&lt;=5,32,IF(COUNTIF('Résultats des tournois'!$B92:'Résultats des tournois'!AM92,"&lt;&gt;")&lt;=15,24,16))</f>
        <v>32</v>
      </c>
      <c r="AN92" s="15">
        <f>IF(COUNTIF('Résultats des tournois'!$B92:'Résultats des tournois'!AN92,"&lt;&gt;")&lt;=5,32,IF(COUNTIF('Résultats des tournois'!$B92:'Résultats des tournois'!AN92,"&lt;&gt;")&lt;=15,24,16))</f>
        <v>32</v>
      </c>
      <c r="AO92" s="15">
        <f>IF(COUNTIF('Résultats des tournois'!$B92:'Résultats des tournois'!AO92,"&lt;&gt;")&lt;=5,32,IF(COUNTIF('Résultats des tournois'!$B92:'Résultats des tournois'!AO92,"&lt;&gt;")&lt;=15,24,16))</f>
        <v>32</v>
      </c>
      <c r="AP92" s="15">
        <f>IF(COUNTIF('Résultats des tournois'!$B92:'Résultats des tournois'!AP92,"&lt;&gt;")&lt;=5,32,IF(COUNTIF('Résultats des tournois'!$B92:'Résultats des tournois'!AP92,"&lt;&gt;")&lt;=15,24,16))</f>
        <v>32</v>
      </c>
      <c r="AQ92" s="15">
        <f>IF(COUNTIF('Résultats des tournois'!$B92:'Résultats des tournois'!AQ92,"&lt;&gt;")&lt;=5,32,IF(COUNTIF('Résultats des tournois'!$B92:'Résultats des tournois'!AQ92,"&lt;&gt;")&lt;=15,24,16))</f>
        <v>32</v>
      </c>
      <c r="AR92" s="15">
        <f>IF(COUNTIF('Résultats des tournois'!$B92:'Résultats des tournois'!AR92,"&lt;&gt;")&lt;=5,32,IF(COUNTIF('Résultats des tournois'!$B92:'Résultats des tournois'!AR92,"&lt;&gt;")&lt;=15,24,16))</f>
        <v>32</v>
      </c>
      <c r="AS92" s="15">
        <f>IF(COUNTIF('Résultats des tournois'!$B92:'Résultats des tournois'!AS92,"&lt;&gt;")&lt;=5,32,IF(COUNTIF('Résultats des tournois'!$B92:'Résultats des tournois'!AS92,"&lt;&gt;")&lt;=15,24,16))</f>
        <v>32</v>
      </c>
      <c r="AT92" s="15">
        <f>IF(COUNTIF('Résultats des tournois'!$B92:'Résultats des tournois'!AT92,"&lt;&gt;")&lt;=5,32,IF(COUNTIF('Résultats des tournois'!$B92:'Résultats des tournois'!AT92,"&lt;&gt;")&lt;=15,24,16))</f>
        <v>32</v>
      </c>
      <c r="AU92" s="15">
        <f>IF(COUNTIF('Résultats des tournois'!$B92:'Résultats des tournois'!AU92,"&lt;&gt;")&lt;=5,32,IF(COUNTIF('Résultats des tournois'!$B92:'Résultats des tournois'!AU92,"&lt;&gt;")&lt;=15,24,16))</f>
        <v>32</v>
      </c>
      <c r="AV92" s="15">
        <f>IF(COUNTIF('Résultats des tournois'!$B92:'Résultats des tournois'!AV92,"&lt;&gt;")&lt;=5,32,IF(COUNTIF('Résultats des tournois'!$B92:'Résultats des tournois'!AV92,"&lt;&gt;")&lt;=15,24,16))</f>
        <v>32</v>
      </c>
      <c r="AW92" s="15">
        <f>IF(COUNTIF('Résultats des tournois'!$B92:'Résultats des tournois'!AW92,"&lt;&gt;")&lt;=5,32,IF(COUNTIF('Résultats des tournois'!$B92:'Résultats des tournois'!AW92,"&lt;&gt;")&lt;=15,24,16))</f>
        <v>32</v>
      </c>
      <c r="AX92" s="15">
        <f>IF(COUNTIF('Résultats des tournois'!$B92:'Résultats des tournois'!AX92,"&lt;&gt;")&lt;=5,32,IF(COUNTIF('Résultats des tournois'!$B92:'Résultats des tournois'!AX92,"&lt;&gt;")&lt;=15,24,16))</f>
        <v>32</v>
      </c>
    </row>
    <row r="93" ht="14.25" customHeight="1">
      <c r="A93" s="15" t="str">
        <f>IF('Résultats des tournois'!A93="","",'Résultats des tournois'!A93)</f>
        <v/>
      </c>
      <c r="B93" s="15">
        <f>IF(COUNTIF('Résultats des tournois'!B93,"&lt;&gt;")&lt;=5,32,IF(COUNTIF('Résultats des tournois'!B93,"&lt;&gt;")&lt;=15,24,16))</f>
        <v>32</v>
      </c>
      <c r="C93" s="15">
        <f>IF(COUNTIF('Résultats des tournois'!$B93:'Résultats des tournois'!C93,"&lt;&gt;")&lt;=5,32,IF(COUNTIF('Résultats des tournois'!$B93:'Résultats des tournois'!C93,"&lt;&gt;")&lt;=15,24,16))</f>
        <v>32</v>
      </c>
      <c r="D93" s="15">
        <f>IF(COUNTIF('Résultats des tournois'!$B93:'Résultats des tournois'!D93,"&lt;&gt;")&lt;=5,32,IF(COUNTIF('Résultats des tournois'!$B93:'Résultats des tournois'!D93,"&lt;&gt;")&lt;=15,24,16))</f>
        <v>32</v>
      </c>
      <c r="E93" s="15">
        <f>IF(COUNTIF('Résultats des tournois'!$B93:'Résultats des tournois'!E93,"&lt;&gt;")&lt;=5,32,IF(COUNTIF('Résultats des tournois'!$B93:'Résultats des tournois'!E93,"&lt;&gt;")&lt;=15,24,16))</f>
        <v>32</v>
      </c>
      <c r="F93" s="15">
        <f>IF(COUNTIF('Résultats des tournois'!$B93:'Résultats des tournois'!F93,"&lt;&gt;")&lt;=5,32,IF(COUNTIF('Résultats des tournois'!$B93:'Résultats des tournois'!F93,"&lt;&gt;")&lt;=15,24,16))</f>
        <v>32</v>
      </c>
      <c r="G93" s="15">
        <f>IF(COUNTIF('Résultats des tournois'!$B93:'Résultats des tournois'!G93,"&lt;&gt;")&lt;=5,32,IF(COUNTIF('Résultats des tournois'!$B93:'Résultats des tournois'!G93,"&lt;&gt;")&lt;=15,24,16))</f>
        <v>32</v>
      </c>
      <c r="H93" s="15">
        <f>IF(COUNTIF('Résultats des tournois'!$B93:'Résultats des tournois'!H93,"&lt;&gt;")&lt;=5,32,IF(COUNTIF('Résultats des tournois'!$B93:'Résultats des tournois'!H93,"&lt;&gt;")&lt;=15,24,16))</f>
        <v>32</v>
      </c>
      <c r="I93" s="15">
        <f>IF(COUNTIF('Résultats des tournois'!$B93:'Résultats des tournois'!I93,"&lt;&gt;")&lt;=5,32,IF(COUNTIF('Résultats des tournois'!$B93:'Résultats des tournois'!I93,"&lt;&gt;")&lt;=15,24,16))</f>
        <v>32</v>
      </c>
      <c r="J93" s="15">
        <f>IF(COUNTIF('Résultats des tournois'!$B93:'Résultats des tournois'!J93,"&lt;&gt;")&lt;=5,32,IF(COUNTIF('Résultats des tournois'!$B93:'Résultats des tournois'!J93,"&lt;&gt;")&lt;=15,24,16))</f>
        <v>32</v>
      </c>
      <c r="K93" s="15">
        <f>IF(COUNTIF('Résultats des tournois'!$B93:'Résultats des tournois'!K93,"&lt;&gt;")&lt;=5,32,IF(COUNTIF('Résultats des tournois'!$B93:'Résultats des tournois'!K93,"&lt;&gt;")&lt;=15,24,16))</f>
        <v>32</v>
      </c>
      <c r="L93" s="15">
        <f>IF(COUNTIF('Résultats des tournois'!$B93:'Résultats des tournois'!L93,"&lt;&gt;")&lt;=5,32,IF(COUNTIF('Résultats des tournois'!$B93:'Résultats des tournois'!L93,"&lt;&gt;")&lt;=15,24,16))</f>
        <v>32</v>
      </c>
      <c r="M93" s="15">
        <f>IF(COUNTIF('Résultats des tournois'!$B93:'Résultats des tournois'!M93,"&lt;&gt;")&lt;=5,32,IF(COUNTIF('Résultats des tournois'!$B93:'Résultats des tournois'!M93,"&lt;&gt;")&lt;=15,24,16))</f>
        <v>32</v>
      </c>
      <c r="N93" s="15">
        <f>IF(COUNTIF('Résultats des tournois'!$B93:'Résultats des tournois'!N93,"&lt;&gt;")&lt;=5,32,IF(COUNTIF('Résultats des tournois'!$B93:'Résultats des tournois'!N93,"&lt;&gt;")&lt;=15,24,16))</f>
        <v>32</v>
      </c>
      <c r="O93" s="15">
        <f>IF(COUNTIF('Résultats des tournois'!$B93:'Résultats des tournois'!O93,"&lt;&gt;")&lt;=5,32,IF(COUNTIF('Résultats des tournois'!$B93:'Résultats des tournois'!O93,"&lt;&gt;")&lt;=15,24,16))</f>
        <v>32</v>
      </c>
      <c r="P93" s="15">
        <f>IF(COUNTIF('Résultats des tournois'!$B93:'Résultats des tournois'!P93,"&lt;&gt;")&lt;=5,32,IF(COUNTIF('Résultats des tournois'!$B93:'Résultats des tournois'!P93,"&lt;&gt;")&lt;=15,24,16))</f>
        <v>32</v>
      </c>
      <c r="Q93" s="15">
        <f>IF(COUNTIF('Résultats des tournois'!$B93:'Résultats des tournois'!Q93,"&lt;&gt;")&lt;=5,32,IF(COUNTIF('Résultats des tournois'!$B93:'Résultats des tournois'!Q93,"&lt;&gt;")&lt;=15,24,16))</f>
        <v>32</v>
      </c>
      <c r="R93" s="15">
        <f>IF(COUNTIF('Résultats des tournois'!$B93:'Résultats des tournois'!R93,"&lt;&gt;")&lt;=5,32,IF(COUNTIF('Résultats des tournois'!$B93:'Résultats des tournois'!R93,"&lt;&gt;")&lt;=15,24,16))</f>
        <v>32</v>
      </c>
      <c r="S93" s="15">
        <f>IF(COUNTIF('Résultats des tournois'!$B93:'Résultats des tournois'!S93,"&lt;&gt;")&lt;=5,32,IF(COUNTIF('Résultats des tournois'!$B93:'Résultats des tournois'!S93,"&lt;&gt;")&lt;=15,24,16))</f>
        <v>32</v>
      </c>
      <c r="T93" s="15">
        <f>IF(COUNTIF('Résultats des tournois'!$B93:'Résultats des tournois'!T93,"&lt;&gt;")&lt;=5,32,IF(COUNTIF('Résultats des tournois'!$B93:'Résultats des tournois'!T93,"&lt;&gt;")&lt;=15,24,16))</f>
        <v>32</v>
      </c>
      <c r="U93" s="15">
        <f>IF(COUNTIF('Résultats des tournois'!$B93:'Résultats des tournois'!U93,"&lt;&gt;")&lt;=5,32,IF(COUNTIF('Résultats des tournois'!$B93:'Résultats des tournois'!U93,"&lt;&gt;")&lt;=15,24,16))</f>
        <v>32</v>
      </c>
      <c r="V93" s="15">
        <f>IF(COUNTIF('Résultats des tournois'!$B93:'Résultats des tournois'!V93,"&lt;&gt;")&lt;=5,32,IF(COUNTIF('Résultats des tournois'!$B93:'Résultats des tournois'!V93,"&lt;&gt;")&lt;=15,24,16))</f>
        <v>32</v>
      </c>
      <c r="W93" s="15">
        <f>IF(COUNTIF('Résultats des tournois'!$B93:'Résultats des tournois'!W93,"&lt;&gt;")&lt;=5,32,IF(COUNTIF('Résultats des tournois'!$B93:'Résultats des tournois'!W93,"&lt;&gt;")&lt;=15,24,16))</f>
        <v>32</v>
      </c>
      <c r="X93" s="15">
        <f>IF(COUNTIF('Résultats des tournois'!$B93:'Résultats des tournois'!X93,"&lt;&gt;")&lt;=5,32,IF(COUNTIF('Résultats des tournois'!$B93:'Résultats des tournois'!X93,"&lt;&gt;")&lt;=15,24,16))</f>
        <v>32</v>
      </c>
      <c r="Y93" s="15">
        <f>IF(COUNTIF('Résultats des tournois'!$B93:'Résultats des tournois'!Y93,"&lt;&gt;")&lt;=5,32,IF(COUNTIF('Résultats des tournois'!$B93:'Résultats des tournois'!Y93,"&lt;&gt;")&lt;=15,24,16))</f>
        <v>32</v>
      </c>
      <c r="Z93" s="15">
        <f>IF(COUNTIF('Résultats des tournois'!$B93:'Résultats des tournois'!Z93,"&lt;&gt;")&lt;=5,32,IF(COUNTIF('Résultats des tournois'!$B93:'Résultats des tournois'!Z93,"&lt;&gt;")&lt;=15,24,16))</f>
        <v>32</v>
      </c>
      <c r="AA93" s="15">
        <f>IF(COUNTIF('Résultats des tournois'!$B93:'Résultats des tournois'!AA93,"&lt;&gt;")&lt;=5,32,IF(COUNTIF('Résultats des tournois'!$B93:'Résultats des tournois'!AA93,"&lt;&gt;")&lt;=15,24,16))</f>
        <v>32</v>
      </c>
      <c r="AB93" s="15">
        <f>IF(COUNTIF('Résultats des tournois'!$B93:'Résultats des tournois'!AB93,"&lt;&gt;")&lt;=5,32,IF(COUNTIF('Résultats des tournois'!$B93:'Résultats des tournois'!AB93,"&lt;&gt;")&lt;=15,24,16))</f>
        <v>32</v>
      </c>
      <c r="AC93" s="15">
        <f>IF(COUNTIF('Résultats des tournois'!$B93:'Résultats des tournois'!AC93,"&lt;&gt;")&lt;=5,32,IF(COUNTIF('Résultats des tournois'!$B93:'Résultats des tournois'!AC93,"&lt;&gt;")&lt;=15,24,16))</f>
        <v>32</v>
      </c>
      <c r="AD93" s="15">
        <f>IF(COUNTIF('Résultats des tournois'!$B93:'Résultats des tournois'!AD93,"&lt;&gt;")&lt;=5,32,IF(COUNTIF('Résultats des tournois'!$B93:'Résultats des tournois'!AD93,"&lt;&gt;")&lt;=15,24,16))</f>
        <v>32</v>
      </c>
      <c r="AE93" s="15">
        <f>IF(COUNTIF('Résultats des tournois'!$B93:'Résultats des tournois'!AE93,"&lt;&gt;")&lt;=5,32,IF(COUNTIF('Résultats des tournois'!$B93:'Résultats des tournois'!AE93,"&lt;&gt;")&lt;=15,24,16))</f>
        <v>32</v>
      </c>
      <c r="AF93" s="15">
        <f>IF(COUNTIF('Résultats des tournois'!$B93:'Résultats des tournois'!AF93,"&lt;&gt;")&lt;=5,32,IF(COUNTIF('Résultats des tournois'!$B93:'Résultats des tournois'!AF93,"&lt;&gt;")&lt;=15,24,16))</f>
        <v>32</v>
      </c>
      <c r="AG93" s="15">
        <f>IF(COUNTIF('Résultats des tournois'!$B93:'Résultats des tournois'!AG93,"&lt;&gt;")&lt;=5,32,IF(COUNTIF('Résultats des tournois'!$B93:'Résultats des tournois'!AG93,"&lt;&gt;")&lt;=15,24,16))</f>
        <v>32</v>
      </c>
      <c r="AH93" s="15">
        <f>IF(COUNTIF('Résultats des tournois'!$B93:'Résultats des tournois'!AH93,"&lt;&gt;")&lt;=5,32,IF(COUNTIF('Résultats des tournois'!$B93:'Résultats des tournois'!AH93,"&lt;&gt;")&lt;=15,24,16))</f>
        <v>32</v>
      </c>
      <c r="AI93" s="15">
        <f>IF(COUNTIF('Résultats des tournois'!$B93:'Résultats des tournois'!AI93,"&lt;&gt;")&lt;=5,32,IF(COUNTIF('Résultats des tournois'!$B93:'Résultats des tournois'!AI93,"&lt;&gt;")&lt;=15,24,16))</f>
        <v>32</v>
      </c>
      <c r="AJ93" s="15">
        <f>IF(COUNTIF('Résultats des tournois'!$B93:'Résultats des tournois'!AJ93,"&lt;&gt;")&lt;=5,32,IF(COUNTIF('Résultats des tournois'!$B93:'Résultats des tournois'!AJ93,"&lt;&gt;")&lt;=15,24,16))</f>
        <v>32</v>
      </c>
      <c r="AK93" s="15">
        <f>IF(COUNTIF('Résultats des tournois'!$B93:'Résultats des tournois'!AK93,"&lt;&gt;")&lt;=5,32,IF(COUNTIF('Résultats des tournois'!$B93:'Résultats des tournois'!AK93,"&lt;&gt;")&lt;=15,24,16))</f>
        <v>32</v>
      </c>
      <c r="AL93" s="15">
        <f>IF(COUNTIF('Résultats des tournois'!$B93:'Résultats des tournois'!AL93,"&lt;&gt;")&lt;=5,32,IF(COUNTIF('Résultats des tournois'!$B93:'Résultats des tournois'!AL93,"&lt;&gt;")&lt;=15,24,16))</f>
        <v>32</v>
      </c>
      <c r="AM93" s="15">
        <f>IF(COUNTIF('Résultats des tournois'!$B93:'Résultats des tournois'!AM93,"&lt;&gt;")&lt;=5,32,IF(COUNTIF('Résultats des tournois'!$B93:'Résultats des tournois'!AM93,"&lt;&gt;")&lt;=15,24,16))</f>
        <v>32</v>
      </c>
      <c r="AN93" s="15">
        <f>IF(COUNTIF('Résultats des tournois'!$B93:'Résultats des tournois'!AN93,"&lt;&gt;")&lt;=5,32,IF(COUNTIF('Résultats des tournois'!$B93:'Résultats des tournois'!AN93,"&lt;&gt;")&lt;=15,24,16))</f>
        <v>32</v>
      </c>
      <c r="AO93" s="15">
        <f>IF(COUNTIF('Résultats des tournois'!$B93:'Résultats des tournois'!AO93,"&lt;&gt;")&lt;=5,32,IF(COUNTIF('Résultats des tournois'!$B93:'Résultats des tournois'!AO93,"&lt;&gt;")&lt;=15,24,16))</f>
        <v>32</v>
      </c>
      <c r="AP93" s="15">
        <f>IF(COUNTIF('Résultats des tournois'!$B93:'Résultats des tournois'!AP93,"&lt;&gt;")&lt;=5,32,IF(COUNTIF('Résultats des tournois'!$B93:'Résultats des tournois'!AP93,"&lt;&gt;")&lt;=15,24,16))</f>
        <v>32</v>
      </c>
      <c r="AQ93" s="15">
        <f>IF(COUNTIF('Résultats des tournois'!$B93:'Résultats des tournois'!AQ93,"&lt;&gt;")&lt;=5,32,IF(COUNTIF('Résultats des tournois'!$B93:'Résultats des tournois'!AQ93,"&lt;&gt;")&lt;=15,24,16))</f>
        <v>32</v>
      </c>
      <c r="AR93" s="15">
        <f>IF(COUNTIF('Résultats des tournois'!$B93:'Résultats des tournois'!AR93,"&lt;&gt;")&lt;=5,32,IF(COUNTIF('Résultats des tournois'!$B93:'Résultats des tournois'!AR93,"&lt;&gt;")&lt;=15,24,16))</f>
        <v>32</v>
      </c>
      <c r="AS93" s="15">
        <f>IF(COUNTIF('Résultats des tournois'!$B93:'Résultats des tournois'!AS93,"&lt;&gt;")&lt;=5,32,IF(COUNTIF('Résultats des tournois'!$B93:'Résultats des tournois'!AS93,"&lt;&gt;")&lt;=15,24,16))</f>
        <v>32</v>
      </c>
      <c r="AT93" s="15">
        <f>IF(COUNTIF('Résultats des tournois'!$B93:'Résultats des tournois'!AT93,"&lt;&gt;")&lt;=5,32,IF(COUNTIF('Résultats des tournois'!$B93:'Résultats des tournois'!AT93,"&lt;&gt;")&lt;=15,24,16))</f>
        <v>32</v>
      </c>
      <c r="AU93" s="15">
        <f>IF(COUNTIF('Résultats des tournois'!$B93:'Résultats des tournois'!AU93,"&lt;&gt;")&lt;=5,32,IF(COUNTIF('Résultats des tournois'!$B93:'Résultats des tournois'!AU93,"&lt;&gt;")&lt;=15,24,16))</f>
        <v>32</v>
      </c>
      <c r="AV93" s="15">
        <f>IF(COUNTIF('Résultats des tournois'!$B93:'Résultats des tournois'!AV93,"&lt;&gt;")&lt;=5,32,IF(COUNTIF('Résultats des tournois'!$B93:'Résultats des tournois'!AV93,"&lt;&gt;")&lt;=15,24,16))</f>
        <v>32</v>
      </c>
      <c r="AW93" s="15">
        <f>IF(COUNTIF('Résultats des tournois'!$B93:'Résultats des tournois'!AW93,"&lt;&gt;")&lt;=5,32,IF(COUNTIF('Résultats des tournois'!$B93:'Résultats des tournois'!AW93,"&lt;&gt;")&lt;=15,24,16))</f>
        <v>32</v>
      </c>
      <c r="AX93" s="15">
        <f>IF(COUNTIF('Résultats des tournois'!$B93:'Résultats des tournois'!AX93,"&lt;&gt;")&lt;=5,32,IF(COUNTIF('Résultats des tournois'!$B93:'Résultats des tournois'!AX93,"&lt;&gt;")&lt;=15,24,16))</f>
        <v>32</v>
      </c>
    </row>
    <row r="94" ht="14.25" customHeight="1">
      <c r="A94" s="15" t="str">
        <f>IF('Résultats des tournois'!A94="","",'Résultats des tournois'!A94)</f>
        <v/>
      </c>
      <c r="B94" s="15">
        <f>IF(COUNTIF('Résultats des tournois'!B94,"&lt;&gt;")&lt;=5,32,IF(COUNTIF('Résultats des tournois'!B94,"&lt;&gt;")&lt;=15,24,16))</f>
        <v>32</v>
      </c>
      <c r="C94" s="15">
        <f>IF(COUNTIF('Résultats des tournois'!$B94:'Résultats des tournois'!C94,"&lt;&gt;")&lt;=5,32,IF(COUNTIF('Résultats des tournois'!$B94:'Résultats des tournois'!C94,"&lt;&gt;")&lt;=15,24,16))</f>
        <v>32</v>
      </c>
      <c r="D94" s="15">
        <f>IF(COUNTIF('Résultats des tournois'!$B94:'Résultats des tournois'!D94,"&lt;&gt;")&lt;=5,32,IF(COUNTIF('Résultats des tournois'!$B94:'Résultats des tournois'!D94,"&lt;&gt;")&lt;=15,24,16))</f>
        <v>32</v>
      </c>
      <c r="E94" s="15">
        <f>IF(COUNTIF('Résultats des tournois'!$B94:'Résultats des tournois'!E94,"&lt;&gt;")&lt;=5,32,IF(COUNTIF('Résultats des tournois'!$B94:'Résultats des tournois'!E94,"&lt;&gt;")&lt;=15,24,16))</f>
        <v>32</v>
      </c>
      <c r="F94" s="15">
        <f>IF(COUNTIF('Résultats des tournois'!$B94:'Résultats des tournois'!F94,"&lt;&gt;")&lt;=5,32,IF(COUNTIF('Résultats des tournois'!$B94:'Résultats des tournois'!F94,"&lt;&gt;")&lt;=15,24,16))</f>
        <v>32</v>
      </c>
      <c r="G94" s="15">
        <f>IF(COUNTIF('Résultats des tournois'!$B94:'Résultats des tournois'!G94,"&lt;&gt;")&lt;=5,32,IF(COUNTIF('Résultats des tournois'!$B94:'Résultats des tournois'!G94,"&lt;&gt;")&lt;=15,24,16))</f>
        <v>32</v>
      </c>
      <c r="H94" s="15">
        <f>IF(COUNTIF('Résultats des tournois'!$B94:'Résultats des tournois'!H94,"&lt;&gt;")&lt;=5,32,IF(COUNTIF('Résultats des tournois'!$B94:'Résultats des tournois'!H94,"&lt;&gt;")&lt;=15,24,16))</f>
        <v>32</v>
      </c>
      <c r="I94" s="15">
        <f>IF(COUNTIF('Résultats des tournois'!$B94:'Résultats des tournois'!I94,"&lt;&gt;")&lt;=5,32,IF(COUNTIF('Résultats des tournois'!$B94:'Résultats des tournois'!I94,"&lt;&gt;")&lt;=15,24,16))</f>
        <v>32</v>
      </c>
      <c r="J94" s="15">
        <f>IF(COUNTIF('Résultats des tournois'!$B94:'Résultats des tournois'!J94,"&lt;&gt;")&lt;=5,32,IF(COUNTIF('Résultats des tournois'!$B94:'Résultats des tournois'!J94,"&lt;&gt;")&lt;=15,24,16))</f>
        <v>32</v>
      </c>
      <c r="K94" s="15">
        <f>IF(COUNTIF('Résultats des tournois'!$B94:'Résultats des tournois'!K94,"&lt;&gt;")&lt;=5,32,IF(COUNTIF('Résultats des tournois'!$B94:'Résultats des tournois'!K94,"&lt;&gt;")&lt;=15,24,16))</f>
        <v>32</v>
      </c>
      <c r="L94" s="15">
        <f>IF(COUNTIF('Résultats des tournois'!$B94:'Résultats des tournois'!L94,"&lt;&gt;")&lt;=5,32,IF(COUNTIF('Résultats des tournois'!$B94:'Résultats des tournois'!L94,"&lt;&gt;")&lt;=15,24,16))</f>
        <v>32</v>
      </c>
      <c r="M94" s="15">
        <f>IF(COUNTIF('Résultats des tournois'!$B94:'Résultats des tournois'!M94,"&lt;&gt;")&lt;=5,32,IF(COUNTIF('Résultats des tournois'!$B94:'Résultats des tournois'!M94,"&lt;&gt;")&lt;=15,24,16))</f>
        <v>32</v>
      </c>
      <c r="N94" s="15">
        <f>IF(COUNTIF('Résultats des tournois'!$B94:'Résultats des tournois'!N94,"&lt;&gt;")&lt;=5,32,IF(COUNTIF('Résultats des tournois'!$B94:'Résultats des tournois'!N94,"&lt;&gt;")&lt;=15,24,16))</f>
        <v>32</v>
      </c>
      <c r="O94" s="15">
        <f>IF(COUNTIF('Résultats des tournois'!$B94:'Résultats des tournois'!O94,"&lt;&gt;")&lt;=5,32,IF(COUNTIF('Résultats des tournois'!$B94:'Résultats des tournois'!O94,"&lt;&gt;")&lt;=15,24,16))</f>
        <v>32</v>
      </c>
      <c r="P94" s="15">
        <f>IF(COUNTIF('Résultats des tournois'!$B94:'Résultats des tournois'!P94,"&lt;&gt;")&lt;=5,32,IF(COUNTIF('Résultats des tournois'!$B94:'Résultats des tournois'!P94,"&lt;&gt;")&lt;=15,24,16))</f>
        <v>32</v>
      </c>
      <c r="Q94" s="15">
        <f>IF(COUNTIF('Résultats des tournois'!$B94:'Résultats des tournois'!Q94,"&lt;&gt;")&lt;=5,32,IF(COUNTIF('Résultats des tournois'!$B94:'Résultats des tournois'!Q94,"&lt;&gt;")&lt;=15,24,16))</f>
        <v>32</v>
      </c>
      <c r="R94" s="15">
        <f>IF(COUNTIF('Résultats des tournois'!$B94:'Résultats des tournois'!R94,"&lt;&gt;")&lt;=5,32,IF(COUNTIF('Résultats des tournois'!$B94:'Résultats des tournois'!R94,"&lt;&gt;")&lt;=15,24,16))</f>
        <v>32</v>
      </c>
      <c r="S94" s="15">
        <f>IF(COUNTIF('Résultats des tournois'!$B94:'Résultats des tournois'!S94,"&lt;&gt;")&lt;=5,32,IF(COUNTIF('Résultats des tournois'!$B94:'Résultats des tournois'!S94,"&lt;&gt;")&lt;=15,24,16))</f>
        <v>32</v>
      </c>
      <c r="T94" s="15">
        <f>IF(COUNTIF('Résultats des tournois'!$B94:'Résultats des tournois'!T94,"&lt;&gt;")&lt;=5,32,IF(COUNTIF('Résultats des tournois'!$B94:'Résultats des tournois'!T94,"&lt;&gt;")&lt;=15,24,16))</f>
        <v>32</v>
      </c>
      <c r="U94" s="15">
        <f>IF(COUNTIF('Résultats des tournois'!$B94:'Résultats des tournois'!U94,"&lt;&gt;")&lt;=5,32,IF(COUNTIF('Résultats des tournois'!$B94:'Résultats des tournois'!U94,"&lt;&gt;")&lt;=15,24,16))</f>
        <v>32</v>
      </c>
      <c r="V94" s="15">
        <f>IF(COUNTIF('Résultats des tournois'!$B94:'Résultats des tournois'!V94,"&lt;&gt;")&lt;=5,32,IF(COUNTIF('Résultats des tournois'!$B94:'Résultats des tournois'!V94,"&lt;&gt;")&lt;=15,24,16))</f>
        <v>32</v>
      </c>
      <c r="W94" s="15">
        <f>IF(COUNTIF('Résultats des tournois'!$B94:'Résultats des tournois'!W94,"&lt;&gt;")&lt;=5,32,IF(COUNTIF('Résultats des tournois'!$B94:'Résultats des tournois'!W94,"&lt;&gt;")&lt;=15,24,16))</f>
        <v>32</v>
      </c>
      <c r="X94" s="15">
        <f>IF(COUNTIF('Résultats des tournois'!$B94:'Résultats des tournois'!X94,"&lt;&gt;")&lt;=5,32,IF(COUNTIF('Résultats des tournois'!$B94:'Résultats des tournois'!X94,"&lt;&gt;")&lt;=15,24,16))</f>
        <v>32</v>
      </c>
      <c r="Y94" s="15">
        <f>IF(COUNTIF('Résultats des tournois'!$B94:'Résultats des tournois'!Y94,"&lt;&gt;")&lt;=5,32,IF(COUNTIF('Résultats des tournois'!$B94:'Résultats des tournois'!Y94,"&lt;&gt;")&lt;=15,24,16))</f>
        <v>32</v>
      </c>
      <c r="Z94" s="15">
        <f>IF(COUNTIF('Résultats des tournois'!$B94:'Résultats des tournois'!Z94,"&lt;&gt;")&lt;=5,32,IF(COUNTIF('Résultats des tournois'!$B94:'Résultats des tournois'!Z94,"&lt;&gt;")&lt;=15,24,16))</f>
        <v>32</v>
      </c>
      <c r="AA94" s="15">
        <f>IF(COUNTIF('Résultats des tournois'!$B94:'Résultats des tournois'!AA94,"&lt;&gt;")&lt;=5,32,IF(COUNTIF('Résultats des tournois'!$B94:'Résultats des tournois'!AA94,"&lt;&gt;")&lt;=15,24,16))</f>
        <v>32</v>
      </c>
      <c r="AB94" s="15">
        <f>IF(COUNTIF('Résultats des tournois'!$B94:'Résultats des tournois'!AB94,"&lt;&gt;")&lt;=5,32,IF(COUNTIF('Résultats des tournois'!$B94:'Résultats des tournois'!AB94,"&lt;&gt;")&lt;=15,24,16))</f>
        <v>32</v>
      </c>
      <c r="AC94" s="15">
        <f>IF(COUNTIF('Résultats des tournois'!$B94:'Résultats des tournois'!AC94,"&lt;&gt;")&lt;=5,32,IF(COUNTIF('Résultats des tournois'!$B94:'Résultats des tournois'!AC94,"&lt;&gt;")&lt;=15,24,16))</f>
        <v>32</v>
      </c>
      <c r="AD94" s="15">
        <f>IF(COUNTIF('Résultats des tournois'!$B94:'Résultats des tournois'!AD94,"&lt;&gt;")&lt;=5,32,IF(COUNTIF('Résultats des tournois'!$B94:'Résultats des tournois'!AD94,"&lt;&gt;")&lt;=15,24,16))</f>
        <v>32</v>
      </c>
      <c r="AE94" s="15">
        <f>IF(COUNTIF('Résultats des tournois'!$B94:'Résultats des tournois'!AE94,"&lt;&gt;")&lt;=5,32,IF(COUNTIF('Résultats des tournois'!$B94:'Résultats des tournois'!AE94,"&lt;&gt;")&lt;=15,24,16))</f>
        <v>32</v>
      </c>
      <c r="AF94" s="15">
        <f>IF(COUNTIF('Résultats des tournois'!$B94:'Résultats des tournois'!AF94,"&lt;&gt;")&lt;=5,32,IF(COUNTIF('Résultats des tournois'!$B94:'Résultats des tournois'!AF94,"&lt;&gt;")&lt;=15,24,16))</f>
        <v>32</v>
      </c>
      <c r="AG94" s="15">
        <f>IF(COUNTIF('Résultats des tournois'!$B94:'Résultats des tournois'!AG94,"&lt;&gt;")&lt;=5,32,IF(COUNTIF('Résultats des tournois'!$B94:'Résultats des tournois'!AG94,"&lt;&gt;")&lt;=15,24,16))</f>
        <v>32</v>
      </c>
      <c r="AH94" s="15">
        <f>IF(COUNTIF('Résultats des tournois'!$B94:'Résultats des tournois'!AH94,"&lt;&gt;")&lt;=5,32,IF(COUNTIF('Résultats des tournois'!$B94:'Résultats des tournois'!AH94,"&lt;&gt;")&lt;=15,24,16))</f>
        <v>32</v>
      </c>
      <c r="AI94" s="15">
        <f>IF(COUNTIF('Résultats des tournois'!$B94:'Résultats des tournois'!AI94,"&lt;&gt;")&lt;=5,32,IF(COUNTIF('Résultats des tournois'!$B94:'Résultats des tournois'!AI94,"&lt;&gt;")&lt;=15,24,16))</f>
        <v>32</v>
      </c>
      <c r="AJ94" s="15">
        <f>IF(COUNTIF('Résultats des tournois'!$B94:'Résultats des tournois'!AJ94,"&lt;&gt;")&lt;=5,32,IF(COUNTIF('Résultats des tournois'!$B94:'Résultats des tournois'!AJ94,"&lt;&gt;")&lt;=15,24,16))</f>
        <v>32</v>
      </c>
      <c r="AK94" s="15">
        <f>IF(COUNTIF('Résultats des tournois'!$B94:'Résultats des tournois'!AK94,"&lt;&gt;")&lt;=5,32,IF(COUNTIF('Résultats des tournois'!$B94:'Résultats des tournois'!AK94,"&lt;&gt;")&lt;=15,24,16))</f>
        <v>32</v>
      </c>
      <c r="AL94" s="15">
        <f>IF(COUNTIF('Résultats des tournois'!$B94:'Résultats des tournois'!AL94,"&lt;&gt;")&lt;=5,32,IF(COUNTIF('Résultats des tournois'!$B94:'Résultats des tournois'!AL94,"&lt;&gt;")&lt;=15,24,16))</f>
        <v>32</v>
      </c>
      <c r="AM94" s="15">
        <f>IF(COUNTIF('Résultats des tournois'!$B94:'Résultats des tournois'!AM94,"&lt;&gt;")&lt;=5,32,IF(COUNTIF('Résultats des tournois'!$B94:'Résultats des tournois'!AM94,"&lt;&gt;")&lt;=15,24,16))</f>
        <v>32</v>
      </c>
      <c r="AN94" s="15">
        <f>IF(COUNTIF('Résultats des tournois'!$B94:'Résultats des tournois'!AN94,"&lt;&gt;")&lt;=5,32,IF(COUNTIF('Résultats des tournois'!$B94:'Résultats des tournois'!AN94,"&lt;&gt;")&lt;=15,24,16))</f>
        <v>32</v>
      </c>
      <c r="AO94" s="15">
        <f>IF(COUNTIF('Résultats des tournois'!$B94:'Résultats des tournois'!AO94,"&lt;&gt;")&lt;=5,32,IF(COUNTIF('Résultats des tournois'!$B94:'Résultats des tournois'!AO94,"&lt;&gt;")&lt;=15,24,16))</f>
        <v>32</v>
      </c>
      <c r="AP94" s="15">
        <f>IF(COUNTIF('Résultats des tournois'!$B94:'Résultats des tournois'!AP94,"&lt;&gt;")&lt;=5,32,IF(COUNTIF('Résultats des tournois'!$B94:'Résultats des tournois'!AP94,"&lt;&gt;")&lt;=15,24,16))</f>
        <v>32</v>
      </c>
      <c r="AQ94" s="15">
        <f>IF(COUNTIF('Résultats des tournois'!$B94:'Résultats des tournois'!AQ94,"&lt;&gt;")&lt;=5,32,IF(COUNTIF('Résultats des tournois'!$B94:'Résultats des tournois'!AQ94,"&lt;&gt;")&lt;=15,24,16))</f>
        <v>32</v>
      </c>
      <c r="AR94" s="15">
        <f>IF(COUNTIF('Résultats des tournois'!$B94:'Résultats des tournois'!AR94,"&lt;&gt;")&lt;=5,32,IF(COUNTIF('Résultats des tournois'!$B94:'Résultats des tournois'!AR94,"&lt;&gt;")&lt;=15,24,16))</f>
        <v>32</v>
      </c>
      <c r="AS94" s="15">
        <f>IF(COUNTIF('Résultats des tournois'!$B94:'Résultats des tournois'!AS94,"&lt;&gt;")&lt;=5,32,IF(COUNTIF('Résultats des tournois'!$B94:'Résultats des tournois'!AS94,"&lt;&gt;")&lt;=15,24,16))</f>
        <v>32</v>
      </c>
      <c r="AT94" s="15">
        <f>IF(COUNTIF('Résultats des tournois'!$B94:'Résultats des tournois'!AT94,"&lt;&gt;")&lt;=5,32,IF(COUNTIF('Résultats des tournois'!$B94:'Résultats des tournois'!AT94,"&lt;&gt;")&lt;=15,24,16))</f>
        <v>32</v>
      </c>
      <c r="AU94" s="15">
        <f>IF(COUNTIF('Résultats des tournois'!$B94:'Résultats des tournois'!AU94,"&lt;&gt;")&lt;=5,32,IF(COUNTIF('Résultats des tournois'!$B94:'Résultats des tournois'!AU94,"&lt;&gt;")&lt;=15,24,16))</f>
        <v>32</v>
      </c>
      <c r="AV94" s="15">
        <f>IF(COUNTIF('Résultats des tournois'!$B94:'Résultats des tournois'!AV94,"&lt;&gt;")&lt;=5,32,IF(COUNTIF('Résultats des tournois'!$B94:'Résultats des tournois'!AV94,"&lt;&gt;")&lt;=15,24,16))</f>
        <v>32</v>
      </c>
      <c r="AW94" s="15">
        <f>IF(COUNTIF('Résultats des tournois'!$B94:'Résultats des tournois'!AW94,"&lt;&gt;")&lt;=5,32,IF(COUNTIF('Résultats des tournois'!$B94:'Résultats des tournois'!AW94,"&lt;&gt;")&lt;=15,24,16))</f>
        <v>32</v>
      </c>
      <c r="AX94" s="15">
        <f>IF(COUNTIF('Résultats des tournois'!$B94:'Résultats des tournois'!AX94,"&lt;&gt;")&lt;=5,32,IF(COUNTIF('Résultats des tournois'!$B94:'Résultats des tournois'!AX94,"&lt;&gt;")&lt;=15,24,16))</f>
        <v>32</v>
      </c>
    </row>
    <row r="95" ht="14.25" customHeight="1">
      <c r="A95" s="15" t="str">
        <f>IF('Résultats des tournois'!A95="","",'Résultats des tournois'!A95)</f>
        <v/>
      </c>
      <c r="B95" s="15">
        <f>IF(COUNTIF('Résultats des tournois'!B95,"&lt;&gt;")&lt;=5,32,IF(COUNTIF('Résultats des tournois'!B95,"&lt;&gt;")&lt;=15,24,16))</f>
        <v>32</v>
      </c>
      <c r="C95" s="15">
        <f>IF(COUNTIF('Résultats des tournois'!$B95:'Résultats des tournois'!C95,"&lt;&gt;")&lt;=5,32,IF(COUNTIF('Résultats des tournois'!$B95:'Résultats des tournois'!C95,"&lt;&gt;")&lt;=15,24,16))</f>
        <v>32</v>
      </c>
      <c r="D95" s="15">
        <f>IF(COUNTIF('Résultats des tournois'!$B95:'Résultats des tournois'!D95,"&lt;&gt;")&lt;=5,32,IF(COUNTIF('Résultats des tournois'!$B95:'Résultats des tournois'!D95,"&lt;&gt;")&lt;=15,24,16))</f>
        <v>32</v>
      </c>
      <c r="E95" s="15">
        <f>IF(COUNTIF('Résultats des tournois'!$B95:'Résultats des tournois'!E95,"&lt;&gt;")&lt;=5,32,IF(COUNTIF('Résultats des tournois'!$B95:'Résultats des tournois'!E95,"&lt;&gt;")&lt;=15,24,16))</f>
        <v>32</v>
      </c>
      <c r="F95" s="15">
        <f>IF(COUNTIF('Résultats des tournois'!$B95:'Résultats des tournois'!F95,"&lt;&gt;")&lt;=5,32,IF(COUNTIF('Résultats des tournois'!$B95:'Résultats des tournois'!F95,"&lt;&gt;")&lt;=15,24,16))</f>
        <v>32</v>
      </c>
      <c r="G95" s="15">
        <f>IF(COUNTIF('Résultats des tournois'!$B95:'Résultats des tournois'!G95,"&lt;&gt;")&lt;=5,32,IF(COUNTIF('Résultats des tournois'!$B95:'Résultats des tournois'!G95,"&lt;&gt;")&lt;=15,24,16))</f>
        <v>32</v>
      </c>
      <c r="H95" s="15">
        <f>IF(COUNTIF('Résultats des tournois'!$B95:'Résultats des tournois'!H95,"&lt;&gt;")&lt;=5,32,IF(COUNTIF('Résultats des tournois'!$B95:'Résultats des tournois'!H95,"&lt;&gt;")&lt;=15,24,16))</f>
        <v>32</v>
      </c>
      <c r="I95" s="15">
        <f>IF(COUNTIF('Résultats des tournois'!$B95:'Résultats des tournois'!I95,"&lt;&gt;")&lt;=5,32,IF(COUNTIF('Résultats des tournois'!$B95:'Résultats des tournois'!I95,"&lt;&gt;")&lt;=15,24,16))</f>
        <v>32</v>
      </c>
      <c r="J95" s="15">
        <f>IF(COUNTIF('Résultats des tournois'!$B95:'Résultats des tournois'!J95,"&lt;&gt;")&lt;=5,32,IF(COUNTIF('Résultats des tournois'!$B95:'Résultats des tournois'!J95,"&lt;&gt;")&lt;=15,24,16))</f>
        <v>32</v>
      </c>
      <c r="K95" s="15">
        <f>IF(COUNTIF('Résultats des tournois'!$B95:'Résultats des tournois'!K95,"&lt;&gt;")&lt;=5,32,IF(COUNTIF('Résultats des tournois'!$B95:'Résultats des tournois'!K95,"&lt;&gt;")&lt;=15,24,16))</f>
        <v>32</v>
      </c>
      <c r="L95" s="15">
        <f>IF(COUNTIF('Résultats des tournois'!$B95:'Résultats des tournois'!L95,"&lt;&gt;")&lt;=5,32,IF(COUNTIF('Résultats des tournois'!$B95:'Résultats des tournois'!L95,"&lt;&gt;")&lt;=15,24,16))</f>
        <v>32</v>
      </c>
      <c r="M95" s="15">
        <f>IF(COUNTIF('Résultats des tournois'!$B95:'Résultats des tournois'!M95,"&lt;&gt;")&lt;=5,32,IF(COUNTIF('Résultats des tournois'!$B95:'Résultats des tournois'!M95,"&lt;&gt;")&lt;=15,24,16))</f>
        <v>32</v>
      </c>
      <c r="N95" s="15">
        <f>IF(COUNTIF('Résultats des tournois'!$B95:'Résultats des tournois'!N95,"&lt;&gt;")&lt;=5,32,IF(COUNTIF('Résultats des tournois'!$B95:'Résultats des tournois'!N95,"&lt;&gt;")&lt;=15,24,16))</f>
        <v>32</v>
      </c>
      <c r="O95" s="15">
        <f>IF(COUNTIF('Résultats des tournois'!$B95:'Résultats des tournois'!O95,"&lt;&gt;")&lt;=5,32,IF(COUNTIF('Résultats des tournois'!$B95:'Résultats des tournois'!O95,"&lt;&gt;")&lt;=15,24,16))</f>
        <v>32</v>
      </c>
      <c r="P95" s="15">
        <f>IF(COUNTIF('Résultats des tournois'!$B95:'Résultats des tournois'!P95,"&lt;&gt;")&lt;=5,32,IF(COUNTIF('Résultats des tournois'!$B95:'Résultats des tournois'!P95,"&lt;&gt;")&lt;=15,24,16))</f>
        <v>32</v>
      </c>
      <c r="Q95" s="15">
        <f>IF(COUNTIF('Résultats des tournois'!$B95:'Résultats des tournois'!Q95,"&lt;&gt;")&lt;=5,32,IF(COUNTIF('Résultats des tournois'!$B95:'Résultats des tournois'!Q95,"&lt;&gt;")&lt;=15,24,16))</f>
        <v>32</v>
      </c>
      <c r="R95" s="15">
        <f>IF(COUNTIF('Résultats des tournois'!$B95:'Résultats des tournois'!R95,"&lt;&gt;")&lt;=5,32,IF(COUNTIF('Résultats des tournois'!$B95:'Résultats des tournois'!R95,"&lt;&gt;")&lt;=15,24,16))</f>
        <v>32</v>
      </c>
      <c r="S95" s="15">
        <f>IF(COUNTIF('Résultats des tournois'!$B95:'Résultats des tournois'!S95,"&lt;&gt;")&lt;=5,32,IF(COUNTIF('Résultats des tournois'!$B95:'Résultats des tournois'!S95,"&lt;&gt;")&lt;=15,24,16))</f>
        <v>32</v>
      </c>
      <c r="T95" s="15">
        <f>IF(COUNTIF('Résultats des tournois'!$B95:'Résultats des tournois'!T95,"&lt;&gt;")&lt;=5,32,IF(COUNTIF('Résultats des tournois'!$B95:'Résultats des tournois'!T95,"&lt;&gt;")&lt;=15,24,16))</f>
        <v>32</v>
      </c>
      <c r="U95" s="15">
        <f>IF(COUNTIF('Résultats des tournois'!$B95:'Résultats des tournois'!U95,"&lt;&gt;")&lt;=5,32,IF(COUNTIF('Résultats des tournois'!$B95:'Résultats des tournois'!U95,"&lt;&gt;")&lt;=15,24,16))</f>
        <v>32</v>
      </c>
      <c r="V95" s="15">
        <f>IF(COUNTIF('Résultats des tournois'!$B95:'Résultats des tournois'!V95,"&lt;&gt;")&lt;=5,32,IF(COUNTIF('Résultats des tournois'!$B95:'Résultats des tournois'!V95,"&lt;&gt;")&lt;=15,24,16))</f>
        <v>32</v>
      </c>
      <c r="W95" s="15">
        <f>IF(COUNTIF('Résultats des tournois'!$B95:'Résultats des tournois'!W95,"&lt;&gt;")&lt;=5,32,IF(COUNTIF('Résultats des tournois'!$B95:'Résultats des tournois'!W95,"&lt;&gt;")&lt;=15,24,16))</f>
        <v>32</v>
      </c>
      <c r="X95" s="15">
        <f>IF(COUNTIF('Résultats des tournois'!$B95:'Résultats des tournois'!X95,"&lt;&gt;")&lt;=5,32,IF(COUNTIF('Résultats des tournois'!$B95:'Résultats des tournois'!X95,"&lt;&gt;")&lt;=15,24,16))</f>
        <v>32</v>
      </c>
      <c r="Y95" s="15">
        <f>IF(COUNTIF('Résultats des tournois'!$B95:'Résultats des tournois'!Y95,"&lt;&gt;")&lt;=5,32,IF(COUNTIF('Résultats des tournois'!$B95:'Résultats des tournois'!Y95,"&lt;&gt;")&lt;=15,24,16))</f>
        <v>32</v>
      </c>
      <c r="Z95" s="15">
        <f>IF(COUNTIF('Résultats des tournois'!$B95:'Résultats des tournois'!Z95,"&lt;&gt;")&lt;=5,32,IF(COUNTIF('Résultats des tournois'!$B95:'Résultats des tournois'!Z95,"&lt;&gt;")&lt;=15,24,16))</f>
        <v>32</v>
      </c>
      <c r="AA95" s="15">
        <f>IF(COUNTIF('Résultats des tournois'!$B95:'Résultats des tournois'!AA95,"&lt;&gt;")&lt;=5,32,IF(COUNTIF('Résultats des tournois'!$B95:'Résultats des tournois'!AA95,"&lt;&gt;")&lt;=15,24,16))</f>
        <v>32</v>
      </c>
      <c r="AB95" s="15">
        <f>IF(COUNTIF('Résultats des tournois'!$B95:'Résultats des tournois'!AB95,"&lt;&gt;")&lt;=5,32,IF(COUNTIF('Résultats des tournois'!$B95:'Résultats des tournois'!AB95,"&lt;&gt;")&lt;=15,24,16))</f>
        <v>32</v>
      </c>
      <c r="AC95" s="15">
        <f>IF(COUNTIF('Résultats des tournois'!$B95:'Résultats des tournois'!AC95,"&lt;&gt;")&lt;=5,32,IF(COUNTIF('Résultats des tournois'!$B95:'Résultats des tournois'!AC95,"&lt;&gt;")&lt;=15,24,16))</f>
        <v>32</v>
      </c>
      <c r="AD95" s="15">
        <f>IF(COUNTIF('Résultats des tournois'!$B95:'Résultats des tournois'!AD95,"&lt;&gt;")&lt;=5,32,IF(COUNTIF('Résultats des tournois'!$B95:'Résultats des tournois'!AD95,"&lt;&gt;")&lt;=15,24,16))</f>
        <v>32</v>
      </c>
      <c r="AE95" s="15">
        <f>IF(COUNTIF('Résultats des tournois'!$B95:'Résultats des tournois'!AE95,"&lt;&gt;")&lt;=5,32,IF(COUNTIF('Résultats des tournois'!$B95:'Résultats des tournois'!AE95,"&lt;&gt;")&lt;=15,24,16))</f>
        <v>32</v>
      </c>
      <c r="AF95" s="15">
        <f>IF(COUNTIF('Résultats des tournois'!$B95:'Résultats des tournois'!AF95,"&lt;&gt;")&lt;=5,32,IF(COUNTIF('Résultats des tournois'!$B95:'Résultats des tournois'!AF95,"&lt;&gt;")&lt;=15,24,16))</f>
        <v>32</v>
      </c>
      <c r="AG95" s="15">
        <f>IF(COUNTIF('Résultats des tournois'!$B95:'Résultats des tournois'!AG95,"&lt;&gt;")&lt;=5,32,IF(COUNTIF('Résultats des tournois'!$B95:'Résultats des tournois'!AG95,"&lt;&gt;")&lt;=15,24,16))</f>
        <v>32</v>
      </c>
      <c r="AH95" s="15">
        <f>IF(COUNTIF('Résultats des tournois'!$B95:'Résultats des tournois'!AH95,"&lt;&gt;")&lt;=5,32,IF(COUNTIF('Résultats des tournois'!$B95:'Résultats des tournois'!AH95,"&lt;&gt;")&lt;=15,24,16))</f>
        <v>32</v>
      </c>
      <c r="AI95" s="15">
        <f>IF(COUNTIF('Résultats des tournois'!$B95:'Résultats des tournois'!AI95,"&lt;&gt;")&lt;=5,32,IF(COUNTIF('Résultats des tournois'!$B95:'Résultats des tournois'!AI95,"&lt;&gt;")&lt;=15,24,16))</f>
        <v>32</v>
      </c>
      <c r="AJ95" s="15">
        <f>IF(COUNTIF('Résultats des tournois'!$B95:'Résultats des tournois'!AJ95,"&lt;&gt;")&lt;=5,32,IF(COUNTIF('Résultats des tournois'!$B95:'Résultats des tournois'!AJ95,"&lt;&gt;")&lt;=15,24,16))</f>
        <v>32</v>
      </c>
      <c r="AK95" s="15">
        <f>IF(COUNTIF('Résultats des tournois'!$B95:'Résultats des tournois'!AK95,"&lt;&gt;")&lt;=5,32,IF(COUNTIF('Résultats des tournois'!$B95:'Résultats des tournois'!AK95,"&lt;&gt;")&lt;=15,24,16))</f>
        <v>32</v>
      </c>
      <c r="AL95" s="15">
        <f>IF(COUNTIF('Résultats des tournois'!$B95:'Résultats des tournois'!AL95,"&lt;&gt;")&lt;=5,32,IF(COUNTIF('Résultats des tournois'!$B95:'Résultats des tournois'!AL95,"&lt;&gt;")&lt;=15,24,16))</f>
        <v>32</v>
      </c>
      <c r="AM95" s="15">
        <f>IF(COUNTIF('Résultats des tournois'!$B95:'Résultats des tournois'!AM95,"&lt;&gt;")&lt;=5,32,IF(COUNTIF('Résultats des tournois'!$B95:'Résultats des tournois'!AM95,"&lt;&gt;")&lt;=15,24,16))</f>
        <v>32</v>
      </c>
      <c r="AN95" s="15">
        <f>IF(COUNTIF('Résultats des tournois'!$B95:'Résultats des tournois'!AN95,"&lt;&gt;")&lt;=5,32,IF(COUNTIF('Résultats des tournois'!$B95:'Résultats des tournois'!AN95,"&lt;&gt;")&lt;=15,24,16))</f>
        <v>32</v>
      </c>
      <c r="AO95" s="15">
        <f>IF(COUNTIF('Résultats des tournois'!$B95:'Résultats des tournois'!AO95,"&lt;&gt;")&lt;=5,32,IF(COUNTIF('Résultats des tournois'!$B95:'Résultats des tournois'!AO95,"&lt;&gt;")&lt;=15,24,16))</f>
        <v>32</v>
      </c>
      <c r="AP95" s="15">
        <f>IF(COUNTIF('Résultats des tournois'!$B95:'Résultats des tournois'!AP95,"&lt;&gt;")&lt;=5,32,IF(COUNTIF('Résultats des tournois'!$B95:'Résultats des tournois'!AP95,"&lt;&gt;")&lt;=15,24,16))</f>
        <v>32</v>
      </c>
      <c r="AQ95" s="15">
        <f>IF(COUNTIF('Résultats des tournois'!$B95:'Résultats des tournois'!AQ95,"&lt;&gt;")&lt;=5,32,IF(COUNTIF('Résultats des tournois'!$B95:'Résultats des tournois'!AQ95,"&lt;&gt;")&lt;=15,24,16))</f>
        <v>32</v>
      </c>
      <c r="AR95" s="15">
        <f>IF(COUNTIF('Résultats des tournois'!$B95:'Résultats des tournois'!AR95,"&lt;&gt;")&lt;=5,32,IF(COUNTIF('Résultats des tournois'!$B95:'Résultats des tournois'!AR95,"&lt;&gt;")&lt;=15,24,16))</f>
        <v>32</v>
      </c>
      <c r="AS95" s="15">
        <f>IF(COUNTIF('Résultats des tournois'!$B95:'Résultats des tournois'!AS95,"&lt;&gt;")&lt;=5,32,IF(COUNTIF('Résultats des tournois'!$B95:'Résultats des tournois'!AS95,"&lt;&gt;")&lt;=15,24,16))</f>
        <v>32</v>
      </c>
      <c r="AT95" s="15">
        <f>IF(COUNTIF('Résultats des tournois'!$B95:'Résultats des tournois'!AT95,"&lt;&gt;")&lt;=5,32,IF(COUNTIF('Résultats des tournois'!$B95:'Résultats des tournois'!AT95,"&lt;&gt;")&lt;=15,24,16))</f>
        <v>32</v>
      </c>
      <c r="AU95" s="15">
        <f>IF(COUNTIF('Résultats des tournois'!$B95:'Résultats des tournois'!AU95,"&lt;&gt;")&lt;=5,32,IF(COUNTIF('Résultats des tournois'!$B95:'Résultats des tournois'!AU95,"&lt;&gt;")&lt;=15,24,16))</f>
        <v>32</v>
      </c>
      <c r="AV95" s="15">
        <f>IF(COUNTIF('Résultats des tournois'!$B95:'Résultats des tournois'!AV95,"&lt;&gt;")&lt;=5,32,IF(COUNTIF('Résultats des tournois'!$B95:'Résultats des tournois'!AV95,"&lt;&gt;")&lt;=15,24,16))</f>
        <v>32</v>
      </c>
      <c r="AW95" s="15">
        <f>IF(COUNTIF('Résultats des tournois'!$B95:'Résultats des tournois'!AW95,"&lt;&gt;")&lt;=5,32,IF(COUNTIF('Résultats des tournois'!$B95:'Résultats des tournois'!AW95,"&lt;&gt;")&lt;=15,24,16))</f>
        <v>32</v>
      </c>
      <c r="AX95" s="15">
        <f>IF(COUNTIF('Résultats des tournois'!$B95:'Résultats des tournois'!AX95,"&lt;&gt;")&lt;=5,32,IF(COUNTIF('Résultats des tournois'!$B95:'Résultats des tournois'!AX95,"&lt;&gt;")&lt;=15,24,16))</f>
        <v>32</v>
      </c>
    </row>
    <row r="96" ht="14.25" customHeight="1">
      <c r="A96" s="15" t="str">
        <f>IF('Résultats des tournois'!A96="","",'Résultats des tournois'!A96)</f>
        <v/>
      </c>
      <c r="B96" s="15">
        <f>IF(COUNTIF('Résultats des tournois'!B96,"&lt;&gt;")&lt;=5,32,IF(COUNTIF('Résultats des tournois'!B96,"&lt;&gt;")&lt;=15,24,16))</f>
        <v>32</v>
      </c>
      <c r="C96" s="15">
        <f>IF(COUNTIF('Résultats des tournois'!$B96:'Résultats des tournois'!C96,"&lt;&gt;")&lt;=5,32,IF(COUNTIF('Résultats des tournois'!$B96:'Résultats des tournois'!C96,"&lt;&gt;")&lt;=15,24,16))</f>
        <v>32</v>
      </c>
      <c r="D96" s="15">
        <f>IF(COUNTIF('Résultats des tournois'!$B96:'Résultats des tournois'!D96,"&lt;&gt;")&lt;=5,32,IF(COUNTIF('Résultats des tournois'!$B96:'Résultats des tournois'!D96,"&lt;&gt;")&lt;=15,24,16))</f>
        <v>32</v>
      </c>
      <c r="E96" s="15">
        <f>IF(COUNTIF('Résultats des tournois'!$B96:'Résultats des tournois'!E96,"&lt;&gt;")&lt;=5,32,IF(COUNTIF('Résultats des tournois'!$B96:'Résultats des tournois'!E96,"&lt;&gt;")&lt;=15,24,16))</f>
        <v>32</v>
      </c>
      <c r="F96" s="15">
        <f>IF(COUNTIF('Résultats des tournois'!$B96:'Résultats des tournois'!F96,"&lt;&gt;")&lt;=5,32,IF(COUNTIF('Résultats des tournois'!$B96:'Résultats des tournois'!F96,"&lt;&gt;")&lt;=15,24,16))</f>
        <v>32</v>
      </c>
      <c r="G96" s="15">
        <f>IF(COUNTIF('Résultats des tournois'!$B96:'Résultats des tournois'!G96,"&lt;&gt;")&lt;=5,32,IF(COUNTIF('Résultats des tournois'!$B96:'Résultats des tournois'!G96,"&lt;&gt;")&lt;=15,24,16))</f>
        <v>32</v>
      </c>
      <c r="H96" s="15">
        <f>IF(COUNTIF('Résultats des tournois'!$B96:'Résultats des tournois'!H96,"&lt;&gt;")&lt;=5,32,IF(COUNTIF('Résultats des tournois'!$B96:'Résultats des tournois'!H96,"&lt;&gt;")&lt;=15,24,16))</f>
        <v>32</v>
      </c>
      <c r="I96" s="15">
        <f>IF(COUNTIF('Résultats des tournois'!$B96:'Résultats des tournois'!I96,"&lt;&gt;")&lt;=5,32,IF(COUNTIF('Résultats des tournois'!$B96:'Résultats des tournois'!I96,"&lt;&gt;")&lt;=15,24,16))</f>
        <v>32</v>
      </c>
      <c r="J96" s="15">
        <f>IF(COUNTIF('Résultats des tournois'!$B96:'Résultats des tournois'!J96,"&lt;&gt;")&lt;=5,32,IF(COUNTIF('Résultats des tournois'!$B96:'Résultats des tournois'!J96,"&lt;&gt;")&lt;=15,24,16))</f>
        <v>32</v>
      </c>
      <c r="K96" s="15">
        <f>IF(COUNTIF('Résultats des tournois'!$B96:'Résultats des tournois'!K96,"&lt;&gt;")&lt;=5,32,IF(COUNTIF('Résultats des tournois'!$B96:'Résultats des tournois'!K96,"&lt;&gt;")&lt;=15,24,16))</f>
        <v>32</v>
      </c>
      <c r="L96" s="15">
        <f>IF(COUNTIF('Résultats des tournois'!$B96:'Résultats des tournois'!L96,"&lt;&gt;")&lt;=5,32,IF(COUNTIF('Résultats des tournois'!$B96:'Résultats des tournois'!L96,"&lt;&gt;")&lt;=15,24,16))</f>
        <v>32</v>
      </c>
      <c r="M96" s="15">
        <f>IF(COUNTIF('Résultats des tournois'!$B96:'Résultats des tournois'!M96,"&lt;&gt;")&lt;=5,32,IF(COUNTIF('Résultats des tournois'!$B96:'Résultats des tournois'!M96,"&lt;&gt;")&lt;=15,24,16))</f>
        <v>32</v>
      </c>
      <c r="N96" s="15">
        <f>IF(COUNTIF('Résultats des tournois'!$B96:'Résultats des tournois'!N96,"&lt;&gt;")&lt;=5,32,IF(COUNTIF('Résultats des tournois'!$B96:'Résultats des tournois'!N96,"&lt;&gt;")&lt;=15,24,16))</f>
        <v>32</v>
      </c>
      <c r="O96" s="15">
        <f>IF(COUNTIF('Résultats des tournois'!$B96:'Résultats des tournois'!O96,"&lt;&gt;")&lt;=5,32,IF(COUNTIF('Résultats des tournois'!$B96:'Résultats des tournois'!O96,"&lt;&gt;")&lt;=15,24,16))</f>
        <v>32</v>
      </c>
      <c r="P96" s="15">
        <f>IF(COUNTIF('Résultats des tournois'!$B96:'Résultats des tournois'!P96,"&lt;&gt;")&lt;=5,32,IF(COUNTIF('Résultats des tournois'!$B96:'Résultats des tournois'!P96,"&lt;&gt;")&lt;=15,24,16))</f>
        <v>32</v>
      </c>
      <c r="Q96" s="15">
        <f>IF(COUNTIF('Résultats des tournois'!$B96:'Résultats des tournois'!Q96,"&lt;&gt;")&lt;=5,32,IF(COUNTIF('Résultats des tournois'!$B96:'Résultats des tournois'!Q96,"&lt;&gt;")&lt;=15,24,16))</f>
        <v>32</v>
      </c>
      <c r="R96" s="15">
        <f>IF(COUNTIF('Résultats des tournois'!$B96:'Résultats des tournois'!R96,"&lt;&gt;")&lt;=5,32,IF(COUNTIF('Résultats des tournois'!$B96:'Résultats des tournois'!R96,"&lt;&gt;")&lt;=15,24,16))</f>
        <v>32</v>
      </c>
      <c r="S96" s="15">
        <f>IF(COUNTIF('Résultats des tournois'!$B96:'Résultats des tournois'!S96,"&lt;&gt;")&lt;=5,32,IF(COUNTIF('Résultats des tournois'!$B96:'Résultats des tournois'!S96,"&lt;&gt;")&lt;=15,24,16))</f>
        <v>32</v>
      </c>
      <c r="T96" s="15">
        <f>IF(COUNTIF('Résultats des tournois'!$B96:'Résultats des tournois'!T96,"&lt;&gt;")&lt;=5,32,IF(COUNTIF('Résultats des tournois'!$B96:'Résultats des tournois'!T96,"&lt;&gt;")&lt;=15,24,16))</f>
        <v>32</v>
      </c>
      <c r="U96" s="15">
        <f>IF(COUNTIF('Résultats des tournois'!$B96:'Résultats des tournois'!U96,"&lt;&gt;")&lt;=5,32,IF(COUNTIF('Résultats des tournois'!$B96:'Résultats des tournois'!U96,"&lt;&gt;")&lt;=15,24,16))</f>
        <v>32</v>
      </c>
      <c r="V96" s="15">
        <f>IF(COUNTIF('Résultats des tournois'!$B96:'Résultats des tournois'!V96,"&lt;&gt;")&lt;=5,32,IF(COUNTIF('Résultats des tournois'!$B96:'Résultats des tournois'!V96,"&lt;&gt;")&lt;=15,24,16))</f>
        <v>32</v>
      </c>
      <c r="W96" s="15">
        <f>IF(COUNTIF('Résultats des tournois'!$B96:'Résultats des tournois'!W96,"&lt;&gt;")&lt;=5,32,IF(COUNTIF('Résultats des tournois'!$B96:'Résultats des tournois'!W96,"&lt;&gt;")&lt;=15,24,16))</f>
        <v>32</v>
      </c>
      <c r="X96" s="15">
        <f>IF(COUNTIF('Résultats des tournois'!$B96:'Résultats des tournois'!X96,"&lt;&gt;")&lt;=5,32,IF(COUNTIF('Résultats des tournois'!$B96:'Résultats des tournois'!X96,"&lt;&gt;")&lt;=15,24,16))</f>
        <v>32</v>
      </c>
      <c r="Y96" s="15">
        <f>IF(COUNTIF('Résultats des tournois'!$B96:'Résultats des tournois'!Y96,"&lt;&gt;")&lt;=5,32,IF(COUNTIF('Résultats des tournois'!$B96:'Résultats des tournois'!Y96,"&lt;&gt;")&lt;=15,24,16))</f>
        <v>32</v>
      </c>
      <c r="Z96" s="15">
        <f>IF(COUNTIF('Résultats des tournois'!$B96:'Résultats des tournois'!Z96,"&lt;&gt;")&lt;=5,32,IF(COUNTIF('Résultats des tournois'!$B96:'Résultats des tournois'!Z96,"&lt;&gt;")&lt;=15,24,16))</f>
        <v>32</v>
      </c>
      <c r="AA96" s="15">
        <f>IF(COUNTIF('Résultats des tournois'!$B96:'Résultats des tournois'!AA96,"&lt;&gt;")&lt;=5,32,IF(COUNTIF('Résultats des tournois'!$B96:'Résultats des tournois'!AA96,"&lt;&gt;")&lt;=15,24,16))</f>
        <v>32</v>
      </c>
      <c r="AB96" s="15">
        <f>IF(COUNTIF('Résultats des tournois'!$B96:'Résultats des tournois'!AB96,"&lt;&gt;")&lt;=5,32,IF(COUNTIF('Résultats des tournois'!$B96:'Résultats des tournois'!AB96,"&lt;&gt;")&lt;=15,24,16))</f>
        <v>32</v>
      </c>
      <c r="AC96" s="15">
        <f>IF(COUNTIF('Résultats des tournois'!$B96:'Résultats des tournois'!AC96,"&lt;&gt;")&lt;=5,32,IF(COUNTIF('Résultats des tournois'!$B96:'Résultats des tournois'!AC96,"&lt;&gt;")&lt;=15,24,16))</f>
        <v>32</v>
      </c>
      <c r="AD96" s="15">
        <f>IF(COUNTIF('Résultats des tournois'!$B96:'Résultats des tournois'!AD96,"&lt;&gt;")&lt;=5,32,IF(COUNTIF('Résultats des tournois'!$B96:'Résultats des tournois'!AD96,"&lt;&gt;")&lt;=15,24,16))</f>
        <v>32</v>
      </c>
      <c r="AE96" s="15">
        <f>IF(COUNTIF('Résultats des tournois'!$B96:'Résultats des tournois'!AE96,"&lt;&gt;")&lt;=5,32,IF(COUNTIF('Résultats des tournois'!$B96:'Résultats des tournois'!AE96,"&lt;&gt;")&lt;=15,24,16))</f>
        <v>32</v>
      </c>
      <c r="AF96" s="15">
        <f>IF(COUNTIF('Résultats des tournois'!$B96:'Résultats des tournois'!AF96,"&lt;&gt;")&lt;=5,32,IF(COUNTIF('Résultats des tournois'!$B96:'Résultats des tournois'!AF96,"&lt;&gt;")&lt;=15,24,16))</f>
        <v>32</v>
      </c>
      <c r="AG96" s="15">
        <f>IF(COUNTIF('Résultats des tournois'!$B96:'Résultats des tournois'!AG96,"&lt;&gt;")&lt;=5,32,IF(COUNTIF('Résultats des tournois'!$B96:'Résultats des tournois'!AG96,"&lt;&gt;")&lt;=15,24,16))</f>
        <v>32</v>
      </c>
      <c r="AH96" s="15">
        <f>IF(COUNTIF('Résultats des tournois'!$B96:'Résultats des tournois'!AH96,"&lt;&gt;")&lt;=5,32,IF(COUNTIF('Résultats des tournois'!$B96:'Résultats des tournois'!AH96,"&lt;&gt;")&lt;=15,24,16))</f>
        <v>32</v>
      </c>
      <c r="AI96" s="15">
        <f>IF(COUNTIF('Résultats des tournois'!$B96:'Résultats des tournois'!AI96,"&lt;&gt;")&lt;=5,32,IF(COUNTIF('Résultats des tournois'!$B96:'Résultats des tournois'!AI96,"&lt;&gt;")&lt;=15,24,16))</f>
        <v>32</v>
      </c>
      <c r="AJ96" s="15">
        <f>IF(COUNTIF('Résultats des tournois'!$B96:'Résultats des tournois'!AJ96,"&lt;&gt;")&lt;=5,32,IF(COUNTIF('Résultats des tournois'!$B96:'Résultats des tournois'!AJ96,"&lt;&gt;")&lt;=15,24,16))</f>
        <v>32</v>
      </c>
      <c r="AK96" s="15">
        <f>IF(COUNTIF('Résultats des tournois'!$B96:'Résultats des tournois'!AK96,"&lt;&gt;")&lt;=5,32,IF(COUNTIF('Résultats des tournois'!$B96:'Résultats des tournois'!AK96,"&lt;&gt;")&lt;=15,24,16))</f>
        <v>32</v>
      </c>
      <c r="AL96" s="15">
        <f>IF(COUNTIF('Résultats des tournois'!$B96:'Résultats des tournois'!AL96,"&lt;&gt;")&lt;=5,32,IF(COUNTIF('Résultats des tournois'!$B96:'Résultats des tournois'!AL96,"&lt;&gt;")&lt;=15,24,16))</f>
        <v>32</v>
      </c>
      <c r="AM96" s="15">
        <f>IF(COUNTIF('Résultats des tournois'!$B96:'Résultats des tournois'!AM96,"&lt;&gt;")&lt;=5,32,IF(COUNTIF('Résultats des tournois'!$B96:'Résultats des tournois'!AM96,"&lt;&gt;")&lt;=15,24,16))</f>
        <v>32</v>
      </c>
      <c r="AN96" s="15">
        <f>IF(COUNTIF('Résultats des tournois'!$B96:'Résultats des tournois'!AN96,"&lt;&gt;")&lt;=5,32,IF(COUNTIF('Résultats des tournois'!$B96:'Résultats des tournois'!AN96,"&lt;&gt;")&lt;=15,24,16))</f>
        <v>32</v>
      </c>
      <c r="AO96" s="15">
        <f>IF(COUNTIF('Résultats des tournois'!$B96:'Résultats des tournois'!AO96,"&lt;&gt;")&lt;=5,32,IF(COUNTIF('Résultats des tournois'!$B96:'Résultats des tournois'!AO96,"&lt;&gt;")&lt;=15,24,16))</f>
        <v>32</v>
      </c>
      <c r="AP96" s="15">
        <f>IF(COUNTIF('Résultats des tournois'!$B96:'Résultats des tournois'!AP96,"&lt;&gt;")&lt;=5,32,IF(COUNTIF('Résultats des tournois'!$B96:'Résultats des tournois'!AP96,"&lt;&gt;")&lt;=15,24,16))</f>
        <v>32</v>
      </c>
      <c r="AQ96" s="15">
        <f>IF(COUNTIF('Résultats des tournois'!$B96:'Résultats des tournois'!AQ96,"&lt;&gt;")&lt;=5,32,IF(COUNTIF('Résultats des tournois'!$B96:'Résultats des tournois'!AQ96,"&lt;&gt;")&lt;=15,24,16))</f>
        <v>32</v>
      </c>
      <c r="AR96" s="15">
        <f>IF(COUNTIF('Résultats des tournois'!$B96:'Résultats des tournois'!AR96,"&lt;&gt;")&lt;=5,32,IF(COUNTIF('Résultats des tournois'!$B96:'Résultats des tournois'!AR96,"&lt;&gt;")&lt;=15,24,16))</f>
        <v>32</v>
      </c>
      <c r="AS96" s="15">
        <f>IF(COUNTIF('Résultats des tournois'!$B96:'Résultats des tournois'!AS96,"&lt;&gt;")&lt;=5,32,IF(COUNTIF('Résultats des tournois'!$B96:'Résultats des tournois'!AS96,"&lt;&gt;")&lt;=15,24,16))</f>
        <v>32</v>
      </c>
      <c r="AT96" s="15">
        <f>IF(COUNTIF('Résultats des tournois'!$B96:'Résultats des tournois'!AT96,"&lt;&gt;")&lt;=5,32,IF(COUNTIF('Résultats des tournois'!$B96:'Résultats des tournois'!AT96,"&lt;&gt;")&lt;=15,24,16))</f>
        <v>32</v>
      </c>
      <c r="AU96" s="15">
        <f>IF(COUNTIF('Résultats des tournois'!$B96:'Résultats des tournois'!AU96,"&lt;&gt;")&lt;=5,32,IF(COUNTIF('Résultats des tournois'!$B96:'Résultats des tournois'!AU96,"&lt;&gt;")&lt;=15,24,16))</f>
        <v>32</v>
      </c>
      <c r="AV96" s="15">
        <f>IF(COUNTIF('Résultats des tournois'!$B96:'Résultats des tournois'!AV96,"&lt;&gt;")&lt;=5,32,IF(COUNTIF('Résultats des tournois'!$B96:'Résultats des tournois'!AV96,"&lt;&gt;")&lt;=15,24,16))</f>
        <v>32</v>
      </c>
      <c r="AW96" s="15">
        <f>IF(COUNTIF('Résultats des tournois'!$B96:'Résultats des tournois'!AW96,"&lt;&gt;")&lt;=5,32,IF(COUNTIF('Résultats des tournois'!$B96:'Résultats des tournois'!AW96,"&lt;&gt;")&lt;=15,24,16))</f>
        <v>32</v>
      </c>
      <c r="AX96" s="15">
        <f>IF(COUNTIF('Résultats des tournois'!$B96:'Résultats des tournois'!AX96,"&lt;&gt;")&lt;=5,32,IF(COUNTIF('Résultats des tournois'!$B96:'Résultats des tournois'!AX96,"&lt;&gt;")&lt;=15,24,16))</f>
        <v>32</v>
      </c>
    </row>
    <row r="97" ht="14.25" customHeight="1">
      <c r="A97" s="15" t="str">
        <f>IF('Résultats des tournois'!A97="","",'Résultats des tournois'!A97)</f>
        <v/>
      </c>
      <c r="B97" s="15">
        <f>IF(COUNTIF('Résultats des tournois'!B97,"&lt;&gt;")&lt;=5,32,IF(COUNTIF('Résultats des tournois'!B97,"&lt;&gt;")&lt;=15,24,16))</f>
        <v>32</v>
      </c>
      <c r="C97" s="15">
        <f>IF(COUNTIF('Résultats des tournois'!$B97:'Résultats des tournois'!C97,"&lt;&gt;")&lt;=5,32,IF(COUNTIF('Résultats des tournois'!$B97:'Résultats des tournois'!C97,"&lt;&gt;")&lt;=15,24,16))</f>
        <v>32</v>
      </c>
      <c r="D97" s="15">
        <f>IF(COUNTIF('Résultats des tournois'!$B97:'Résultats des tournois'!D97,"&lt;&gt;")&lt;=5,32,IF(COUNTIF('Résultats des tournois'!$B97:'Résultats des tournois'!D97,"&lt;&gt;")&lt;=15,24,16))</f>
        <v>32</v>
      </c>
      <c r="E97" s="15">
        <f>IF(COUNTIF('Résultats des tournois'!$B97:'Résultats des tournois'!E97,"&lt;&gt;")&lt;=5,32,IF(COUNTIF('Résultats des tournois'!$B97:'Résultats des tournois'!E97,"&lt;&gt;")&lt;=15,24,16))</f>
        <v>32</v>
      </c>
      <c r="F97" s="15">
        <f>IF(COUNTIF('Résultats des tournois'!$B97:'Résultats des tournois'!F97,"&lt;&gt;")&lt;=5,32,IF(COUNTIF('Résultats des tournois'!$B97:'Résultats des tournois'!F97,"&lt;&gt;")&lt;=15,24,16))</f>
        <v>32</v>
      </c>
      <c r="G97" s="15">
        <f>IF(COUNTIF('Résultats des tournois'!$B97:'Résultats des tournois'!G97,"&lt;&gt;")&lt;=5,32,IF(COUNTIF('Résultats des tournois'!$B97:'Résultats des tournois'!G97,"&lt;&gt;")&lt;=15,24,16))</f>
        <v>32</v>
      </c>
      <c r="H97" s="15">
        <f>IF(COUNTIF('Résultats des tournois'!$B97:'Résultats des tournois'!H97,"&lt;&gt;")&lt;=5,32,IF(COUNTIF('Résultats des tournois'!$B97:'Résultats des tournois'!H97,"&lt;&gt;")&lt;=15,24,16))</f>
        <v>32</v>
      </c>
      <c r="I97" s="15">
        <f>IF(COUNTIF('Résultats des tournois'!$B97:'Résultats des tournois'!I97,"&lt;&gt;")&lt;=5,32,IF(COUNTIF('Résultats des tournois'!$B97:'Résultats des tournois'!I97,"&lt;&gt;")&lt;=15,24,16))</f>
        <v>32</v>
      </c>
      <c r="J97" s="15">
        <f>IF(COUNTIF('Résultats des tournois'!$B97:'Résultats des tournois'!J97,"&lt;&gt;")&lt;=5,32,IF(COUNTIF('Résultats des tournois'!$B97:'Résultats des tournois'!J97,"&lt;&gt;")&lt;=15,24,16))</f>
        <v>32</v>
      </c>
      <c r="K97" s="15">
        <f>IF(COUNTIF('Résultats des tournois'!$B97:'Résultats des tournois'!K97,"&lt;&gt;")&lt;=5,32,IF(COUNTIF('Résultats des tournois'!$B97:'Résultats des tournois'!K97,"&lt;&gt;")&lt;=15,24,16))</f>
        <v>32</v>
      </c>
      <c r="L97" s="15">
        <f>IF(COUNTIF('Résultats des tournois'!$B97:'Résultats des tournois'!L97,"&lt;&gt;")&lt;=5,32,IF(COUNTIF('Résultats des tournois'!$B97:'Résultats des tournois'!L97,"&lt;&gt;")&lt;=15,24,16))</f>
        <v>32</v>
      </c>
      <c r="M97" s="15">
        <f>IF(COUNTIF('Résultats des tournois'!$B97:'Résultats des tournois'!M97,"&lt;&gt;")&lt;=5,32,IF(COUNTIF('Résultats des tournois'!$B97:'Résultats des tournois'!M97,"&lt;&gt;")&lt;=15,24,16))</f>
        <v>32</v>
      </c>
      <c r="N97" s="15">
        <f>IF(COUNTIF('Résultats des tournois'!$B97:'Résultats des tournois'!N97,"&lt;&gt;")&lt;=5,32,IF(COUNTIF('Résultats des tournois'!$B97:'Résultats des tournois'!N97,"&lt;&gt;")&lt;=15,24,16))</f>
        <v>32</v>
      </c>
      <c r="O97" s="15">
        <f>IF(COUNTIF('Résultats des tournois'!$B97:'Résultats des tournois'!O97,"&lt;&gt;")&lt;=5,32,IF(COUNTIF('Résultats des tournois'!$B97:'Résultats des tournois'!O97,"&lt;&gt;")&lt;=15,24,16))</f>
        <v>32</v>
      </c>
      <c r="P97" s="15">
        <f>IF(COUNTIF('Résultats des tournois'!$B97:'Résultats des tournois'!P97,"&lt;&gt;")&lt;=5,32,IF(COUNTIF('Résultats des tournois'!$B97:'Résultats des tournois'!P97,"&lt;&gt;")&lt;=15,24,16))</f>
        <v>32</v>
      </c>
      <c r="Q97" s="15">
        <f>IF(COUNTIF('Résultats des tournois'!$B97:'Résultats des tournois'!Q97,"&lt;&gt;")&lt;=5,32,IF(COUNTIF('Résultats des tournois'!$B97:'Résultats des tournois'!Q97,"&lt;&gt;")&lt;=15,24,16))</f>
        <v>32</v>
      </c>
      <c r="R97" s="15">
        <f>IF(COUNTIF('Résultats des tournois'!$B97:'Résultats des tournois'!R97,"&lt;&gt;")&lt;=5,32,IF(COUNTIF('Résultats des tournois'!$B97:'Résultats des tournois'!R97,"&lt;&gt;")&lt;=15,24,16))</f>
        <v>32</v>
      </c>
      <c r="S97" s="15">
        <f>IF(COUNTIF('Résultats des tournois'!$B97:'Résultats des tournois'!S97,"&lt;&gt;")&lt;=5,32,IF(COUNTIF('Résultats des tournois'!$B97:'Résultats des tournois'!S97,"&lt;&gt;")&lt;=15,24,16))</f>
        <v>32</v>
      </c>
      <c r="T97" s="15">
        <f>IF(COUNTIF('Résultats des tournois'!$B97:'Résultats des tournois'!T97,"&lt;&gt;")&lt;=5,32,IF(COUNTIF('Résultats des tournois'!$B97:'Résultats des tournois'!T97,"&lt;&gt;")&lt;=15,24,16))</f>
        <v>32</v>
      </c>
      <c r="U97" s="15">
        <f>IF(COUNTIF('Résultats des tournois'!$B97:'Résultats des tournois'!U97,"&lt;&gt;")&lt;=5,32,IF(COUNTIF('Résultats des tournois'!$B97:'Résultats des tournois'!U97,"&lt;&gt;")&lt;=15,24,16))</f>
        <v>32</v>
      </c>
      <c r="V97" s="15">
        <f>IF(COUNTIF('Résultats des tournois'!$B97:'Résultats des tournois'!V97,"&lt;&gt;")&lt;=5,32,IF(COUNTIF('Résultats des tournois'!$B97:'Résultats des tournois'!V97,"&lt;&gt;")&lt;=15,24,16))</f>
        <v>32</v>
      </c>
      <c r="W97" s="15">
        <f>IF(COUNTIF('Résultats des tournois'!$B97:'Résultats des tournois'!W97,"&lt;&gt;")&lt;=5,32,IF(COUNTIF('Résultats des tournois'!$B97:'Résultats des tournois'!W97,"&lt;&gt;")&lt;=15,24,16))</f>
        <v>32</v>
      </c>
      <c r="X97" s="15">
        <f>IF(COUNTIF('Résultats des tournois'!$B97:'Résultats des tournois'!X97,"&lt;&gt;")&lt;=5,32,IF(COUNTIF('Résultats des tournois'!$B97:'Résultats des tournois'!X97,"&lt;&gt;")&lt;=15,24,16))</f>
        <v>32</v>
      </c>
      <c r="Y97" s="15">
        <f>IF(COUNTIF('Résultats des tournois'!$B97:'Résultats des tournois'!Y97,"&lt;&gt;")&lt;=5,32,IF(COUNTIF('Résultats des tournois'!$B97:'Résultats des tournois'!Y97,"&lt;&gt;")&lt;=15,24,16))</f>
        <v>32</v>
      </c>
      <c r="Z97" s="15">
        <f>IF(COUNTIF('Résultats des tournois'!$B97:'Résultats des tournois'!Z97,"&lt;&gt;")&lt;=5,32,IF(COUNTIF('Résultats des tournois'!$B97:'Résultats des tournois'!Z97,"&lt;&gt;")&lt;=15,24,16))</f>
        <v>32</v>
      </c>
      <c r="AA97" s="15">
        <f>IF(COUNTIF('Résultats des tournois'!$B97:'Résultats des tournois'!AA97,"&lt;&gt;")&lt;=5,32,IF(COUNTIF('Résultats des tournois'!$B97:'Résultats des tournois'!AA97,"&lt;&gt;")&lt;=15,24,16))</f>
        <v>32</v>
      </c>
      <c r="AB97" s="15">
        <f>IF(COUNTIF('Résultats des tournois'!$B97:'Résultats des tournois'!AB97,"&lt;&gt;")&lt;=5,32,IF(COUNTIF('Résultats des tournois'!$B97:'Résultats des tournois'!AB97,"&lt;&gt;")&lt;=15,24,16))</f>
        <v>32</v>
      </c>
      <c r="AC97" s="15">
        <f>IF(COUNTIF('Résultats des tournois'!$B97:'Résultats des tournois'!AC97,"&lt;&gt;")&lt;=5,32,IF(COUNTIF('Résultats des tournois'!$B97:'Résultats des tournois'!AC97,"&lt;&gt;")&lt;=15,24,16))</f>
        <v>32</v>
      </c>
      <c r="AD97" s="15">
        <f>IF(COUNTIF('Résultats des tournois'!$B97:'Résultats des tournois'!AD97,"&lt;&gt;")&lt;=5,32,IF(COUNTIF('Résultats des tournois'!$B97:'Résultats des tournois'!AD97,"&lt;&gt;")&lt;=15,24,16))</f>
        <v>32</v>
      </c>
      <c r="AE97" s="15">
        <f>IF(COUNTIF('Résultats des tournois'!$B97:'Résultats des tournois'!AE97,"&lt;&gt;")&lt;=5,32,IF(COUNTIF('Résultats des tournois'!$B97:'Résultats des tournois'!AE97,"&lt;&gt;")&lt;=15,24,16))</f>
        <v>32</v>
      </c>
      <c r="AF97" s="15">
        <f>IF(COUNTIF('Résultats des tournois'!$B97:'Résultats des tournois'!AF97,"&lt;&gt;")&lt;=5,32,IF(COUNTIF('Résultats des tournois'!$B97:'Résultats des tournois'!AF97,"&lt;&gt;")&lt;=15,24,16))</f>
        <v>32</v>
      </c>
      <c r="AG97" s="15">
        <f>IF(COUNTIF('Résultats des tournois'!$B97:'Résultats des tournois'!AG97,"&lt;&gt;")&lt;=5,32,IF(COUNTIF('Résultats des tournois'!$B97:'Résultats des tournois'!AG97,"&lt;&gt;")&lt;=15,24,16))</f>
        <v>32</v>
      </c>
      <c r="AH97" s="15">
        <f>IF(COUNTIF('Résultats des tournois'!$B97:'Résultats des tournois'!AH97,"&lt;&gt;")&lt;=5,32,IF(COUNTIF('Résultats des tournois'!$B97:'Résultats des tournois'!AH97,"&lt;&gt;")&lt;=15,24,16))</f>
        <v>32</v>
      </c>
      <c r="AI97" s="15">
        <f>IF(COUNTIF('Résultats des tournois'!$B97:'Résultats des tournois'!AI97,"&lt;&gt;")&lt;=5,32,IF(COUNTIF('Résultats des tournois'!$B97:'Résultats des tournois'!AI97,"&lt;&gt;")&lt;=15,24,16))</f>
        <v>32</v>
      </c>
      <c r="AJ97" s="15">
        <f>IF(COUNTIF('Résultats des tournois'!$B97:'Résultats des tournois'!AJ97,"&lt;&gt;")&lt;=5,32,IF(COUNTIF('Résultats des tournois'!$B97:'Résultats des tournois'!AJ97,"&lt;&gt;")&lt;=15,24,16))</f>
        <v>32</v>
      </c>
      <c r="AK97" s="15">
        <f>IF(COUNTIF('Résultats des tournois'!$B97:'Résultats des tournois'!AK97,"&lt;&gt;")&lt;=5,32,IF(COUNTIF('Résultats des tournois'!$B97:'Résultats des tournois'!AK97,"&lt;&gt;")&lt;=15,24,16))</f>
        <v>32</v>
      </c>
      <c r="AL97" s="15">
        <f>IF(COUNTIF('Résultats des tournois'!$B97:'Résultats des tournois'!AL97,"&lt;&gt;")&lt;=5,32,IF(COUNTIF('Résultats des tournois'!$B97:'Résultats des tournois'!AL97,"&lt;&gt;")&lt;=15,24,16))</f>
        <v>32</v>
      </c>
      <c r="AM97" s="15">
        <f>IF(COUNTIF('Résultats des tournois'!$B97:'Résultats des tournois'!AM97,"&lt;&gt;")&lt;=5,32,IF(COUNTIF('Résultats des tournois'!$B97:'Résultats des tournois'!AM97,"&lt;&gt;")&lt;=15,24,16))</f>
        <v>32</v>
      </c>
      <c r="AN97" s="15">
        <f>IF(COUNTIF('Résultats des tournois'!$B97:'Résultats des tournois'!AN97,"&lt;&gt;")&lt;=5,32,IF(COUNTIF('Résultats des tournois'!$B97:'Résultats des tournois'!AN97,"&lt;&gt;")&lt;=15,24,16))</f>
        <v>32</v>
      </c>
      <c r="AO97" s="15">
        <f>IF(COUNTIF('Résultats des tournois'!$B97:'Résultats des tournois'!AO97,"&lt;&gt;")&lt;=5,32,IF(COUNTIF('Résultats des tournois'!$B97:'Résultats des tournois'!AO97,"&lt;&gt;")&lt;=15,24,16))</f>
        <v>32</v>
      </c>
      <c r="AP97" s="15">
        <f>IF(COUNTIF('Résultats des tournois'!$B97:'Résultats des tournois'!AP97,"&lt;&gt;")&lt;=5,32,IF(COUNTIF('Résultats des tournois'!$B97:'Résultats des tournois'!AP97,"&lt;&gt;")&lt;=15,24,16))</f>
        <v>32</v>
      </c>
      <c r="AQ97" s="15">
        <f>IF(COUNTIF('Résultats des tournois'!$B97:'Résultats des tournois'!AQ97,"&lt;&gt;")&lt;=5,32,IF(COUNTIF('Résultats des tournois'!$B97:'Résultats des tournois'!AQ97,"&lt;&gt;")&lt;=15,24,16))</f>
        <v>32</v>
      </c>
      <c r="AR97" s="15">
        <f>IF(COUNTIF('Résultats des tournois'!$B97:'Résultats des tournois'!AR97,"&lt;&gt;")&lt;=5,32,IF(COUNTIF('Résultats des tournois'!$B97:'Résultats des tournois'!AR97,"&lt;&gt;")&lt;=15,24,16))</f>
        <v>32</v>
      </c>
      <c r="AS97" s="15">
        <f>IF(COUNTIF('Résultats des tournois'!$B97:'Résultats des tournois'!AS97,"&lt;&gt;")&lt;=5,32,IF(COUNTIF('Résultats des tournois'!$B97:'Résultats des tournois'!AS97,"&lt;&gt;")&lt;=15,24,16))</f>
        <v>32</v>
      </c>
      <c r="AT97" s="15">
        <f>IF(COUNTIF('Résultats des tournois'!$B97:'Résultats des tournois'!AT97,"&lt;&gt;")&lt;=5,32,IF(COUNTIF('Résultats des tournois'!$B97:'Résultats des tournois'!AT97,"&lt;&gt;")&lt;=15,24,16))</f>
        <v>32</v>
      </c>
      <c r="AU97" s="15">
        <f>IF(COUNTIF('Résultats des tournois'!$B97:'Résultats des tournois'!AU97,"&lt;&gt;")&lt;=5,32,IF(COUNTIF('Résultats des tournois'!$B97:'Résultats des tournois'!AU97,"&lt;&gt;")&lt;=15,24,16))</f>
        <v>32</v>
      </c>
      <c r="AV97" s="15">
        <f>IF(COUNTIF('Résultats des tournois'!$B97:'Résultats des tournois'!AV97,"&lt;&gt;")&lt;=5,32,IF(COUNTIF('Résultats des tournois'!$B97:'Résultats des tournois'!AV97,"&lt;&gt;")&lt;=15,24,16))</f>
        <v>32</v>
      </c>
      <c r="AW97" s="15">
        <f>IF(COUNTIF('Résultats des tournois'!$B97:'Résultats des tournois'!AW97,"&lt;&gt;")&lt;=5,32,IF(COUNTIF('Résultats des tournois'!$B97:'Résultats des tournois'!AW97,"&lt;&gt;")&lt;=15,24,16))</f>
        <v>32</v>
      </c>
      <c r="AX97" s="15">
        <f>IF(COUNTIF('Résultats des tournois'!$B97:'Résultats des tournois'!AX97,"&lt;&gt;")&lt;=5,32,IF(COUNTIF('Résultats des tournois'!$B97:'Résultats des tournois'!AX97,"&lt;&gt;")&lt;=15,24,16))</f>
        <v>32</v>
      </c>
    </row>
    <row r="98" ht="14.25" customHeight="1">
      <c r="A98" s="15" t="str">
        <f>IF('Résultats des tournois'!A98="","",'Résultats des tournois'!A98)</f>
        <v/>
      </c>
      <c r="B98" s="15">
        <f>IF(COUNTIF('Résultats des tournois'!B98,"&lt;&gt;")&lt;=5,32,IF(COUNTIF('Résultats des tournois'!B98,"&lt;&gt;")&lt;=15,24,16))</f>
        <v>32</v>
      </c>
      <c r="C98" s="15">
        <f>IF(COUNTIF('Résultats des tournois'!$B98:'Résultats des tournois'!C98,"&lt;&gt;")&lt;=5,32,IF(COUNTIF('Résultats des tournois'!$B98:'Résultats des tournois'!C98,"&lt;&gt;")&lt;=15,24,16))</f>
        <v>32</v>
      </c>
      <c r="D98" s="15">
        <f>IF(COUNTIF('Résultats des tournois'!$B98:'Résultats des tournois'!D98,"&lt;&gt;")&lt;=5,32,IF(COUNTIF('Résultats des tournois'!$B98:'Résultats des tournois'!D98,"&lt;&gt;")&lt;=15,24,16))</f>
        <v>32</v>
      </c>
      <c r="E98" s="15">
        <f>IF(COUNTIF('Résultats des tournois'!$B98:'Résultats des tournois'!E98,"&lt;&gt;")&lt;=5,32,IF(COUNTIF('Résultats des tournois'!$B98:'Résultats des tournois'!E98,"&lt;&gt;")&lt;=15,24,16))</f>
        <v>32</v>
      </c>
      <c r="F98" s="15">
        <f>IF(COUNTIF('Résultats des tournois'!$B98:'Résultats des tournois'!F98,"&lt;&gt;")&lt;=5,32,IF(COUNTIF('Résultats des tournois'!$B98:'Résultats des tournois'!F98,"&lt;&gt;")&lt;=15,24,16))</f>
        <v>32</v>
      </c>
      <c r="G98" s="15">
        <f>IF(COUNTIF('Résultats des tournois'!$B98:'Résultats des tournois'!G98,"&lt;&gt;")&lt;=5,32,IF(COUNTIF('Résultats des tournois'!$B98:'Résultats des tournois'!G98,"&lt;&gt;")&lt;=15,24,16))</f>
        <v>32</v>
      </c>
      <c r="H98" s="15">
        <f>IF(COUNTIF('Résultats des tournois'!$B98:'Résultats des tournois'!H98,"&lt;&gt;")&lt;=5,32,IF(COUNTIF('Résultats des tournois'!$B98:'Résultats des tournois'!H98,"&lt;&gt;")&lt;=15,24,16))</f>
        <v>32</v>
      </c>
      <c r="I98" s="15">
        <f>IF(COUNTIF('Résultats des tournois'!$B98:'Résultats des tournois'!I98,"&lt;&gt;")&lt;=5,32,IF(COUNTIF('Résultats des tournois'!$B98:'Résultats des tournois'!I98,"&lt;&gt;")&lt;=15,24,16))</f>
        <v>32</v>
      </c>
      <c r="J98" s="15">
        <f>IF(COUNTIF('Résultats des tournois'!$B98:'Résultats des tournois'!J98,"&lt;&gt;")&lt;=5,32,IF(COUNTIF('Résultats des tournois'!$B98:'Résultats des tournois'!J98,"&lt;&gt;")&lt;=15,24,16))</f>
        <v>32</v>
      </c>
      <c r="K98" s="15">
        <f>IF(COUNTIF('Résultats des tournois'!$B98:'Résultats des tournois'!K98,"&lt;&gt;")&lt;=5,32,IF(COUNTIF('Résultats des tournois'!$B98:'Résultats des tournois'!K98,"&lt;&gt;")&lt;=15,24,16))</f>
        <v>32</v>
      </c>
      <c r="L98" s="15">
        <f>IF(COUNTIF('Résultats des tournois'!$B98:'Résultats des tournois'!L98,"&lt;&gt;")&lt;=5,32,IF(COUNTIF('Résultats des tournois'!$B98:'Résultats des tournois'!L98,"&lt;&gt;")&lt;=15,24,16))</f>
        <v>32</v>
      </c>
      <c r="M98" s="15">
        <f>IF(COUNTIF('Résultats des tournois'!$B98:'Résultats des tournois'!M98,"&lt;&gt;")&lt;=5,32,IF(COUNTIF('Résultats des tournois'!$B98:'Résultats des tournois'!M98,"&lt;&gt;")&lt;=15,24,16))</f>
        <v>32</v>
      </c>
      <c r="N98" s="15">
        <f>IF(COUNTIF('Résultats des tournois'!$B98:'Résultats des tournois'!N98,"&lt;&gt;")&lt;=5,32,IF(COUNTIF('Résultats des tournois'!$B98:'Résultats des tournois'!N98,"&lt;&gt;")&lt;=15,24,16))</f>
        <v>32</v>
      </c>
      <c r="O98" s="15">
        <f>IF(COUNTIF('Résultats des tournois'!$B98:'Résultats des tournois'!O98,"&lt;&gt;")&lt;=5,32,IF(COUNTIF('Résultats des tournois'!$B98:'Résultats des tournois'!O98,"&lt;&gt;")&lt;=15,24,16))</f>
        <v>32</v>
      </c>
      <c r="P98" s="15">
        <f>IF(COUNTIF('Résultats des tournois'!$B98:'Résultats des tournois'!P98,"&lt;&gt;")&lt;=5,32,IF(COUNTIF('Résultats des tournois'!$B98:'Résultats des tournois'!P98,"&lt;&gt;")&lt;=15,24,16))</f>
        <v>32</v>
      </c>
      <c r="Q98" s="15">
        <f>IF(COUNTIF('Résultats des tournois'!$B98:'Résultats des tournois'!Q98,"&lt;&gt;")&lt;=5,32,IF(COUNTIF('Résultats des tournois'!$B98:'Résultats des tournois'!Q98,"&lt;&gt;")&lt;=15,24,16))</f>
        <v>32</v>
      </c>
      <c r="R98" s="15">
        <f>IF(COUNTIF('Résultats des tournois'!$B98:'Résultats des tournois'!R98,"&lt;&gt;")&lt;=5,32,IF(COUNTIF('Résultats des tournois'!$B98:'Résultats des tournois'!R98,"&lt;&gt;")&lt;=15,24,16))</f>
        <v>32</v>
      </c>
      <c r="S98" s="15">
        <f>IF(COUNTIF('Résultats des tournois'!$B98:'Résultats des tournois'!S98,"&lt;&gt;")&lt;=5,32,IF(COUNTIF('Résultats des tournois'!$B98:'Résultats des tournois'!S98,"&lt;&gt;")&lt;=15,24,16))</f>
        <v>32</v>
      </c>
      <c r="T98" s="15">
        <f>IF(COUNTIF('Résultats des tournois'!$B98:'Résultats des tournois'!T98,"&lt;&gt;")&lt;=5,32,IF(COUNTIF('Résultats des tournois'!$B98:'Résultats des tournois'!T98,"&lt;&gt;")&lt;=15,24,16))</f>
        <v>32</v>
      </c>
      <c r="U98" s="15">
        <f>IF(COUNTIF('Résultats des tournois'!$B98:'Résultats des tournois'!U98,"&lt;&gt;")&lt;=5,32,IF(COUNTIF('Résultats des tournois'!$B98:'Résultats des tournois'!U98,"&lt;&gt;")&lt;=15,24,16))</f>
        <v>32</v>
      </c>
      <c r="V98" s="15">
        <f>IF(COUNTIF('Résultats des tournois'!$B98:'Résultats des tournois'!V98,"&lt;&gt;")&lt;=5,32,IF(COUNTIF('Résultats des tournois'!$B98:'Résultats des tournois'!V98,"&lt;&gt;")&lt;=15,24,16))</f>
        <v>32</v>
      </c>
      <c r="W98" s="15">
        <f>IF(COUNTIF('Résultats des tournois'!$B98:'Résultats des tournois'!W98,"&lt;&gt;")&lt;=5,32,IF(COUNTIF('Résultats des tournois'!$B98:'Résultats des tournois'!W98,"&lt;&gt;")&lt;=15,24,16))</f>
        <v>32</v>
      </c>
      <c r="X98" s="15">
        <f>IF(COUNTIF('Résultats des tournois'!$B98:'Résultats des tournois'!X98,"&lt;&gt;")&lt;=5,32,IF(COUNTIF('Résultats des tournois'!$B98:'Résultats des tournois'!X98,"&lt;&gt;")&lt;=15,24,16))</f>
        <v>32</v>
      </c>
      <c r="Y98" s="15">
        <f>IF(COUNTIF('Résultats des tournois'!$B98:'Résultats des tournois'!Y98,"&lt;&gt;")&lt;=5,32,IF(COUNTIF('Résultats des tournois'!$B98:'Résultats des tournois'!Y98,"&lt;&gt;")&lt;=15,24,16))</f>
        <v>32</v>
      </c>
      <c r="Z98" s="15">
        <f>IF(COUNTIF('Résultats des tournois'!$B98:'Résultats des tournois'!Z98,"&lt;&gt;")&lt;=5,32,IF(COUNTIF('Résultats des tournois'!$B98:'Résultats des tournois'!Z98,"&lt;&gt;")&lt;=15,24,16))</f>
        <v>32</v>
      </c>
      <c r="AA98" s="15">
        <f>IF(COUNTIF('Résultats des tournois'!$B98:'Résultats des tournois'!AA98,"&lt;&gt;")&lt;=5,32,IF(COUNTIF('Résultats des tournois'!$B98:'Résultats des tournois'!AA98,"&lt;&gt;")&lt;=15,24,16))</f>
        <v>32</v>
      </c>
      <c r="AB98" s="15">
        <f>IF(COUNTIF('Résultats des tournois'!$B98:'Résultats des tournois'!AB98,"&lt;&gt;")&lt;=5,32,IF(COUNTIF('Résultats des tournois'!$B98:'Résultats des tournois'!AB98,"&lt;&gt;")&lt;=15,24,16))</f>
        <v>32</v>
      </c>
      <c r="AC98" s="15">
        <f>IF(COUNTIF('Résultats des tournois'!$B98:'Résultats des tournois'!AC98,"&lt;&gt;")&lt;=5,32,IF(COUNTIF('Résultats des tournois'!$B98:'Résultats des tournois'!AC98,"&lt;&gt;")&lt;=15,24,16))</f>
        <v>32</v>
      </c>
      <c r="AD98" s="15">
        <f>IF(COUNTIF('Résultats des tournois'!$B98:'Résultats des tournois'!AD98,"&lt;&gt;")&lt;=5,32,IF(COUNTIF('Résultats des tournois'!$B98:'Résultats des tournois'!AD98,"&lt;&gt;")&lt;=15,24,16))</f>
        <v>32</v>
      </c>
      <c r="AE98" s="15">
        <f>IF(COUNTIF('Résultats des tournois'!$B98:'Résultats des tournois'!AE98,"&lt;&gt;")&lt;=5,32,IF(COUNTIF('Résultats des tournois'!$B98:'Résultats des tournois'!AE98,"&lt;&gt;")&lt;=15,24,16))</f>
        <v>32</v>
      </c>
      <c r="AF98" s="15">
        <f>IF(COUNTIF('Résultats des tournois'!$B98:'Résultats des tournois'!AF98,"&lt;&gt;")&lt;=5,32,IF(COUNTIF('Résultats des tournois'!$B98:'Résultats des tournois'!AF98,"&lt;&gt;")&lt;=15,24,16))</f>
        <v>32</v>
      </c>
      <c r="AG98" s="15">
        <f>IF(COUNTIF('Résultats des tournois'!$B98:'Résultats des tournois'!AG98,"&lt;&gt;")&lt;=5,32,IF(COUNTIF('Résultats des tournois'!$B98:'Résultats des tournois'!AG98,"&lt;&gt;")&lt;=15,24,16))</f>
        <v>32</v>
      </c>
      <c r="AH98" s="15">
        <f>IF(COUNTIF('Résultats des tournois'!$B98:'Résultats des tournois'!AH98,"&lt;&gt;")&lt;=5,32,IF(COUNTIF('Résultats des tournois'!$B98:'Résultats des tournois'!AH98,"&lt;&gt;")&lt;=15,24,16))</f>
        <v>32</v>
      </c>
      <c r="AI98" s="15">
        <f>IF(COUNTIF('Résultats des tournois'!$B98:'Résultats des tournois'!AI98,"&lt;&gt;")&lt;=5,32,IF(COUNTIF('Résultats des tournois'!$B98:'Résultats des tournois'!AI98,"&lt;&gt;")&lt;=15,24,16))</f>
        <v>32</v>
      </c>
      <c r="AJ98" s="15">
        <f>IF(COUNTIF('Résultats des tournois'!$B98:'Résultats des tournois'!AJ98,"&lt;&gt;")&lt;=5,32,IF(COUNTIF('Résultats des tournois'!$B98:'Résultats des tournois'!AJ98,"&lt;&gt;")&lt;=15,24,16))</f>
        <v>32</v>
      </c>
      <c r="AK98" s="15">
        <f>IF(COUNTIF('Résultats des tournois'!$B98:'Résultats des tournois'!AK98,"&lt;&gt;")&lt;=5,32,IF(COUNTIF('Résultats des tournois'!$B98:'Résultats des tournois'!AK98,"&lt;&gt;")&lt;=15,24,16))</f>
        <v>32</v>
      </c>
      <c r="AL98" s="15">
        <f>IF(COUNTIF('Résultats des tournois'!$B98:'Résultats des tournois'!AL98,"&lt;&gt;")&lt;=5,32,IF(COUNTIF('Résultats des tournois'!$B98:'Résultats des tournois'!AL98,"&lt;&gt;")&lt;=15,24,16))</f>
        <v>32</v>
      </c>
      <c r="AM98" s="15">
        <f>IF(COUNTIF('Résultats des tournois'!$B98:'Résultats des tournois'!AM98,"&lt;&gt;")&lt;=5,32,IF(COUNTIF('Résultats des tournois'!$B98:'Résultats des tournois'!AM98,"&lt;&gt;")&lt;=15,24,16))</f>
        <v>32</v>
      </c>
      <c r="AN98" s="15">
        <f>IF(COUNTIF('Résultats des tournois'!$B98:'Résultats des tournois'!AN98,"&lt;&gt;")&lt;=5,32,IF(COUNTIF('Résultats des tournois'!$B98:'Résultats des tournois'!AN98,"&lt;&gt;")&lt;=15,24,16))</f>
        <v>32</v>
      </c>
      <c r="AO98" s="15">
        <f>IF(COUNTIF('Résultats des tournois'!$B98:'Résultats des tournois'!AO98,"&lt;&gt;")&lt;=5,32,IF(COUNTIF('Résultats des tournois'!$B98:'Résultats des tournois'!AO98,"&lt;&gt;")&lt;=15,24,16))</f>
        <v>32</v>
      </c>
      <c r="AP98" s="15">
        <f>IF(COUNTIF('Résultats des tournois'!$B98:'Résultats des tournois'!AP98,"&lt;&gt;")&lt;=5,32,IF(COUNTIF('Résultats des tournois'!$B98:'Résultats des tournois'!AP98,"&lt;&gt;")&lt;=15,24,16))</f>
        <v>32</v>
      </c>
      <c r="AQ98" s="15">
        <f>IF(COUNTIF('Résultats des tournois'!$B98:'Résultats des tournois'!AQ98,"&lt;&gt;")&lt;=5,32,IF(COUNTIF('Résultats des tournois'!$B98:'Résultats des tournois'!AQ98,"&lt;&gt;")&lt;=15,24,16))</f>
        <v>32</v>
      </c>
      <c r="AR98" s="15">
        <f>IF(COUNTIF('Résultats des tournois'!$B98:'Résultats des tournois'!AR98,"&lt;&gt;")&lt;=5,32,IF(COUNTIF('Résultats des tournois'!$B98:'Résultats des tournois'!AR98,"&lt;&gt;")&lt;=15,24,16))</f>
        <v>32</v>
      </c>
      <c r="AS98" s="15">
        <f>IF(COUNTIF('Résultats des tournois'!$B98:'Résultats des tournois'!AS98,"&lt;&gt;")&lt;=5,32,IF(COUNTIF('Résultats des tournois'!$B98:'Résultats des tournois'!AS98,"&lt;&gt;")&lt;=15,24,16))</f>
        <v>32</v>
      </c>
      <c r="AT98" s="15">
        <f>IF(COUNTIF('Résultats des tournois'!$B98:'Résultats des tournois'!AT98,"&lt;&gt;")&lt;=5,32,IF(COUNTIF('Résultats des tournois'!$B98:'Résultats des tournois'!AT98,"&lt;&gt;")&lt;=15,24,16))</f>
        <v>32</v>
      </c>
      <c r="AU98" s="15">
        <f>IF(COUNTIF('Résultats des tournois'!$B98:'Résultats des tournois'!AU98,"&lt;&gt;")&lt;=5,32,IF(COUNTIF('Résultats des tournois'!$B98:'Résultats des tournois'!AU98,"&lt;&gt;")&lt;=15,24,16))</f>
        <v>32</v>
      </c>
      <c r="AV98" s="15">
        <f>IF(COUNTIF('Résultats des tournois'!$B98:'Résultats des tournois'!AV98,"&lt;&gt;")&lt;=5,32,IF(COUNTIF('Résultats des tournois'!$B98:'Résultats des tournois'!AV98,"&lt;&gt;")&lt;=15,24,16))</f>
        <v>32</v>
      </c>
      <c r="AW98" s="15">
        <f>IF(COUNTIF('Résultats des tournois'!$B98:'Résultats des tournois'!AW98,"&lt;&gt;")&lt;=5,32,IF(COUNTIF('Résultats des tournois'!$B98:'Résultats des tournois'!AW98,"&lt;&gt;")&lt;=15,24,16))</f>
        <v>32</v>
      </c>
      <c r="AX98" s="15">
        <f>IF(COUNTIF('Résultats des tournois'!$B98:'Résultats des tournois'!AX98,"&lt;&gt;")&lt;=5,32,IF(COUNTIF('Résultats des tournois'!$B98:'Résultats des tournois'!AX98,"&lt;&gt;")&lt;=15,24,16))</f>
        <v>32</v>
      </c>
    </row>
    <row r="99" ht="14.25" customHeight="1">
      <c r="A99" s="15" t="str">
        <f>IF('Résultats des tournois'!A99="","",'Résultats des tournois'!A99)</f>
        <v/>
      </c>
      <c r="B99" s="15">
        <f>IF(COUNTIF('Résultats des tournois'!B99,"&lt;&gt;")&lt;=5,32,IF(COUNTIF('Résultats des tournois'!B99,"&lt;&gt;")&lt;=15,24,16))</f>
        <v>32</v>
      </c>
      <c r="C99" s="15">
        <f>IF(COUNTIF('Résultats des tournois'!$B99:'Résultats des tournois'!C99,"&lt;&gt;")&lt;=5,32,IF(COUNTIF('Résultats des tournois'!$B99:'Résultats des tournois'!C99,"&lt;&gt;")&lt;=15,24,16))</f>
        <v>32</v>
      </c>
      <c r="D99" s="15">
        <f>IF(COUNTIF('Résultats des tournois'!$B99:'Résultats des tournois'!D99,"&lt;&gt;")&lt;=5,32,IF(COUNTIF('Résultats des tournois'!$B99:'Résultats des tournois'!D99,"&lt;&gt;")&lt;=15,24,16))</f>
        <v>32</v>
      </c>
      <c r="E99" s="15">
        <f>IF(COUNTIF('Résultats des tournois'!$B99:'Résultats des tournois'!E99,"&lt;&gt;")&lt;=5,32,IF(COUNTIF('Résultats des tournois'!$B99:'Résultats des tournois'!E99,"&lt;&gt;")&lt;=15,24,16))</f>
        <v>32</v>
      </c>
      <c r="F99" s="15">
        <f>IF(COUNTIF('Résultats des tournois'!$B99:'Résultats des tournois'!F99,"&lt;&gt;")&lt;=5,32,IF(COUNTIF('Résultats des tournois'!$B99:'Résultats des tournois'!F99,"&lt;&gt;")&lt;=15,24,16))</f>
        <v>32</v>
      </c>
      <c r="G99" s="15">
        <f>IF(COUNTIF('Résultats des tournois'!$B99:'Résultats des tournois'!G99,"&lt;&gt;")&lt;=5,32,IF(COUNTIF('Résultats des tournois'!$B99:'Résultats des tournois'!G99,"&lt;&gt;")&lt;=15,24,16))</f>
        <v>32</v>
      </c>
      <c r="H99" s="15">
        <f>IF(COUNTIF('Résultats des tournois'!$B99:'Résultats des tournois'!H99,"&lt;&gt;")&lt;=5,32,IF(COUNTIF('Résultats des tournois'!$B99:'Résultats des tournois'!H99,"&lt;&gt;")&lt;=15,24,16))</f>
        <v>32</v>
      </c>
      <c r="I99" s="15">
        <f>IF(COUNTIF('Résultats des tournois'!$B99:'Résultats des tournois'!I99,"&lt;&gt;")&lt;=5,32,IF(COUNTIF('Résultats des tournois'!$B99:'Résultats des tournois'!I99,"&lt;&gt;")&lt;=15,24,16))</f>
        <v>32</v>
      </c>
      <c r="J99" s="15">
        <f>IF(COUNTIF('Résultats des tournois'!$B99:'Résultats des tournois'!J99,"&lt;&gt;")&lt;=5,32,IF(COUNTIF('Résultats des tournois'!$B99:'Résultats des tournois'!J99,"&lt;&gt;")&lt;=15,24,16))</f>
        <v>32</v>
      </c>
      <c r="K99" s="15">
        <f>IF(COUNTIF('Résultats des tournois'!$B99:'Résultats des tournois'!K99,"&lt;&gt;")&lt;=5,32,IF(COUNTIF('Résultats des tournois'!$B99:'Résultats des tournois'!K99,"&lt;&gt;")&lt;=15,24,16))</f>
        <v>32</v>
      </c>
      <c r="L99" s="15">
        <f>IF(COUNTIF('Résultats des tournois'!$B99:'Résultats des tournois'!L99,"&lt;&gt;")&lt;=5,32,IF(COUNTIF('Résultats des tournois'!$B99:'Résultats des tournois'!L99,"&lt;&gt;")&lt;=15,24,16))</f>
        <v>32</v>
      </c>
      <c r="M99" s="15">
        <f>IF(COUNTIF('Résultats des tournois'!$B99:'Résultats des tournois'!M99,"&lt;&gt;")&lt;=5,32,IF(COUNTIF('Résultats des tournois'!$B99:'Résultats des tournois'!M99,"&lt;&gt;")&lt;=15,24,16))</f>
        <v>32</v>
      </c>
      <c r="N99" s="15">
        <f>IF(COUNTIF('Résultats des tournois'!$B99:'Résultats des tournois'!N99,"&lt;&gt;")&lt;=5,32,IF(COUNTIF('Résultats des tournois'!$B99:'Résultats des tournois'!N99,"&lt;&gt;")&lt;=15,24,16))</f>
        <v>32</v>
      </c>
      <c r="O99" s="15">
        <f>IF(COUNTIF('Résultats des tournois'!$B99:'Résultats des tournois'!O99,"&lt;&gt;")&lt;=5,32,IF(COUNTIF('Résultats des tournois'!$B99:'Résultats des tournois'!O99,"&lt;&gt;")&lt;=15,24,16))</f>
        <v>32</v>
      </c>
      <c r="P99" s="15">
        <f>IF(COUNTIF('Résultats des tournois'!$B99:'Résultats des tournois'!P99,"&lt;&gt;")&lt;=5,32,IF(COUNTIF('Résultats des tournois'!$B99:'Résultats des tournois'!P99,"&lt;&gt;")&lt;=15,24,16))</f>
        <v>32</v>
      </c>
      <c r="Q99" s="15">
        <f>IF(COUNTIF('Résultats des tournois'!$B99:'Résultats des tournois'!Q99,"&lt;&gt;")&lt;=5,32,IF(COUNTIF('Résultats des tournois'!$B99:'Résultats des tournois'!Q99,"&lt;&gt;")&lt;=15,24,16))</f>
        <v>32</v>
      </c>
      <c r="R99" s="15">
        <f>IF(COUNTIF('Résultats des tournois'!$B99:'Résultats des tournois'!R99,"&lt;&gt;")&lt;=5,32,IF(COUNTIF('Résultats des tournois'!$B99:'Résultats des tournois'!R99,"&lt;&gt;")&lt;=15,24,16))</f>
        <v>32</v>
      </c>
      <c r="S99" s="15">
        <f>IF(COUNTIF('Résultats des tournois'!$B99:'Résultats des tournois'!S99,"&lt;&gt;")&lt;=5,32,IF(COUNTIF('Résultats des tournois'!$B99:'Résultats des tournois'!S99,"&lt;&gt;")&lt;=15,24,16))</f>
        <v>32</v>
      </c>
      <c r="T99" s="15">
        <f>IF(COUNTIF('Résultats des tournois'!$B99:'Résultats des tournois'!T99,"&lt;&gt;")&lt;=5,32,IF(COUNTIF('Résultats des tournois'!$B99:'Résultats des tournois'!T99,"&lt;&gt;")&lt;=15,24,16))</f>
        <v>32</v>
      </c>
      <c r="U99" s="15">
        <f>IF(COUNTIF('Résultats des tournois'!$B99:'Résultats des tournois'!U99,"&lt;&gt;")&lt;=5,32,IF(COUNTIF('Résultats des tournois'!$B99:'Résultats des tournois'!U99,"&lt;&gt;")&lt;=15,24,16))</f>
        <v>32</v>
      </c>
      <c r="V99" s="15">
        <f>IF(COUNTIF('Résultats des tournois'!$B99:'Résultats des tournois'!V99,"&lt;&gt;")&lt;=5,32,IF(COUNTIF('Résultats des tournois'!$B99:'Résultats des tournois'!V99,"&lt;&gt;")&lt;=15,24,16))</f>
        <v>32</v>
      </c>
      <c r="W99" s="15">
        <f>IF(COUNTIF('Résultats des tournois'!$B99:'Résultats des tournois'!W99,"&lt;&gt;")&lt;=5,32,IF(COUNTIF('Résultats des tournois'!$B99:'Résultats des tournois'!W99,"&lt;&gt;")&lt;=15,24,16))</f>
        <v>32</v>
      </c>
      <c r="X99" s="15">
        <f>IF(COUNTIF('Résultats des tournois'!$B99:'Résultats des tournois'!X99,"&lt;&gt;")&lt;=5,32,IF(COUNTIF('Résultats des tournois'!$B99:'Résultats des tournois'!X99,"&lt;&gt;")&lt;=15,24,16))</f>
        <v>32</v>
      </c>
      <c r="Y99" s="15">
        <f>IF(COUNTIF('Résultats des tournois'!$B99:'Résultats des tournois'!Y99,"&lt;&gt;")&lt;=5,32,IF(COUNTIF('Résultats des tournois'!$B99:'Résultats des tournois'!Y99,"&lt;&gt;")&lt;=15,24,16))</f>
        <v>32</v>
      </c>
      <c r="Z99" s="15">
        <f>IF(COUNTIF('Résultats des tournois'!$B99:'Résultats des tournois'!Z99,"&lt;&gt;")&lt;=5,32,IF(COUNTIF('Résultats des tournois'!$B99:'Résultats des tournois'!Z99,"&lt;&gt;")&lt;=15,24,16))</f>
        <v>32</v>
      </c>
      <c r="AA99" s="15">
        <f>IF(COUNTIF('Résultats des tournois'!$B99:'Résultats des tournois'!AA99,"&lt;&gt;")&lt;=5,32,IF(COUNTIF('Résultats des tournois'!$B99:'Résultats des tournois'!AA99,"&lt;&gt;")&lt;=15,24,16))</f>
        <v>32</v>
      </c>
      <c r="AB99" s="15">
        <f>IF(COUNTIF('Résultats des tournois'!$B99:'Résultats des tournois'!AB99,"&lt;&gt;")&lt;=5,32,IF(COUNTIF('Résultats des tournois'!$B99:'Résultats des tournois'!AB99,"&lt;&gt;")&lt;=15,24,16))</f>
        <v>32</v>
      </c>
      <c r="AC99" s="15">
        <f>IF(COUNTIF('Résultats des tournois'!$B99:'Résultats des tournois'!AC99,"&lt;&gt;")&lt;=5,32,IF(COUNTIF('Résultats des tournois'!$B99:'Résultats des tournois'!AC99,"&lt;&gt;")&lt;=15,24,16))</f>
        <v>32</v>
      </c>
      <c r="AD99" s="15">
        <f>IF(COUNTIF('Résultats des tournois'!$B99:'Résultats des tournois'!AD99,"&lt;&gt;")&lt;=5,32,IF(COUNTIF('Résultats des tournois'!$B99:'Résultats des tournois'!AD99,"&lt;&gt;")&lt;=15,24,16))</f>
        <v>32</v>
      </c>
      <c r="AE99" s="15">
        <f>IF(COUNTIF('Résultats des tournois'!$B99:'Résultats des tournois'!AE99,"&lt;&gt;")&lt;=5,32,IF(COUNTIF('Résultats des tournois'!$B99:'Résultats des tournois'!AE99,"&lt;&gt;")&lt;=15,24,16))</f>
        <v>32</v>
      </c>
      <c r="AF99" s="15">
        <f>IF(COUNTIF('Résultats des tournois'!$B99:'Résultats des tournois'!AF99,"&lt;&gt;")&lt;=5,32,IF(COUNTIF('Résultats des tournois'!$B99:'Résultats des tournois'!AF99,"&lt;&gt;")&lt;=15,24,16))</f>
        <v>32</v>
      </c>
      <c r="AG99" s="15">
        <f>IF(COUNTIF('Résultats des tournois'!$B99:'Résultats des tournois'!AG99,"&lt;&gt;")&lt;=5,32,IF(COUNTIF('Résultats des tournois'!$B99:'Résultats des tournois'!AG99,"&lt;&gt;")&lt;=15,24,16))</f>
        <v>32</v>
      </c>
      <c r="AH99" s="15">
        <f>IF(COUNTIF('Résultats des tournois'!$B99:'Résultats des tournois'!AH99,"&lt;&gt;")&lt;=5,32,IF(COUNTIF('Résultats des tournois'!$B99:'Résultats des tournois'!AH99,"&lt;&gt;")&lt;=15,24,16))</f>
        <v>32</v>
      </c>
      <c r="AI99" s="15">
        <f>IF(COUNTIF('Résultats des tournois'!$B99:'Résultats des tournois'!AI99,"&lt;&gt;")&lt;=5,32,IF(COUNTIF('Résultats des tournois'!$B99:'Résultats des tournois'!AI99,"&lt;&gt;")&lt;=15,24,16))</f>
        <v>32</v>
      </c>
      <c r="AJ99" s="15">
        <f>IF(COUNTIF('Résultats des tournois'!$B99:'Résultats des tournois'!AJ99,"&lt;&gt;")&lt;=5,32,IF(COUNTIF('Résultats des tournois'!$B99:'Résultats des tournois'!AJ99,"&lt;&gt;")&lt;=15,24,16))</f>
        <v>32</v>
      </c>
      <c r="AK99" s="15">
        <f>IF(COUNTIF('Résultats des tournois'!$B99:'Résultats des tournois'!AK99,"&lt;&gt;")&lt;=5,32,IF(COUNTIF('Résultats des tournois'!$B99:'Résultats des tournois'!AK99,"&lt;&gt;")&lt;=15,24,16))</f>
        <v>32</v>
      </c>
      <c r="AL99" s="15">
        <f>IF(COUNTIF('Résultats des tournois'!$B99:'Résultats des tournois'!AL99,"&lt;&gt;")&lt;=5,32,IF(COUNTIF('Résultats des tournois'!$B99:'Résultats des tournois'!AL99,"&lt;&gt;")&lt;=15,24,16))</f>
        <v>32</v>
      </c>
      <c r="AM99" s="15">
        <f>IF(COUNTIF('Résultats des tournois'!$B99:'Résultats des tournois'!AM99,"&lt;&gt;")&lt;=5,32,IF(COUNTIF('Résultats des tournois'!$B99:'Résultats des tournois'!AM99,"&lt;&gt;")&lt;=15,24,16))</f>
        <v>32</v>
      </c>
      <c r="AN99" s="15">
        <f>IF(COUNTIF('Résultats des tournois'!$B99:'Résultats des tournois'!AN99,"&lt;&gt;")&lt;=5,32,IF(COUNTIF('Résultats des tournois'!$B99:'Résultats des tournois'!AN99,"&lt;&gt;")&lt;=15,24,16))</f>
        <v>32</v>
      </c>
      <c r="AO99" s="15">
        <f>IF(COUNTIF('Résultats des tournois'!$B99:'Résultats des tournois'!AO99,"&lt;&gt;")&lt;=5,32,IF(COUNTIF('Résultats des tournois'!$B99:'Résultats des tournois'!AO99,"&lt;&gt;")&lt;=15,24,16))</f>
        <v>32</v>
      </c>
      <c r="AP99" s="15">
        <f>IF(COUNTIF('Résultats des tournois'!$B99:'Résultats des tournois'!AP99,"&lt;&gt;")&lt;=5,32,IF(COUNTIF('Résultats des tournois'!$B99:'Résultats des tournois'!AP99,"&lt;&gt;")&lt;=15,24,16))</f>
        <v>32</v>
      </c>
      <c r="AQ99" s="15">
        <f>IF(COUNTIF('Résultats des tournois'!$B99:'Résultats des tournois'!AQ99,"&lt;&gt;")&lt;=5,32,IF(COUNTIF('Résultats des tournois'!$B99:'Résultats des tournois'!AQ99,"&lt;&gt;")&lt;=15,24,16))</f>
        <v>32</v>
      </c>
      <c r="AR99" s="15">
        <f>IF(COUNTIF('Résultats des tournois'!$B99:'Résultats des tournois'!AR99,"&lt;&gt;")&lt;=5,32,IF(COUNTIF('Résultats des tournois'!$B99:'Résultats des tournois'!AR99,"&lt;&gt;")&lt;=15,24,16))</f>
        <v>32</v>
      </c>
      <c r="AS99" s="15">
        <f>IF(COUNTIF('Résultats des tournois'!$B99:'Résultats des tournois'!AS99,"&lt;&gt;")&lt;=5,32,IF(COUNTIF('Résultats des tournois'!$B99:'Résultats des tournois'!AS99,"&lt;&gt;")&lt;=15,24,16))</f>
        <v>32</v>
      </c>
      <c r="AT99" s="15">
        <f>IF(COUNTIF('Résultats des tournois'!$B99:'Résultats des tournois'!AT99,"&lt;&gt;")&lt;=5,32,IF(COUNTIF('Résultats des tournois'!$B99:'Résultats des tournois'!AT99,"&lt;&gt;")&lt;=15,24,16))</f>
        <v>32</v>
      </c>
      <c r="AU99" s="15">
        <f>IF(COUNTIF('Résultats des tournois'!$B99:'Résultats des tournois'!AU99,"&lt;&gt;")&lt;=5,32,IF(COUNTIF('Résultats des tournois'!$B99:'Résultats des tournois'!AU99,"&lt;&gt;")&lt;=15,24,16))</f>
        <v>32</v>
      </c>
      <c r="AV99" s="15">
        <f>IF(COUNTIF('Résultats des tournois'!$B99:'Résultats des tournois'!AV99,"&lt;&gt;")&lt;=5,32,IF(COUNTIF('Résultats des tournois'!$B99:'Résultats des tournois'!AV99,"&lt;&gt;")&lt;=15,24,16))</f>
        <v>32</v>
      </c>
      <c r="AW99" s="15">
        <f>IF(COUNTIF('Résultats des tournois'!$B99:'Résultats des tournois'!AW99,"&lt;&gt;")&lt;=5,32,IF(COUNTIF('Résultats des tournois'!$B99:'Résultats des tournois'!AW99,"&lt;&gt;")&lt;=15,24,16))</f>
        <v>32</v>
      </c>
      <c r="AX99" s="15">
        <f>IF(COUNTIF('Résultats des tournois'!$B99:'Résultats des tournois'!AX99,"&lt;&gt;")&lt;=5,32,IF(COUNTIF('Résultats des tournois'!$B99:'Résultats des tournois'!AX99,"&lt;&gt;")&lt;=15,24,16))</f>
        <v>32</v>
      </c>
    </row>
    <row r="100" ht="14.25" customHeight="1">
      <c r="A100" s="15" t="str">
        <f>IF('Résultats des tournois'!A100="","",'Résultats des tournois'!A100)</f>
        <v/>
      </c>
      <c r="B100" s="15">
        <f>IF(COUNTIF('Résultats des tournois'!B100,"&lt;&gt;")&lt;=5,32,IF(COUNTIF('Résultats des tournois'!B100,"&lt;&gt;")&lt;=15,24,16))</f>
        <v>32</v>
      </c>
      <c r="C100" s="15">
        <f>IF(COUNTIF('Résultats des tournois'!$B100:'Résultats des tournois'!C100,"&lt;&gt;")&lt;=5,32,IF(COUNTIF('Résultats des tournois'!$B100:'Résultats des tournois'!C100,"&lt;&gt;")&lt;=15,24,16))</f>
        <v>32</v>
      </c>
      <c r="D100" s="15">
        <f>IF(COUNTIF('Résultats des tournois'!$B100:'Résultats des tournois'!D100,"&lt;&gt;")&lt;=5,32,IF(COUNTIF('Résultats des tournois'!$B100:'Résultats des tournois'!D100,"&lt;&gt;")&lt;=15,24,16))</f>
        <v>32</v>
      </c>
      <c r="E100" s="15">
        <f>IF(COUNTIF('Résultats des tournois'!$B100:'Résultats des tournois'!E100,"&lt;&gt;")&lt;=5,32,IF(COUNTIF('Résultats des tournois'!$B100:'Résultats des tournois'!E100,"&lt;&gt;")&lt;=15,24,16))</f>
        <v>32</v>
      </c>
      <c r="F100" s="15">
        <f>IF(COUNTIF('Résultats des tournois'!$B100:'Résultats des tournois'!F100,"&lt;&gt;")&lt;=5,32,IF(COUNTIF('Résultats des tournois'!$B100:'Résultats des tournois'!F100,"&lt;&gt;")&lt;=15,24,16))</f>
        <v>32</v>
      </c>
      <c r="G100" s="15">
        <f>IF(COUNTIF('Résultats des tournois'!$B100:'Résultats des tournois'!G100,"&lt;&gt;")&lt;=5,32,IF(COUNTIF('Résultats des tournois'!$B100:'Résultats des tournois'!G100,"&lt;&gt;")&lt;=15,24,16))</f>
        <v>32</v>
      </c>
      <c r="H100" s="15">
        <f>IF(COUNTIF('Résultats des tournois'!$B100:'Résultats des tournois'!H100,"&lt;&gt;")&lt;=5,32,IF(COUNTIF('Résultats des tournois'!$B100:'Résultats des tournois'!H100,"&lt;&gt;")&lt;=15,24,16))</f>
        <v>32</v>
      </c>
      <c r="I100" s="15">
        <f>IF(COUNTIF('Résultats des tournois'!$B100:'Résultats des tournois'!I100,"&lt;&gt;")&lt;=5,32,IF(COUNTIF('Résultats des tournois'!$B100:'Résultats des tournois'!I100,"&lt;&gt;")&lt;=15,24,16))</f>
        <v>32</v>
      </c>
      <c r="J100" s="15">
        <f>IF(COUNTIF('Résultats des tournois'!$B100:'Résultats des tournois'!J100,"&lt;&gt;")&lt;=5,32,IF(COUNTIF('Résultats des tournois'!$B100:'Résultats des tournois'!J100,"&lt;&gt;")&lt;=15,24,16))</f>
        <v>32</v>
      </c>
      <c r="K100" s="15">
        <f>IF(COUNTIF('Résultats des tournois'!$B100:'Résultats des tournois'!K100,"&lt;&gt;")&lt;=5,32,IF(COUNTIF('Résultats des tournois'!$B100:'Résultats des tournois'!K100,"&lt;&gt;")&lt;=15,24,16))</f>
        <v>32</v>
      </c>
      <c r="L100" s="15">
        <f>IF(COUNTIF('Résultats des tournois'!$B100:'Résultats des tournois'!L100,"&lt;&gt;")&lt;=5,32,IF(COUNTIF('Résultats des tournois'!$B100:'Résultats des tournois'!L100,"&lt;&gt;")&lt;=15,24,16))</f>
        <v>32</v>
      </c>
      <c r="M100" s="15">
        <f>IF(COUNTIF('Résultats des tournois'!$B100:'Résultats des tournois'!M100,"&lt;&gt;")&lt;=5,32,IF(COUNTIF('Résultats des tournois'!$B100:'Résultats des tournois'!M100,"&lt;&gt;")&lt;=15,24,16))</f>
        <v>32</v>
      </c>
      <c r="N100" s="15">
        <f>IF(COUNTIF('Résultats des tournois'!$B100:'Résultats des tournois'!N100,"&lt;&gt;")&lt;=5,32,IF(COUNTIF('Résultats des tournois'!$B100:'Résultats des tournois'!N100,"&lt;&gt;")&lt;=15,24,16))</f>
        <v>32</v>
      </c>
      <c r="O100" s="15">
        <f>IF(COUNTIF('Résultats des tournois'!$B100:'Résultats des tournois'!O100,"&lt;&gt;")&lt;=5,32,IF(COUNTIF('Résultats des tournois'!$B100:'Résultats des tournois'!O100,"&lt;&gt;")&lt;=15,24,16))</f>
        <v>32</v>
      </c>
      <c r="P100" s="15">
        <f>IF(COUNTIF('Résultats des tournois'!$B100:'Résultats des tournois'!P100,"&lt;&gt;")&lt;=5,32,IF(COUNTIF('Résultats des tournois'!$B100:'Résultats des tournois'!P100,"&lt;&gt;")&lt;=15,24,16))</f>
        <v>32</v>
      </c>
      <c r="Q100" s="15">
        <f>IF(COUNTIF('Résultats des tournois'!$B100:'Résultats des tournois'!Q100,"&lt;&gt;")&lt;=5,32,IF(COUNTIF('Résultats des tournois'!$B100:'Résultats des tournois'!Q100,"&lt;&gt;")&lt;=15,24,16))</f>
        <v>32</v>
      </c>
      <c r="R100" s="15">
        <f>IF(COUNTIF('Résultats des tournois'!$B100:'Résultats des tournois'!R100,"&lt;&gt;")&lt;=5,32,IF(COUNTIF('Résultats des tournois'!$B100:'Résultats des tournois'!R100,"&lt;&gt;")&lt;=15,24,16))</f>
        <v>32</v>
      </c>
      <c r="S100" s="15">
        <f>IF(COUNTIF('Résultats des tournois'!$B100:'Résultats des tournois'!S100,"&lt;&gt;")&lt;=5,32,IF(COUNTIF('Résultats des tournois'!$B100:'Résultats des tournois'!S100,"&lt;&gt;")&lt;=15,24,16))</f>
        <v>32</v>
      </c>
      <c r="T100" s="15">
        <f>IF(COUNTIF('Résultats des tournois'!$B100:'Résultats des tournois'!T100,"&lt;&gt;")&lt;=5,32,IF(COUNTIF('Résultats des tournois'!$B100:'Résultats des tournois'!T100,"&lt;&gt;")&lt;=15,24,16))</f>
        <v>32</v>
      </c>
      <c r="U100" s="15">
        <f>IF(COUNTIF('Résultats des tournois'!$B100:'Résultats des tournois'!U100,"&lt;&gt;")&lt;=5,32,IF(COUNTIF('Résultats des tournois'!$B100:'Résultats des tournois'!U100,"&lt;&gt;")&lt;=15,24,16))</f>
        <v>32</v>
      </c>
      <c r="V100" s="15">
        <f>IF(COUNTIF('Résultats des tournois'!$B100:'Résultats des tournois'!V100,"&lt;&gt;")&lt;=5,32,IF(COUNTIF('Résultats des tournois'!$B100:'Résultats des tournois'!V100,"&lt;&gt;")&lt;=15,24,16))</f>
        <v>32</v>
      </c>
      <c r="W100" s="15">
        <f>IF(COUNTIF('Résultats des tournois'!$B100:'Résultats des tournois'!W100,"&lt;&gt;")&lt;=5,32,IF(COUNTIF('Résultats des tournois'!$B100:'Résultats des tournois'!W100,"&lt;&gt;")&lt;=15,24,16))</f>
        <v>32</v>
      </c>
      <c r="X100" s="15">
        <f>IF(COUNTIF('Résultats des tournois'!$B100:'Résultats des tournois'!X100,"&lt;&gt;")&lt;=5,32,IF(COUNTIF('Résultats des tournois'!$B100:'Résultats des tournois'!X100,"&lt;&gt;")&lt;=15,24,16))</f>
        <v>32</v>
      </c>
      <c r="Y100" s="15">
        <f>IF(COUNTIF('Résultats des tournois'!$B100:'Résultats des tournois'!Y100,"&lt;&gt;")&lt;=5,32,IF(COUNTIF('Résultats des tournois'!$B100:'Résultats des tournois'!Y100,"&lt;&gt;")&lt;=15,24,16))</f>
        <v>32</v>
      </c>
      <c r="Z100" s="15">
        <f>IF(COUNTIF('Résultats des tournois'!$B100:'Résultats des tournois'!Z100,"&lt;&gt;")&lt;=5,32,IF(COUNTIF('Résultats des tournois'!$B100:'Résultats des tournois'!Z100,"&lt;&gt;")&lt;=15,24,16))</f>
        <v>32</v>
      </c>
      <c r="AA100" s="15">
        <f>IF(COUNTIF('Résultats des tournois'!$B100:'Résultats des tournois'!AA100,"&lt;&gt;")&lt;=5,32,IF(COUNTIF('Résultats des tournois'!$B100:'Résultats des tournois'!AA100,"&lt;&gt;")&lt;=15,24,16))</f>
        <v>32</v>
      </c>
      <c r="AB100" s="15">
        <f>IF(COUNTIF('Résultats des tournois'!$B100:'Résultats des tournois'!AB100,"&lt;&gt;")&lt;=5,32,IF(COUNTIF('Résultats des tournois'!$B100:'Résultats des tournois'!AB100,"&lt;&gt;")&lt;=15,24,16))</f>
        <v>32</v>
      </c>
      <c r="AC100" s="15">
        <f>IF(COUNTIF('Résultats des tournois'!$B100:'Résultats des tournois'!AC100,"&lt;&gt;")&lt;=5,32,IF(COUNTIF('Résultats des tournois'!$B100:'Résultats des tournois'!AC100,"&lt;&gt;")&lt;=15,24,16))</f>
        <v>32</v>
      </c>
      <c r="AD100" s="15">
        <f>IF(COUNTIF('Résultats des tournois'!$B100:'Résultats des tournois'!AD100,"&lt;&gt;")&lt;=5,32,IF(COUNTIF('Résultats des tournois'!$B100:'Résultats des tournois'!AD100,"&lt;&gt;")&lt;=15,24,16))</f>
        <v>32</v>
      </c>
      <c r="AE100" s="15">
        <f>IF(COUNTIF('Résultats des tournois'!$B100:'Résultats des tournois'!AE100,"&lt;&gt;")&lt;=5,32,IF(COUNTIF('Résultats des tournois'!$B100:'Résultats des tournois'!AE100,"&lt;&gt;")&lt;=15,24,16))</f>
        <v>32</v>
      </c>
      <c r="AF100" s="15">
        <f>IF(COUNTIF('Résultats des tournois'!$B100:'Résultats des tournois'!AF100,"&lt;&gt;")&lt;=5,32,IF(COUNTIF('Résultats des tournois'!$B100:'Résultats des tournois'!AF100,"&lt;&gt;")&lt;=15,24,16))</f>
        <v>32</v>
      </c>
      <c r="AG100" s="15">
        <f>IF(COUNTIF('Résultats des tournois'!$B100:'Résultats des tournois'!AG100,"&lt;&gt;")&lt;=5,32,IF(COUNTIF('Résultats des tournois'!$B100:'Résultats des tournois'!AG100,"&lt;&gt;")&lt;=15,24,16))</f>
        <v>32</v>
      </c>
      <c r="AH100" s="15">
        <f>IF(COUNTIF('Résultats des tournois'!$B100:'Résultats des tournois'!AH100,"&lt;&gt;")&lt;=5,32,IF(COUNTIF('Résultats des tournois'!$B100:'Résultats des tournois'!AH100,"&lt;&gt;")&lt;=15,24,16))</f>
        <v>32</v>
      </c>
      <c r="AI100" s="15">
        <f>IF(COUNTIF('Résultats des tournois'!$B100:'Résultats des tournois'!AI100,"&lt;&gt;")&lt;=5,32,IF(COUNTIF('Résultats des tournois'!$B100:'Résultats des tournois'!AI100,"&lt;&gt;")&lt;=15,24,16))</f>
        <v>32</v>
      </c>
      <c r="AJ100" s="15">
        <f>IF(COUNTIF('Résultats des tournois'!$B100:'Résultats des tournois'!AJ100,"&lt;&gt;")&lt;=5,32,IF(COUNTIF('Résultats des tournois'!$B100:'Résultats des tournois'!AJ100,"&lt;&gt;")&lt;=15,24,16))</f>
        <v>32</v>
      </c>
      <c r="AK100" s="15">
        <f>IF(COUNTIF('Résultats des tournois'!$B100:'Résultats des tournois'!AK100,"&lt;&gt;")&lt;=5,32,IF(COUNTIF('Résultats des tournois'!$B100:'Résultats des tournois'!AK100,"&lt;&gt;")&lt;=15,24,16))</f>
        <v>32</v>
      </c>
      <c r="AL100" s="15">
        <f>IF(COUNTIF('Résultats des tournois'!$B100:'Résultats des tournois'!AL100,"&lt;&gt;")&lt;=5,32,IF(COUNTIF('Résultats des tournois'!$B100:'Résultats des tournois'!AL100,"&lt;&gt;")&lt;=15,24,16))</f>
        <v>32</v>
      </c>
      <c r="AM100" s="15">
        <f>IF(COUNTIF('Résultats des tournois'!$B100:'Résultats des tournois'!AM100,"&lt;&gt;")&lt;=5,32,IF(COUNTIF('Résultats des tournois'!$B100:'Résultats des tournois'!AM100,"&lt;&gt;")&lt;=15,24,16))</f>
        <v>32</v>
      </c>
      <c r="AN100" s="15">
        <f>IF(COUNTIF('Résultats des tournois'!$B100:'Résultats des tournois'!AN100,"&lt;&gt;")&lt;=5,32,IF(COUNTIF('Résultats des tournois'!$B100:'Résultats des tournois'!AN100,"&lt;&gt;")&lt;=15,24,16))</f>
        <v>32</v>
      </c>
      <c r="AO100" s="15">
        <f>IF(COUNTIF('Résultats des tournois'!$B100:'Résultats des tournois'!AO100,"&lt;&gt;")&lt;=5,32,IF(COUNTIF('Résultats des tournois'!$B100:'Résultats des tournois'!AO100,"&lt;&gt;")&lt;=15,24,16))</f>
        <v>32</v>
      </c>
      <c r="AP100" s="15">
        <f>IF(COUNTIF('Résultats des tournois'!$B100:'Résultats des tournois'!AP100,"&lt;&gt;")&lt;=5,32,IF(COUNTIF('Résultats des tournois'!$B100:'Résultats des tournois'!AP100,"&lt;&gt;")&lt;=15,24,16))</f>
        <v>32</v>
      </c>
      <c r="AQ100" s="15">
        <f>IF(COUNTIF('Résultats des tournois'!$B100:'Résultats des tournois'!AQ100,"&lt;&gt;")&lt;=5,32,IF(COUNTIF('Résultats des tournois'!$B100:'Résultats des tournois'!AQ100,"&lt;&gt;")&lt;=15,24,16))</f>
        <v>32</v>
      </c>
      <c r="AR100" s="15">
        <f>IF(COUNTIF('Résultats des tournois'!$B100:'Résultats des tournois'!AR100,"&lt;&gt;")&lt;=5,32,IF(COUNTIF('Résultats des tournois'!$B100:'Résultats des tournois'!AR100,"&lt;&gt;")&lt;=15,24,16))</f>
        <v>32</v>
      </c>
      <c r="AS100" s="15">
        <f>IF(COUNTIF('Résultats des tournois'!$B100:'Résultats des tournois'!AS100,"&lt;&gt;")&lt;=5,32,IF(COUNTIF('Résultats des tournois'!$B100:'Résultats des tournois'!AS100,"&lt;&gt;")&lt;=15,24,16))</f>
        <v>32</v>
      </c>
      <c r="AT100" s="15">
        <f>IF(COUNTIF('Résultats des tournois'!$B100:'Résultats des tournois'!AT100,"&lt;&gt;")&lt;=5,32,IF(COUNTIF('Résultats des tournois'!$B100:'Résultats des tournois'!AT100,"&lt;&gt;")&lt;=15,24,16))</f>
        <v>32</v>
      </c>
      <c r="AU100" s="15">
        <f>IF(COUNTIF('Résultats des tournois'!$B100:'Résultats des tournois'!AU100,"&lt;&gt;")&lt;=5,32,IF(COUNTIF('Résultats des tournois'!$B100:'Résultats des tournois'!AU100,"&lt;&gt;")&lt;=15,24,16))</f>
        <v>32</v>
      </c>
      <c r="AV100" s="15">
        <f>IF(COUNTIF('Résultats des tournois'!$B100:'Résultats des tournois'!AV100,"&lt;&gt;")&lt;=5,32,IF(COUNTIF('Résultats des tournois'!$B100:'Résultats des tournois'!AV100,"&lt;&gt;")&lt;=15,24,16))</f>
        <v>32</v>
      </c>
      <c r="AW100" s="15">
        <f>IF(COUNTIF('Résultats des tournois'!$B100:'Résultats des tournois'!AW100,"&lt;&gt;")&lt;=5,32,IF(COUNTIF('Résultats des tournois'!$B100:'Résultats des tournois'!AW100,"&lt;&gt;")&lt;=15,24,16))</f>
        <v>32</v>
      </c>
      <c r="AX100" s="15">
        <f>IF(COUNTIF('Résultats des tournois'!$B100:'Résultats des tournois'!AX100,"&lt;&gt;")&lt;=5,32,IF(COUNTIF('Résultats des tournois'!$B100:'Résultats des tournois'!AX100,"&lt;&gt;")&lt;=15,24,16))</f>
        <v>32</v>
      </c>
    </row>
    <row r="101" ht="14.25" customHeight="1">
      <c r="A101" s="15" t="str">
        <f>IF('Résultats des tournois'!A101="","",'Résultats des tournois'!A101)</f>
        <v/>
      </c>
      <c r="B101" s="15">
        <f>IF(COUNTIF('Résultats des tournois'!B101,"&lt;&gt;")&lt;=5,32,IF(COUNTIF('Résultats des tournois'!B101,"&lt;&gt;")&lt;=15,24,16))</f>
        <v>32</v>
      </c>
      <c r="C101" s="15">
        <f>IF(COUNTIF('Résultats des tournois'!$B101:'Résultats des tournois'!C101,"&lt;&gt;")&lt;=5,32,IF(COUNTIF('Résultats des tournois'!$B101:'Résultats des tournois'!C101,"&lt;&gt;")&lt;=15,24,16))</f>
        <v>32</v>
      </c>
      <c r="D101" s="15">
        <f>IF(COUNTIF('Résultats des tournois'!$B101:'Résultats des tournois'!D101,"&lt;&gt;")&lt;=5,32,IF(COUNTIF('Résultats des tournois'!$B101:'Résultats des tournois'!D101,"&lt;&gt;")&lt;=15,24,16))</f>
        <v>32</v>
      </c>
      <c r="E101" s="15">
        <f>IF(COUNTIF('Résultats des tournois'!$B101:'Résultats des tournois'!E101,"&lt;&gt;")&lt;=5,32,IF(COUNTIF('Résultats des tournois'!$B101:'Résultats des tournois'!E101,"&lt;&gt;")&lt;=15,24,16))</f>
        <v>32</v>
      </c>
      <c r="F101" s="15">
        <f>IF(COUNTIF('Résultats des tournois'!$B101:'Résultats des tournois'!F101,"&lt;&gt;")&lt;=5,32,IF(COUNTIF('Résultats des tournois'!$B101:'Résultats des tournois'!F101,"&lt;&gt;")&lt;=15,24,16))</f>
        <v>32</v>
      </c>
      <c r="G101" s="15">
        <f>IF(COUNTIF('Résultats des tournois'!$B101:'Résultats des tournois'!G101,"&lt;&gt;")&lt;=5,32,IF(COUNTIF('Résultats des tournois'!$B101:'Résultats des tournois'!G101,"&lt;&gt;")&lt;=15,24,16))</f>
        <v>32</v>
      </c>
      <c r="H101" s="15">
        <f>IF(COUNTIF('Résultats des tournois'!$B101:'Résultats des tournois'!H101,"&lt;&gt;")&lt;=5,32,IF(COUNTIF('Résultats des tournois'!$B101:'Résultats des tournois'!H101,"&lt;&gt;")&lt;=15,24,16))</f>
        <v>32</v>
      </c>
      <c r="I101" s="15">
        <f>IF(COUNTIF('Résultats des tournois'!$B101:'Résultats des tournois'!I101,"&lt;&gt;")&lt;=5,32,IF(COUNTIF('Résultats des tournois'!$B101:'Résultats des tournois'!I101,"&lt;&gt;")&lt;=15,24,16))</f>
        <v>32</v>
      </c>
      <c r="J101" s="15">
        <f>IF(COUNTIF('Résultats des tournois'!$B101:'Résultats des tournois'!J101,"&lt;&gt;")&lt;=5,32,IF(COUNTIF('Résultats des tournois'!$B101:'Résultats des tournois'!J101,"&lt;&gt;")&lt;=15,24,16))</f>
        <v>32</v>
      </c>
      <c r="K101" s="15">
        <f>IF(COUNTIF('Résultats des tournois'!$B101:'Résultats des tournois'!K101,"&lt;&gt;")&lt;=5,32,IF(COUNTIF('Résultats des tournois'!$B101:'Résultats des tournois'!K101,"&lt;&gt;")&lt;=15,24,16))</f>
        <v>32</v>
      </c>
      <c r="L101" s="15">
        <f>IF(COUNTIF('Résultats des tournois'!$B101:'Résultats des tournois'!L101,"&lt;&gt;")&lt;=5,32,IF(COUNTIF('Résultats des tournois'!$B101:'Résultats des tournois'!L101,"&lt;&gt;")&lt;=15,24,16))</f>
        <v>32</v>
      </c>
      <c r="M101" s="15">
        <f>IF(COUNTIF('Résultats des tournois'!$B101:'Résultats des tournois'!M101,"&lt;&gt;")&lt;=5,32,IF(COUNTIF('Résultats des tournois'!$B101:'Résultats des tournois'!M101,"&lt;&gt;")&lt;=15,24,16))</f>
        <v>32</v>
      </c>
      <c r="N101" s="15">
        <f>IF(COUNTIF('Résultats des tournois'!$B101:'Résultats des tournois'!N101,"&lt;&gt;")&lt;=5,32,IF(COUNTIF('Résultats des tournois'!$B101:'Résultats des tournois'!N101,"&lt;&gt;")&lt;=15,24,16))</f>
        <v>32</v>
      </c>
      <c r="O101" s="15">
        <f>IF(COUNTIF('Résultats des tournois'!$B101:'Résultats des tournois'!O101,"&lt;&gt;")&lt;=5,32,IF(COUNTIF('Résultats des tournois'!$B101:'Résultats des tournois'!O101,"&lt;&gt;")&lt;=15,24,16))</f>
        <v>32</v>
      </c>
      <c r="P101" s="15">
        <f>IF(COUNTIF('Résultats des tournois'!$B101:'Résultats des tournois'!P101,"&lt;&gt;")&lt;=5,32,IF(COUNTIF('Résultats des tournois'!$B101:'Résultats des tournois'!P101,"&lt;&gt;")&lt;=15,24,16))</f>
        <v>32</v>
      </c>
      <c r="Q101" s="15">
        <f>IF(COUNTIF('Résultats des tournois'!$B101:'Résultats des tournois'!Q101,"&lt;&gt;")&lt;=5,32,IF(COUNTIF('Résultats des tournois'!$B101:'Résultats des tournois'!Q101,"&lt;&gt;")&lt;=15,24,16))</f>
        <v>32</v>
      </c>
      <c r="R101" s="15">
        <f>IF(COUNTIF('Résultats des tournois'!$B101:'Résultats des tournois'!R101,"&lt;&gt;")&lt;=5,32,IF(COUNTIF('Résultats des tournois'!$B101:'Résultats des tournois'!R101,"&lt;&gt;")&lt;=15,24,16))</f>
        <v>32</v>
      </c>
      <c r="S101" s="15">
        <f>IF(COUNTIF('Résultats des tournois'!$B101:'Résultats des tournois'!S101,"&lt;&gt;")&lt;=5,32,IF(COUNTIF('Résultats des tournois'!$B101:'Résultats des tournois'!S101,"&lt;&gt;")&lt;=15,24,16))</f>
        <v>32</v>
      </c>
      <c r="T101" s="15">
        <f>IF(COUNTIF('Résultats des tournois'!$B101:'Résultats des tournois'!T101,"&lt;&gt;")&lt;=5,32,IF(COUNTIF('Résultats des tournois'!$B101:'Résultats des tournois'!T101,"&lt;&gt;")&lt;=15,24,16))</f>
        <v>32</v>
      </c>
      <c r="U101" s="15">
        <f>IF(COUNTIF('Résultats des tournois'!$B101:'Résultats des tournois'!U101,"&lt;&gt;")&lt;=5,32,IF(COUNTIF('Résultats des tournois'!$B101:'Résultats des tournois'!U101,"&lt;&gt;")&lt;=15,24,16))</f>
        <v>32</v>
      </c>
      <c r="V101" s="15">
        <f>IF(COUNTIF('Résultats des tournois'!$B101:'Résultats des tournois'!V101,"&lt;&gt;")&lt;=5,32,IF(COUNTIF('Résultats des tournois'!$B101:'Résultats des tournois'!V101,"&lt;&gt;")&lt;=15,24,16))</f>
        <v>32</v>
      </c>
      <c r="W101" s="15">
        <f>IF(COUNTIF('Résultats des tournois'!$B101:'Résultats des tournois'!W101,"&lt;&gt;")&lt;=5,32,IF(COUNTIF('Résultats des tournois'!$B101:'Résultats des tournois'!W101,"&lt;&gt;")&lt;=15,24,16))</f>
        <v>32</v>
      </c>
      <c r="X101" s="15">
        <f>IF(COUNTIF('Résultats des tournois'!$B101:'Résultats des tournois'!X101,"&lt;&gt;")&lt;=5,32,IF(COUNTIF('Résultats des tournois'!$B101:'Résultats des tournois'!X101,"&lt;&gt;")&lt;=15,24,16))</f>
        <v>32</v>
      </c>
      <c r="Y101" s="15">
        <f>IF(COUNTIF('Résultats des tournois'!$B101:'Résultats des tournois'!Y101,"&lt;&gt;")&lt;=5,32,IF(COUNTIF('Résultats des tournois'!$B101:'Résultats des tournois'!Y101,"&lt;&gt;")&lt;=15,24,16))</f>
        <v>32</v>
      </c>
      <c r="Z101" s="15">
        <f>IF(COUNTIF('Résultats des tournois'!$B101:'Résultats des tournois'!Z101,"&lt;&gt;")&lt;=5,32,IF(COUNTIF('Résultats des tournois'!$B101:'Résultats des tournois'!Z101,"&lt;&gt;")&lt;=15,24,16))</f>
        <v>32</v>
      </c>
      <c r="AA101" s="15">
        <f>IF(COUNTIF('Résultats des tournois'!$B101:'Résultats des tournois'!AA101,"&lt;&gt;")&lt;=5,32,IF(COUNTIF('Résultats des tournois'!$B101:'Résultats des tournois'!AA101,"&lt;&gt;")&lt;=15,24,16))</f>
        <v>32</v>
      </c>
      <c r="AB101" s="15">
        <f>IF(COUNTIF('Résultats des tournois'!$B101:'Résultats des tournois'!AB101,"&lt;&gt;")&lt;=5,32,IF(COUNTIF('Résultats des tournois'!$B101:'Résultats des tournois'!AB101,"&lt;&gt;")&lt;=15,24,16))</f>
        <v>32</v>
      </c>
      <c r="AC101" s="15">
        <f>IF(COUNTIF('Résultats des tournois'!$B101:'Résultats des tournois'!AC101,"&lt;&gt;")&lt;=5,32,IF(COUNTIF('Résultats des tournois'!$B101:'Résultats des tournois'!AC101,"&lt;&gt;")&lt;=15,24,16))</f>
        <v>32</v>
      </c>
      <c r="AD101" s="15">
        <f>IF(COUNTIF('Résultats des tournois'!$B101:'Résultats des tournois'!AD101,"&lt;&gt;")&lt;=5,32,IF(COUNTIF('Résultats des tournois'!$B101:'Résultats des tournois'!AD101,"&lt;&gt;")&lt;=15,24,16))</f>
        <v>32</v>
      </c>
      <c r="AE101" s="15">
        <f>IF(COUNTIF('Résultats des tournois'!$B101:'Résultats des tournois'!AE101,"&lt;&gt;")&lt;=5,32,IF(COUNTIF('Résultats des tournois'!$B101:'Résultats des tournois'!AE101,"&lt;&gt;")&lt;=15,24,16))</f>
        <v>32</v>
      </c>
      <c r="AF101" s="15">
        <f>IF(COUNTIF('Résultats des tournois'!$B101:'Résultats des tournois'!AF101,"&lt;&gt;")&lt;=5,32,IF(COUNTIF('Résultats des tournois'!$B101:'Résultats des tournois'!AF101,"&lt;&gt;")&lt;=15,24,16))</f>
        <v>32</v>
      </c>
      <c r="AG101" s="15">
        <f>IF(COUNTIF('Résultats des tournois'!$B101:'Résultats des tournois'!AG101,"&lt;&gt;")&lt;=5,32,IF(COUNTIF('Résultats des tournois'!$B101:'Résultats des tournois'!AG101,"&lt;&gt;")&lt;=15,24,16))</f>
        <v>32</v>
      </c>
      <c r="AH101" s="15">
        <f>IF(COUNTIF('Résultats des tournois'!$B101:'Résultats des tournois'!AH101,"&lt;&gt;")&lt;=5,32,IF(COUNTIF('Résultats des tournois'!$B101:'Résultats des tournois'!AH101,"&lt;&gt;")&lt;=15,24,16))</f>
        <v>32</v>
      </c>
      <c r="AI101" s="15">
        <f>IF(COUNTIF('Résultats des tournois'!$B101:'Résultats des tournois'!AI101,"&lt;&gt;")&lt;=5,32,IF(COUNTIF('Résultats des tournois'!$B101:'Résultats des tournois'!AI101,"&lt;&gt;")&lt;=15,24,16))</f>
        <v>32</v>
      </c>
      <c r="AJ101" s="15">
        <f>IF(COUNTIF('Résultats des tournois'!$B101:'Résultats des tournois'!AJ101,"&lt;&gt;")&lt;=5,32,IF(COUNTIF('Résultats des tournois'!$B101:'Résultats des tournois'!AJ101,"&lt;&gt;")&lt;=15,24,16))</f>
        <v>32</v>
      </c>
      <c r="AK101" s="15">
        <f>IF(COUNTIF('Résultats des tournois'!$B101:'Résultats des tournois'!AK101,"&lt;&gt;")&lt;=5,32,IF(COUNTIF('Résultats des tournois'!$B101:'Résultats des tournois'!AK101,"&lt;&gt;")&lt;=15,24,16))</f>
        <v>32</v>
      </c>
      <c r="AL101" s="15">
        <f>IF(COUNTIF('Résultats des tournois'!$B101:'Résultats des tournois'!AL101,"&lt;&gt;")&lt;=5,32,IF(COUNTIF('Résultats des tournois'!$B101:'Résultats des tournois'!AL101,"&lt;&gt;")&lt;=15,24,16))</f>
        <v>32</v>
      </c>
      <c r="AM101" s="15">
        <f>IF(COUNTIF('Résultats des tournois'!$B101:'Résultats des tournois'!AM101,"&lt;&gt;")&lt;=5,32,IF(COUNTIF('Résultats des tournois'!$B101:'Résultats des tournois'!AM101,"&lt;&gt;")&lt;=15,24,16))</f>
        <v>32</v>
      </c>
      <c r="AN101" s="15">
        <f>IF(COUNTIF('Résultats des tournois'!$B101:'Résultats des tournois'!AN101,"&lt;&gt;")&lt;=5,32,IF(COUNTIF('Résultats des tournois'!$B101:'Résultats des tournois'!AN101,"&lt;&gt;")&lt;=15,24,16))</f>
        <v>32</v>
      </c>
      <c r="AO101" s="15">
        <f>IF(COUNTIF('Résultats des tournois'!$B101:'Résultats des tournois'!AO101,"&lt;&gt;")&lt;=5,32,IF(COUNTIF('Résultats des tournois'!$B101:'Résultats des tournois'!AO101,"&lt;&gt;")&lt;=15,24,16))</f>
        <v>32</v>
      </c>
      <c r="AP101" s="15">
        <f>IF(COUNTIF('Résultats des tournois'!$B101:'Résultats des tournois'!AP101,"&lt;&gt;")&lt;=5,32,IF(COUNTIF('Résultats des tournois'!$B101:'Résultats des tournois'!AP101,"&lt;&gt;")&lt;=15,24,16))</f>
        <v>32</v>
      </c>
      <c r="AQ101" s="15">
        <f>IF(COUNTIF('Résultats des tournois'!$B101:'Résultats des tournois'!AQ101,"&lt;&gt;")&lt;=5,32,IF(COUNTIF('Résultats des tournois'!$B101:'Résultats des tournois'!AQ101,"&lt;&gt;")&lt;=15,24,16))</f>
        <v>32</v>
      </c>
      <c r="AR101" s="15">
        <f>IF(COUNTIF('Résultats des tournois'!$B101:'Résultats des tournois'!AR101,"&lt;&gt;")&lt;=5,32,IF(COUNTIF('Résultats des tournois'!$B101:'Résultats des tournois'!AR101,"&lt;&gt;")&lt;=15,24,16))</f>
        <v>32</v>
      </c>
      <c r="AS101" s="15">
        <f>IF(COUNTIF('Résultats des tournois'!$B101:'Résultats des tournois'!AS101,"&lt;&gt;")&lt;=5,32,IF(COUNTIF('Résultats des tournois'!$B101:'Résultats des tournois'!AS101,"&lt;&gt;")&lt;=15,24,16))</f>
        <v>32</v>
      </c>
      <c r="AT101" s="15">
        <f>IF(COUNTIF('Résultats des tournois'!$B101:'Résultats des tournois'!AT101,"&lt;&gt;")&lt;=5,32,IF(COUNTIF('Résultats des tournois'!$B101:'Résultats des tournois'!AT101,"&lt;&gt;")&lt;=15,24,16))</f>
        <v>32</v>
      </c>
      <c r="AU101" s="15">
        <f>IF(COUNTIF('Résultats des tournois'!$B101:'Résultats des tournois'!AU101,"&lt;&gt;")&lt;=5,32,IF(COUNTIF('Résultats des tournois'!$B101:'Résultats des tournois'!AU101,"&lt;&gt;")&lt;=15,24,16))</f>
        <v>32</v>
      </c>
      <c r="AV101" s="15">
        <f>IF(COUNTIF('Résultats des tournois'!$B101:'Résultats des tournois'!AV101,"&lt;&gt;")&lt;=5,32,IF(COUNTIF('Résultats des tournois'!$B101:'Résultats des tournois'!AV101,"&lt;&gt;")&lt;=15,24,16))</f>
        <v>32</v>
      </c>
      <c r="AW101" s="15">
        <f>IF(COUNTIF('Résultats des tournois'!$B101:'Résultats des tournois'!AW101,"&lt;&gt;")&lt;=5,32,IF(COUNTIF('Résultats des tournois'!$B101:'Résultats des tournois'!AW101,"&lt;&gt;")&lt;=15,24,16))</f>
        <v>32</v>
      </c>
      <c r="AX101" s="15">
        <f>IF(COUNTIF('Résultats des tournois'!$B101:'Résultats des tournois'!AX101,"&lt;&gt;")&lt;=5,32,IF(COUNTIF('Résultats des tournois'!$B101:'Résultats des tournois'!AX101,"&lt;&gt;")&lt;=15,24,16))</f>
        <v>32</v>
      </c>
    </row>
    <row r="102" ht="14.25" customHeight="1">
      <c r="A102" s="15" t="str">
        <f>IF('Résultats des tournois'!A102="","",'Résultats des tournois'!A102)</f>
        <v/>
      </c>
      <c r="B102" s="15">
        <f>IF(COUNTIF('Résultats des tournois'!B102,"&lt;&gt;")&lt;=5,32,IF(COUNTIF('Résultats des tournois'!B102,"&lt;&gt;")&lt;=15,24,16))</f>
        <v>32</v>
      </c>
      <c r="C102" s="15">
        <f>IF(COUNTIF('Résultats des tournois'!$B102:'Résultats des tournois'!C102,"&lt;&gt;")&lt;=5,32,IF(COUNTIF('Résultats des tournois'!$B102:'Résultats des tournois'!C102,"&lt;&gt;")&lt;=15,24,16))</f>
        <v>32</v>
      </c>
      <c r="D102" s="15">
        <f>IF(COUNTIF('Résultats des tournois'!$B102:'Résultats des tournois'!D102,"&lt;&gt;")&lt;=5,32,IF(COUNTIF('Résultats des tournois'!$B102:'Résultats des tournois'!D102,"&lt;&gt;")&lt;=15,24,16))</f>
        <v>32</v>
      </c>
      <c r="E102" s="15">
        <f>IF(COUNTIF('Résultats des tournois'!$B102:'Résultats des tournois'!E102,"&lt;&gt;")&lt;=5,32,IF(COUNTIF('Résultats des tournois'!$B102:'Résultats des tournois'!E102,"&lt;&gt;")&lt;=15,24,16))</f>
        <v>32</v>
      </c>
      <c r="F102" s="15">
        <f>IF(COUNTIF('Résultats des tournois'!$B102:'Résultats des tournois'!F102,"&lt;&gt;")&lt;=5,32,IF(COUNTIF('Résultats des tournois'!$B102:'Résultats des tournois'!F102,"&lt;&gt;")&lt;=15,24,16))</f>
        <v>32</v>
      </c>
      <c r="G102" s="15">
        <f>IF(COUNTIF('Résultats des tournois'!$B102:'Résultats des tournois'!G102,"&lt;&gt;")&lt;=5,32,IF(COUNTIF('Résultats des tournois'!$B102:'Résultats des tournois'!G102,"&lt;&gt;")&lt;=15,24,16))</f>
        <v>32</v>
      </c>
      <c r="H102" s="15">
        <f>IF(COUNTIF('Résultats des tournois'!$B102:'Résultats des tournois'!H102,"&lt;&gt;")&lt;=5,32,IF(COUNTIF('Résultats des tournois'!$B102:'Résultats des tournois'!H102,"&lt;&gt;")&lt;=15,24,16))</f>
        <v>32</v>
      </c>
      <c r="I102" s="15">
        <f>IF(COUNTIF('Résultats des tournois'!$B102:'Résultats des tournois'!I102,"&lt;&gt;")&lt;=5,32,IF(COUNTIF('Résultats des tournois'!$B102:'Résultats des tournois'!I102,"&lt;&gt;")&lt;=15,24,16))</f>
        <v>32</v>
      </c>
      <c r="J102" s="15">
        <f>IF(COUNTIF('Résultats des tournois'!$B102:'Résultats des tournois'!J102,"&lt;&gt;")&lt;=5,32,IF(COUNTIF('Résultats des tournois'!$B102:'Résultats des tournois'!J102,"&lt;&gt;")&lt;=15,24,16))</f>
        <v>32</v>
      </c>
      <c r="K102" s="15">
        <f>IF(COUNTIF('Résultats des tournois'!$B102:'Résultats des tournois'!K102,"&lt;&gt;")&lt;=5,32,IF(COUNTIF('Résultats des tournois'!$B102:'Résultats des tournois'!K102,"&lt;&gt;")&lt;=15,24,16))</f>
        <v>32</v>
      </c>
      <c r="L102" s="15">
        <f>IF(COUNTIF('Résultats des tournois'!$B102:'Résultats des tournois'!L102,"&lt;&gt;")&lt;=5,32,IF(COUNTIF('Résultats des tournois'!$B102:'Résultats des tournois'!L102,"&lt;&gt;")&lt;=15,24,16))</f>
        <v>32</v>
      </c>
      <c r="M102" s="15">
        <f>IF(COUNTIF('Résultats des tournois'!$B102:'Résultats des tournois'!M102,"&lt;&gt;")&lt;=5,32,IF(COUNTIF('Résultats des tournois'!$B102:'Résultats des tournois'!M102,"&lt;&gt;")&lt;=15,24,16))</f>
        <v>32</v>
      </c>
      <c r="N102" s="15">
        <f>IF(COUNTIF('Résultats des tournois'!$B102:'Résultats des tournois'!N102,"&lt;&gt;")&lt;=5,32,IF(COUNTIF('Résultats des tournois'!$B102:'Résultats des tournois'!N102,"&lt;&gt;")&lt;=15,24,16))</f>
        <v>32</v>
      </c>
      <c r="O102" s="15">
        <f>IF(COUNTIF('Résultats des tournois'!$B102:'Résultats des tournois'!O102,"&lt;&gt;")&lt;=5,32,IF(COUNTIF('Résultats des tournois'!$B102:'Résultats des tournois'!O102,"&lt;&gt;")&lt;=15,24,16))</f>
        <v>32</v>
      </c>
      <c r="P102" s="15">
        <f>IF(COUNTIF('Résultats des tournois'!$B102:'Résultats des tournois'!P102,"&lt;&gt;")&lt;=5,32,IF(COUNTIF('Résultats des tournois'!$B102:'Résultats des tournois'!P102,"&lt;&gt;")&lt;=15,24,16))</f>
        <v>32</v>
      </c>
      <c r="Q102" s="15">
        <f>IF(COUNTIF('Résultats des tournois'!$B102:'Résultats des tournois'!Q102,"&lt;&gt;")&lt;=5,32,IF(COUNTIF('Résultats des tournois'!$B102:'Résultats des tournois'!Q102,"&lt;&gt;")&lt;=15,24,16))</f>
        <v>32</v>
      </c>
      <c r="R102" s="15">
        <f>IF(COUNTIF('Résultats des tournois'!$B102:'Résultats des tournois'!R102,"&lt;&gt;")&lt;=5,32,IF(COUNTIF('Résultats des tournois'!$B102:'Résultats des tournois'!R102,"&lt;&gt;")&lt;=15,24,16))</f>
        <v>32</v>
      </c>
      <c r="S102" s="15">
        <f>IF(COUNTIF('Résultats des tournois'!$B102:'Résultats des tournois'!S102,"&lt;&gt;")&lt;=5,32,IF(COUNTIF('Résultats des tournois'!$B102:'Résultats des tournois'!S102,"&lt;&gt;")&lt;=15,24,16))</f>
        <v>32</v>
      </c>
      <c r="T102" s="15">
        <f>IF(COUNTIF('Résultats des tournois'!$B102:'Résultats des tournois'!T102,"&lt;&gt;")&lt;=5,32,IF(COUNTIF('Résultats des tournois'!$B102:'Résultats des tournois'!T102,"&lt;&gt;")&lt;=15,24,16))</f>
        <v>32</v>
      </c>
      <c r="U102" s="15">
        <f>IF(COUNTIF('Résultats des tournois'!$B102:'Résultats des tournois'!U102,"&lt;&gt;")&lt;=5,32,IF(COUNTIF('Résultats des tournois'!$B102:'Résultats des tournois'!U102,"&lt;&gt;")&lt;=15,24,16))</f>
        <v>32</v>
      </c>
      <c r="V102" s="15">
        <f>IF(COUNTIF('Résultats des tournois'!$B102:'Résultats des tournois'!V102,"&lt;&gt;")&lt;=5,32,IF(COUNTIF('Résultats des tournois'!$B102:'Résultats des tournois'!V102,"&lt;&gt;")&lt;=15,24,16))</f>
        <v>32</v>
      </c>
      <c r="W102" s="15">
        <f>IF(COUNTIF('Résultats des tournois'!$B102:'Résultats des tournois'!W102,"&lt;&gt;")&lt;=5,32,IF(COUNTIF('Résultats des tournois'!$B102:'Résultats des tournois'!W102,"&lt;&gt;")&lt;=15,24,16))</f>
        <v>32</v>
      </c>
      <c r="X102" s="15">
        <f>IF(COUNTIF('Résultats des tournois'!$B102:'Résultats des tournois'!X102,"&lt;&gt;")&lt;=5,32,IF(COUNTIF('Résultats des tournois'!$B102:'Résultats des tournois'!X102,"&lt;&gt;")&lt;=15,24,16))</f>
        <v>32</v>
      </c>
      <c r="Y102" s="15">
        <f>IF(COUNTIF('Résultats des tournois'!$B102:'Résultats des tournois'!Y102,"&lt;&gt;")&lt;=5,32,IF(COUNTIF('Résultats des tournois'!$B102:'Résultats des tournois'!Y102,"&lt;&gt;")&lt;=15,24,16))</f>
        <v>32</v>
      </c>
      <c r="Z102" s="15">
        <f>IF(COUNTIF('Résultats des tournois'!$B102:'Résultats des tournois'!Z102,"&lt;&gt;")&lt;=5,32,IF(COUNTIF('Résultats des tournois'!$B102:'Résultats des tournois'!Z102,"&lt;&gt;")&lt;=15,24,16))</f>
        <v>32</v>
      </c>
      <c r="AA102" s="15">
        <f>IF(COUNTIF('Résultats des tournois'!$B102:'Résultats des tournois'!AA102,"&lt;&gt;")&lt;=5,32,IF(COUNTIF('Résultats des tournois'!$B102:'Résultats des tournois'!AA102,"&lt;&gt;")&lt;=15,24,16))</f>
        <v>32</v>
      </c>
      <c r="AB102" s="15">
        <f>IF(COUNTIF('Résultats des tournois'!$B102:'Résultats des tournois'!AB102,"&lt;&gt;")&lt;=5,32,IF(COUNTIF('Résultats des tournois'!$B102:'Résultats des tournois'!AB102,"&lt;&gt;")&lt;=15,24,16))</f>
        <v>32</v>
      </c>
      <c r="AC102" s="15">
        <f>IF(COUNTIF('Résultats des tournois'!$B102:'Résultats des tournois'!AC102,"&lt;&gt;")&lt;=5,32,IF(COUNTIF('Résultats des tournois'!$B102:'Résultats des tournois'!AC102,"&lt;&gt;")&lt;=15,24,16))</f>
        <v>32</v>
      </c>
      <c r="AD102" s="15">
        <f>IF(COUNTIF('Résultats des tournois'!$B102:'Résultats des tournois'!AD102,"&lt;&gt;")&lt;=5,32,IF(COUNTIF('Résultats des tournois'!$B102:'Résultats des tournois'!AD102,"&lt;&gt;")&lt;=15,24,16))</f>
        <v>32</v>
      </c>
      <c r="AE102" s="15">
        <f>IF(COUNTIF('Résultats des tournois'!$B102:'Résultats des tournois'!AE102,"&lt;&gt;")&lt;=5,32,IF(COUNTIF('Résultats des tournois'!$B102:'Résultats des tournois'!AE102,"&lt;&gt;")&lt;=15,24,16))</f>
        <v>32</v>
      </c>
      <c r="AF102" s="15">
        <f>IF(COUNTIF('Résultats des tournois'!$B102:'Résultats des tournois'!AF102,"&lt;&gt;")&lt;=5,32,IF(COUNTIF('Résultats des tournois'!$B102:'Résultats des tournois'!AF102,"&lt;&gt;")&lt;=15,24,16))</f>
        <v>32</v>
      </c>
      <c r="AG102" s="15">
        <f>IF(COUNTIF('Résultats des tournois'!$B102:'Résultats des tournois'!AG102,"&lt;&gt;")&lt;=5,32,IF(COUNTIF('Résultats des tournois'!$B102:'Résultats des tournois'!AG102,"&lt;&gt;")&lt;=15,24,16))</f>
        <v>32</v>
      </c>
      <c r="AH102" s="15">
        <f>IF(COUNTIF('Résultats des tournois'!$B102:'Résultats des tournois'!AH102,"&lt;&gt;")&lt;=5,32,IF(COUNTIF('Résultats des tournois'!$B102:'Résultats des tournois'!AH102,"&lt;&gt;")&lt;=15,24,16))</f>
        <v>32</v>
      </c>
      <c r="AI102" s="15">
        <f>IF(COUNTIF('Résultats des tournois'!$B102:'Résultats des tournois'!AI102,"&lt;&gt;")&lt;=5,32,IF(COUNTIF('Résultats des tournois'!$B102:'Résultats des tournois'!AI102,"&lt;&gt;")&lt;=15,24,16))</f>
        <v>32</v>
      </c>
      <c r="AJ102" s="15">
        <f>IF(COUNTIF('Résultats des tournois'!$B102:'Résultats des tournois'!AJ102,"&lt;&gt;")&lt;=5,32,IF(COUNTIF('Résultats des tournois'!$B102:'Résultats des tournois'!AJ102,"&lt;&gt;")&lt;=15,24,16))</f>
        <v>32</v>
      </c>
      <c r="AK102" s="15">
        <f>IF(COUNTIF('Résultats des tournois'!$B102:'Résultats des tournois'!AK102,"&lt;&gt;")&lt;=5,32,IF(COUNTIF('Résultats des tournois'!$B102:'Résultats des tournois'!AK102,"&lt;&gt;")&lt;=15,24,16))</f>
        <v>32</v>
      </c>
      <c r="AL102" s="15">
        <f>IF(COUNTIF('Résultats des tournois'!$B102:'Résultats des tournois'!AL102,"&lt;&gt;")&lt;=5,32,IF(COUNTIF('Résultats des tournois'!$B102:'Résultats des tournois'!AL102,"&lt;&gt;")&lt;=15,24,16))</f>
        <v>32</v>
      </c>
      <c r="AM102" s="15">
        <f>IF(COUNTIF('Résultats des tournois'!$B102:'Résultats des tournois'!AM102,"&lt;&gt;")&lt;=5,32,IF(COUNTIF('Résultats des tournois'!$B102:'Résultats des tournois'!AM102,"&lt;&gt;")&lt;=15,24,16))</f>
        <v>32</v>
      </c>
      <c r="AN102" s="15">
        <f>IF(COUNTIF('Résultats des tournois'!$B102:'Résultats des tournois'!AN102,"&lt;&gt;")&lt;=5,32,IF(COUNTIF('Résultats des tournois'!$B102:'Résultats des tournois'!AN102,"&lt;&gt;")&lt;=15,24,16))</f>
        <v>32</v>
      </c>
      <c r="AO102" s="15">
        <f>IF(COUNTIF('Résultats des tournois'!$B102:'Résultats des tournois'!AO102,"&lt;&gt;")&lt;=5,32,IF(COUNTIF('Résultats des tournois'!$B102:'Résultats des tournois'!AO102,"&lt;&gt;")&lt;=15,24,16))</f>
        <v>32</v>
      </c>
      <c r="AP102" s="15">
        <f>IF(COUNTIF('Résultats des tournois'!$B102:'Résultats des tournois'!AP102,"&lt;&gt;")&lt;=5,32,IF(COUNTIF('Résultats des tournois'!$B102:'Résultats des tournois'!AP102,"&lt;&gt;")&lt;=15,24,16))</f>
        <v>32</v>
      </c>
      <c r="AQ102" s="15">
        <f>IF(COUNTIF('Résultats des tournois'!$B102:'Résultats des tournois'!AQ102,"&lt;&gt;")&lt;=5,32,IF(COUNTIF('Résultats des tournois'!$B102:'Résultats des tournois'!AQ102,"&lt;&gt;")&lt;=15,24,16))</f>
        <v>32</v>
      </c>
      <c r="AR102" s="15">
        <f>IF(COUNTIF('Résultats des tournois'!$B102:'Résultats des tournois'!AR102,"&lt;&gt;")&lt;=5,32,IF(COUNTIF('Résultats des tournois'!$B102:'Résultats des tournois'!AR102,"&lt;&gt;")&lt;=15,24,16))</f>
        <v>32</v>
      </c>
      <c r="AS102" s="15">
        <f>IF(COUNTIF('Résultats des tournois'!$B102:'Résultats des tournois'!AS102,"&lt;&gt;")&lt;=5,32,IF(COUNTIF('Résultats des tournois'!$B102:'Résultats des tournois'!AS102,"&lt;&gt;")&lt;=15,24,16))</f>
        <v>32</v>
      </c>
      <c r="AT102" s="15">
        <f>IF(COUNTIF('Résultats des tournois'!$B102:'Résultats des tournois'!AT102,"&lt;&gt;")&lt;=5,32,IF(COUNTIF('Résultats des tournois'!$B102:'Résultats des tournois'!AT102,"&lt;&gt;")&lt;=15,24,16))</f>
        <v>32</v>
      </c>
      <c r="AU102" s="15">
        <f>IF(COUNTIF('Résultats des tournois'!$B102:'Résultats des tournois'!AU102,"&lt;&gt;")&lt;=5,32,IF(COUNTIF('Résultats des tournois'!$B102:'Résultats des tournois'!AU102,"&lt;&gt;")&lt;=15,24,16))</f>
        <v>32</v>
      </c>
      <c r="AV102" s="15">
        <f>IF(COUNTIF('Résultats des tournois'!$B102:'Résultats des tournois'!AV102,"&lt;&gt;")&lt;=5,32,IF(COUNTIF('Résultats des tournois'!$B102:'Résultats des tournois'!AV102,"&lt;&gt;")&lt;=15,24,16))</f>
        <v>32</v>
      </c>
      <c r="AW102" s="15">
        <f>IF(COUNTIF('Résultats des tournois'!$B102:'Résultats des tournois'!AW102,"&lt;&gt;")&lt;=5,32,IF(COUNTIF('Résultats des tournois'!$B102:'Résultats des tournois'!AW102,"&lt;&gt;")&lt;=15,24,16))</f>
        <v>32</v>
      </c>
      <c r="AX102" s="15">
        <f>IF(COUNTIF('Résultats des tournois'!$B102:'Résultats des tournois'!AX102,"&lt;&gt;")&lt;=5,32,IF(COUNTIF('Résultats des tournois'!$B102:'Résultats des tournois'!AX102,"&lt;&gt;")&lt;=15,24,16))</f>
        <v>32</v>
      </c>
    </row>
    <row r="103" ht="14.25" customHeight="1">
      <c r="A103" s="15" t="str">
        <f>IF('Résultats des tournois'!A103="","",'Résultats des tournois'!A103)</f>
        <v/>
      </c>
      <c r="B103" s="15">
        <f>IF(COUNTIF('Résultats des tournois'!B103,"&lt;&gt;")&lt;=5,32,IF(COUNTIF('Résultats des tournois'!B103,"&lt;&gt;")&lt;=15,24,16))</f>
        <v>32</v>
      </c>
      <c r="C103" s="15">
        <f>IF(COUNTIF('Résultats des tournois'!$B103:'Résultats des tournois'!C103,"&lt;&gt;")&lt;=5,32,IF(COUNTIF('Résultats des tournois'!$B103:'Résultats des tournois'!C103,"&lt;&gt;")&lt;=15,24,16))</f>
        <v>32</v>
      </c>
      <c r="D103" s="15">
        <f>IF(COUNTIF('Résultats des tournois'!$B103:'Résultats des tournois'!D103,"&lt;&gt;")&lt;=5,32,IF(COUNTIF('Résultats des tournois'!$B103:'Résultats des tournois'!D103,"&lt;&gt;")&lt;=15,24,16))</f>
        <v>32</v>
      </c>
      <c r="E103" s="15">
        <f>IF(COUNTIF('Résultats des tournois'!$B103:'Résultats des tournois'!E103,"&lt;&gt;")&lt;=5,32,IF(COUNTIF('Résultats des tournois'!$B103:'Résultats des tournois'!E103,"&lt;&gt;")&lt;=15,24,16))</f>
        <v>32</v>
      </c>
      <c r="F103" s="15">
        <f>IF(COUNTIF('Résultats des tournois'!$B103:'Résultats des tournois'!F103,"&lt;&gt;")&lt;=5,32,IF(COUNTIF('Résultats des tournois'!$B103:'Résultats des tournois'!F103,"&lt;&gt;")&lt;=15,24,16))</f>
        <v>32</v>
      </c>
      <c r="G103" s="15">
        <f>IF(COUNTIF('Résultats des tournois'!$B103:'Résultats des tournois'!G103,"&lt;&gt;")&lt;=5,32,IF(COUNTIF('Résultats des tournois'!$B103:'Résultats des tournois'!G103,"&lt;&gt;")&lt;=15,24,16))</f>
        <v>32</v>
      </c>
      <c r="H103" s="15">
        <f>IF(COUNTIF('Résultats des tournois'!$B103:'Résultats des tournois'!H103,"&lt;&gt;")&lt;=5,32,IF(COUNTIF('Résultats des tournois'!$B103:'Résultats des tournois'!H103,"&lt;&gt;")&lt;=15,24,16))</f>
        <v>32</v>
      </c>
      <c r="I103" s="15">
        <f>IF(COUNTIF('Résultats des tournois'!$B103:'Résultats des tournois'!I103,"&lt;&gt;")&lt;=5,32,IF(COUNTIF('Résultats des tournois'!$B103:'Résultats des tournois'!I103,"&lt;&gt;")&lt;=15,24,16))</f>
        <v>32</v>
      </c>
      <c r="J103" s="15">
        <f>IF(COUNTIF('Résultats des tournois'!$B103:'Résultats des tournois'!J103,"&lt;&gt;")&lt;=5,32,IF(COUNTIF('Résultats des tournois'!$B103:'Résultats des tournois'!J103,"&lt;&gt;")&lt;=15,24,16))</f>
        <v>32</v>
      </c>
      <c r="K103" s="15">
        <f>IF(COUNTIF('Résultats des tournois'!$B103:'Résultats des tournois'!K103,"&lt;&gt;")&lt;=5,32,IF(COUNTIF('Résultats des tournois'!$B103:'Résultats des tournois'!K103,"&lt;&gt;")&lt;=15,24,16))</f>
        <v>32</v>
      </c>
      <c r="L103" s="15">
        <f>IF(COUNTIF('Résultats des tournois'!$B103:'Résultats des tournois'!L103,"&lt;&gt;")&lt;=5,32,IF(COUNTIF('Résultats des tournois'!$B103:'Résultats des tournois'!L103,"&lt;&gt;")&lt;=15,24,16))</f>
        <v>32</v>
      </c>
      <c r="M103" s="15">
        <f>IF(COUNTIF('Résultats des tournois'!$B103:'Résultats des tournois'!M103,"&lt;&gt;")&lt;=5,32,IF(COUNTIF('Résultats des tournois'!$B103:'Résultats des tournois'!M103,"&lt;&gt;")&lt;=15,24,16))</f>
        <v>32</v>
      </c>
      <c r="N103" s="15">
        <f>IF(COUNTIF('Résultats des tournois'!$B103:'Résultats des tournois'!N103,"&lt;&gt;")&lt;=5,32,IF(COUNTIF('Résultats des tournois'!$B103:'Résultats des tournois'!N103,"&lt;&gt;")&lt;=15,24,16))</f>
        <v>32</v>
      </c>
      <c r="O103" s="15">
        <f>IF(COUNTIF('Résultats des tournois'!$B103:'Résultats des tournois'!O103,"&lt;&gt;")&lt;=5,32,IF(COUNTIF('Résultats des tournois'!$B103:'Résultats des tournois'!O103,"&lt;&gt;")&lt;=15,24,16))</f>
        <v>32</v>
      </c>
      <c r="P103" s="15">
        <f>IF(COUNTIF('Résultats des tournois'!$B103:'Résultats des tournois'!P103,"&lt;&gt;")&lt;=5,32,IF(COUNTIF('Résultats des tournois'!$B103:'Résultats des tournois'!P103,"&lt;&gt;")&lt;=15,24,16))</f>
        <v>32</v>
      </c>
      <c r="Q103" s="15">
        <f>IF(COUNTIF('Résultats des tournois'!$B103:'Résultats des tournois'!Q103,"&lt;&gt;")&lt;=5,32,IF(COUNTIF('Résultats des tournois'!$B103:'Résultats des tournois'!Q103,"&lt;&gt;")&lt;=15,24,16))</f>
        <v>32</v>
      </c>
      <c r="R103" s="15">
        <f>IF(COUNTIF('Résultats des tournois'!$B103:'Résultats des tournois'!R103,"&lt;&gt;")&lt;=5,32,IF(COUNTIF('Résultats des tournois'!$B103:'Résultats des tournois'!R103,"&lt;&gt;")&lt;=15,24,16))</f>
        <v>32</v>
      </c>
      <c r="S103" s="15">
        <f>IF(COUNTIF('Résultats des tournois'!$B103:'Résultats des tournois'!S103,"&lt;&gt;")&lt;=5,32,IF(COUNTIF('Résultats des tournois'!$B103:'Résultats des tournois'!S103,"&lt;&gt;")&lt;=15,24,16))</f>
        <v>32</v>
      </c>
      <c r="T103" s="15">
        <f>IF(COUNTIF('Résultats des tournois'!$B103:'Résultats des tournois'!T103,"&lt;&gt;")&lt;=5,32,IF(COUNTIF('Résultats des tournois'!$B103:'Résultats des tournois'!T103,"&lt;&gt;")&lt;=15,24,16))</f>
        <v>32</v>
      </c>
      <c r="U103" s="15">
        <f>IF(COUNTIF('Résultats des tournois'!$B103:'Résultats des tournois'!U103,"&lt;&gt;")&lt;=5,32,IF(COUNTIF('Résultats des tournois'!$B103:'Résultats des tournois'!U103,"&lt;&gt;")&lt;=15,24,16))</f>
        <v>32</v>
      </c>
      <c r="V103" s="15">
        <f>IF(COUNTIF('Résultats des tournois'!$B103:'Résultats des tournois'!V103,"&lt;&gt;")&lt;=5,32,IF(COUNTIF('Résultats des tournois'!$B103:'Résultats des tournois'!V103,"&lt;&gt;")&lt;=15,24,16))</f>
        <v>32</v>
      </c>
      <c r="W103" s="15">
        <f>IF(COUNTIF('Résultats des tournois'!$B103:'Résultats des tournois'!W103,"&lt;&gt;")&lt;=5,32,IF(COUNTIF('Résultats des tournois'!$B103:'Résultats des tournois'!W103,"&lt;&gt;")&lt;=15,24,16))</f>
        <v>32</v>
      </c>
      <c r="X103" s="15">
        <f>IF(COUNTIF('Résultats des tournois'!$B103:'Résultats des tournois'!X103,"&lt;&gt;")&lt;=5,32,IF(COUNTIF('Résultats des tournois'!$B103:'Résultats des tournois'!X103,"&lt;&gt;")&lt;=15,24,16))</f>
        <v>32</v>
      </c>
      <c r="Y103" s="15">
        <f>IF(COUNTIF('Résultats des tournois'!$B103:'Résultats des tournois'!Y103,"&lt;&gt;")&lt;=5,32,IF(COUNTIF('Résultats des tournois'!$B103:'Résultats des tournois'!Y103,"&lt;&gt;")&lt;=15,24,16))</f>
        <v>32</v>
      </c>
      <c r="Z103" s="15">
        <f>IF(COUNTIF('Résultats des tournois'!$B103:'Résultats des tournois'!Z103,"&lt;&gt;")&lt;=5,32,IF(COUNTIF('Résultats des tournois'!$B103:'Résultats des tournois'!Z103,"&lt;&gt;")&lt;=15,24,16))</f>
        <v>32</v>
      </c>
      <c r="AA103" s="15">
        <f>IF(COUNTIF('Résultats des tournois'!$B103:'Résultats des tournois'!AA103,"&lt;&gt;")&lt;=5,32,IF(COUNTIF('Résultats des tournois'!$B103:'Résultats des tournois'!AA103,"&lt;&gt;")&lt;=15,24,16))</f>
        <v>32</v>
      </c>
      <c r="AB103" s="15">
        <f>IF(COUNTIF('Résultats des tournois'!$B103:'Résultats des tournois'!AB103,"&lt;&gt;")&lt;=5,32,IF(COUNTIF('Résultats des tournois'!$B103:'Résultats des tournois'!AB103,"&lt;&gt;")&lt;=15,24,16))</f>
        <v>32</v>
      </c>
      <c r="AC103" s="15">
        <f>IF(COUNTIF('Résultats des tournois'!$B103:'Résultats des tournois'!AC103,"&lt;&gt;")&lt;=5,32,IF(COUNTIF('Résultats des tournois'!$B103:'Résultats des tournois'!AC103,"&lt;&gt;")&lt;=15,24,16))</f>
        <v>32</v>
      </c>
      <c r="AD103" s="15">
        <f>IF(COUNTIF('Résultats des tournois'!$B103:'Résultats des tournois'!AD103,"&lt;&gt;")&lt;=5,32,IF(COUNTIF('Résultats des tournois'!$B103:'Résultats des tournois'!AD103,"&lt;&gt;")&lt;=15,24,16))</f>
        <v>32</v>
      </c>
      <c r="AE103" s="15">
        <f>IF(COUNTIF('Résultats des tournois'!$B103:'Résultats des tournois'!AE103,"&lt;&gt;")&lt;=5,32,IF(COUNTIF('Résultats des tournois'!$B103:'Résultats des tournois'!AE103,"&lt;&gt;")&lt;=15,24,16))</f>
        <v>32</v>
      </c>
      <c r="AF103" s="15">
        <f>IF(COUNTIF('Résultats des tournois'!$B103:'Résultats des tournois'!AF103,"&lt;&gt;")&lt;=5,32,IF(COUNTIF('Résultats des tournois'!$B103:'Résultats des tournois'!AF103,"&lt;&gt;")&lt;=15,24,16))</f>
        <v>32</v>
      </c>
      <c r="AG103" s="15">
        <f>IF(COUNTIF('Résultats des tournois'!$B103:'Résultats des tournois'!AG103,"&lt;&gt;")&lt;=5,32,IF(COUNTIF('Résultats des tournois'!$B103:'Résultats des tournois'!AG103,"&lt;&gt;")&lt;=15,24,16))</f>
        <v>32</v>
      </c>
      <c r="AH103" s="15">
        <f>IF(COUNTIF('Résultats des tournois'!$B103:'Résultats des tournois'!AH103,"&lt;&gt;")&lt;=5,32,IF(COUNTIF('Résultats des tournois'!$B103:'Résultats des tournois'!AH103,"&lt;&gt;")&lt;=15,24,16))</f>
        <v>32</v>
      </c>
      <c r="AI103" s="15">
        <f>IF(COUNTIF('Résultats des tournois'!$B103:'Résultats des tournois'!AI103,"&lt;&gt;")&lt;=5,32,IF(COUNTIF('Résultats des tournois'!$B103:'Résultats des tournois'!AI103,"&lt;&gt;")&lt;=15,24,16))</f>
        <v>32</v>
      </c>
      <c r="AJ103" s="15">
        <f>IF(COUNTIF('Résultats des tournois'!$B103:'Résultats des tournois'!AJ103,"&lt;&gt;")&lt;=5,32,IF(COUNTIF('Résultats des tournois'!$B103:'Résultats des tournois'!AJ103,"&lt;&gt;")&lt;=15,24,16))</f>
        <v>32</v>
      </c>
      <c r="AK103" s="15">
        <f>IF(COUNTIF('Résultats des tournois'!$B103:'Résultats des tournois'!AK103,"&lt;&gt;")&lt;=5,32,IF(COUNTIF('Résultats des tournois'!$B103:'Résultats des tournois'!AK103,"&lt;&gt;")&lt;=15,24,16))</f>
        <v>32</v>
      </c>
      <c r="AL103" s="15">
        <f>IF(COUNTIF('Résultats des tournois'!$B103:'Résultats des tournois'!AL103,"&lt;&gt;")&lt;=5,32,IF(COUNTIF('Résultats des tournois'!$B103:'Résultats des tournois'!AL103,"&lt;&gt;")&lt;=15,24,16))</f>
        <v>32</v>
      </c>
      <c r="AM103" s="15">
        <f>IF(COUNTIF('Résultats des tournois'!$B103:'Résultats des tournois'!AM103,"&lt;&gt;")&lt;=5,32,IF(COUNTIF('Résultats des tournois'!$B103:'Résultats des tournois'!AM103,"&lt;&gt;")&lt;=15,24,16))</f>
        <v>32</v>
      </c>
      <c r="AN103" s="15">
        <f>IF(COUNTIF('Résultats des tournois'!$B103:'Résultats des tournois'!AN103,"&lt;&gt;")&lt;=5,32,IF(COUNTIF('Résultats des tournois'!$B103:'Résultats des tournois'!AN103,"&lt;&gt;")&lt;=15,24,16))</f>
        <v>32</v>
      </c>
      <c r="AO103" s="15">
        <f>IF(COUNTIF('Résultats des tournois'!$B103:'Résultats des tournois'!AO103,"&lt;&gt;")&lt;=5,32,IF(COUNTIF('Résultats des tournois'!$B103:'Résultats des tournois'!AO103,"&lt;&gt;")&lt;=15,24,16))</f>
        <v>32</v>
      </c>
      <c r="AP103" s="15">
        <f>IF(COUNTIF('Résultats des tournois'!$B103:'Résultats des tournois'!AP103,"&lt;&gt;")&lt;=5,32,IF(COUNTIF('Résultats des tournois'!$B103:'Résultats des tournois'!AP103,"&lt;&gt;")&lt;=15,24,16))</f>
        <v>32</v>
      </c>
      <c r="AQ103" s="15">
        <f>IF(COUNTIF('Résultats des tournois'!$B103:'Résultats des tournois'!AQ103,"&lt;&gt;")&lt;=5,32,IF(COUNTIF('Résultats des tournois'!$B103:'Résultats des tournois'!AQ103,"&lt;&gt;")&lt;=15,24,16))</f>
        <v>32</v>
      </c>
      <c r="AR103" s="15">
        <f>IF(COUNTIF('Résultats des tournois'!$B103:'Résultats des tournois'!AR103,"&lt;&gt;")&lt;=5,32,IF(COUNTIF('Résultats des tournois'!$B103:'Résultats des tournois'!AR103,"&lt;&gt;")&lt;=15,24,16))</f>
        <v>32</v>
      </c>
      <c r="AS103" s="15">
        <f>IF(COUNTIF('Résultats des tournois'!$B103:'Résultats des tournois'!AS103,"&lt;&gt;")&lt;=5,32,IF(COUNTIF('Résultats des tournois'!$B103:'Résultats des tournois'!AS103,"&lt;&gt;")&lt;=15,24,16))</f>
        <v>32</v>
      </c>
      <c r="AT103" s="15">
        <f>IF(COUNTIF('Résultats des tournois'!$B103:'Résultats des tournois'!AT103,"&lt;&gt;")&lt;=5,32,IF(COUNTIF('Résultats des tournois'!$B103:'Résultats des tournois'!AT103,"&lt;&gt;")&lt;=15,24,16))</f>
        <v>32</v>
      </c>
      <c r="AU103" s="15">
        <f>IF(COUNTIF('Résultats des tournois'!$B103:'Résultats des tournois'!AU103,"&lt;&gt;")&lt;=5,32,IF(COUNTIF('Résultats des tournois'!$B103:'Résultats des tournois'!AU103,"&lt;&gt;")&lt;=15,24,16))</f>
        <v>32</v>
      </c>
      <c r="AV103" s="15">
        <f>IF(COUNTIF('Résultats des tournois'!$B103:'Résultats des tournois'!AV103,"&lt;&gt;")&lt;=5,32,IF(COUNTIF('Résultats des tournois'!$B103:'Résultats des tournois'!AV103,"&lt;&gt;")&lt;=15,24,16))</f>
        <v>32</v>
      </c>
      <c r="AW103" s="15">
        <f>IF(COUNTIF('Résultats des tournois'!$B103:'Résultats des tournois'!AW103,"&lt;&gt;")&lt;=5,32,IF(COUNTIF('Résultats des tournois'!$B103:'Résultats des tournois'!AW103,"&lt;&gt;")&lt;=15,24,16))</f>
        <v>32</v>
      </c>
      <c r="AX103" s="15">
        <f>IF(COUNTIF('Résultats des tournois'!$B103:'Résultats des tournois'!AX103,"&lt;&gt;")&lt;=5,32,IF(COUNTIF('Résultats des tournois'!$B103:'Résultats des tournois'!AX103,"&lt;&gt;")&lt;=15,24,16))</f>
        <v>32</v>
      </c>
    </row>
    <row r="104" ht="14.25" customHeight="1">
      <c r="A104" s="15" t="str">
        <f>IF('Résultats des tournois'!A104="","",'Résultats des tournois'!A104)</f>
        <v/>
      </c>
      <c r="B104" s="15">
        <f>IF(COUNTIF('Résultats des tournois'!B104,"&lt;&gt;")&lt;=5,32,IF(COUNTIF('Résultats des tournois'!B104,"&lt;&gt;")&lt;=15,24,16))</f>
        <v>32</v>
      </c>
      <c r="C104" s="15">
        <f>IF(COUNTIF('Résultats des tournois'!$B104:'Résultats des tournois'!C104,"&lt;&gt;")&lt;=5,32,IF(COUNTIF('Résultats des tournois'!$B104:'Résultats des tournois'!C104,"&lt;&gt;")&lt;=15,24,16))</f>
        <v>32</v>
      </c>
      <c r="D104" s="15">
        <f>IF(COUNTIF('Résultats des tournois'!$B104:'Résultats des tournois'!D104,"&lt;&gt;")&lt;=5,32,IF(COUNTIF('Résultats des tournois'!$B104:'Résultats des tournois'!D104,"&lt;&gt;")&lt;=15,24,16))</f>
        <v>32</v>
      </c>
      <c r="E104" s="15">
        <f>IF(COUNTIF('Résultats des tournois'!$B104:'Résultats des tournois'!E104,"&lt;&gt;")&lt;=5,32,IF(COUNTIF('Résultats des tournois'!$B104:'Résultats des tournois'!E104,"&lt;&gt;")&lt;=15,24,16))</f>
        <v>32</v>
      </c>
      <c r="F104" s="15">
        <f>IF(COUNTIF('Résultats des tournois'!$B104:'Résultats des tournois'!F104,"&lt;&gt;")&lt;=5,32,IF(COUNTIF('Résultats des tournois'!$B104:'Résultats des tournois'!F104,"&lt;&gt;")&lt;=15,24,16))</f>
        <v>32</v>
      </c>
      <c r="G104" s="15">
        <f>IF(COUNTIF('Résultats des tournois'!$B104:'Résultats des tournois'!G104,"&lt;&gt;")&lt;=5,32,IF(COUNTIF('Résultats des tournois'!$B104:'Résultats des tournois'!G104,"&lt;&gt;")&lt;=15,24,16))</f>
        <v>32</v>
      </c>
      <c r="H104" s="15">
        <f>IF(COUNTIF('Résultats des tournois'!$B104:'Résultats des tournois'!H104,"&lt;&gt;")&lt;=5,32,IF(COUNTIF('Résultats des tournois'!$B104:'Résultats des tournois'!H104,"&lt;&gt;")&lt;=15,24,16))</f>
        <v>32</v>
      </c>
      <c r="I104" s="15">
        <f>IF(COUNTIF('Résultats des tournois'!$B104:'Résultats des tournois'!I104,"&lt;&gt;")&lt;=5,32,IF(COUNTIF('Résultats des tournois'!$B104:'Résultats des tournois'!I104,"&lt;&gt;")&lt;=15,24,16))</f>
        <v>32</v>
      </c>
      <c r="J104" s="15">
        <f>IF(COUNTIF('Résultats des tournois'!$B104:'Résultats des tournois'!J104,"&lt;&gt;")&lt;=5,32,IF(COUNTIF('Résultats des tournois'!$B104:'Résultats des tournois'!J104,"&lt;&gt;")&lt;=15,24,16))</f>
        <v>32</v>
      </c>
      <c r="K104" s="15">
        <f>IF(COUNTIF('Résultats des tournois'!$B104:'Résultats des tournois'!K104,"&lt;&gt;")&lt;=5,32,IF(COUNTIF('Résultats des tournois'!$B104:'Résultats des tournois'!K104,"&lt;&gt;")&lt;=15,24,16))</f>
        <v>32</v>
      </c>
      <c r="L104" s="15">
        <f>IF(COUNTIF('Résultats des tournois'!$B104:'Résultats des tournois'!L104,"&lt;&gt;")&lt;=5,32,IF(COUNTIF('Résultats des tournois'!$B104:'Résultats des tournois'!L104,"&lt;&gt;")&lt;=15,24,16))</f>
        <v>32</v>
      </c>
      <c r="M104" s="15">
        <f>IF(COUNTIF('Résultats des tournois'!$B104:'Résultats des tournois'!M104,"&lt;&gt;")&lt;=5,32,IF(COUNTIF('Résultats des tournois'!$B104:'Résultats des tournois'!M104,"&lt;&gt;")&lt;=15,24,16))</f>
        <v>32</v>
      </c>
      <c r="N104" s="15">
        <f>IF(COUNTIF('Résultats des tournois'!$B104:'Résultats des tournois'!N104,"&lt;&gt;")&lt;=5,32,IF(COUNTIF('Résultats des tournois'!$B104:'Résultats des tournois'!N104,"&lt;&gt;")&lt;=15,24,16))</f>
        <v>32</v>
      </c>
      <c r="O104" s="15">
        <f>IF(COUNTIF('Résultats des tournois'!$B104:'Résultats des tournois'!O104,"&lt;&gt;")&lt;=5,32,IF(COUNTIF('Résultats des tournois'!$B104:'Résultats des tournois'!O104,"&lt;&gt;")&lt;=15,24,16))</f>
        <v>32</v>
      </c>
      <c r="P104" s="15">
        <f>IF(COUNTIF('Résultats des tournois'!$B104:'Résultats des tournois'!P104,"&lt;&gt;")&lt;=5,32,IF(COUNTIF('Résultats des tournois'!$B104:'Résultats des tournois'!P104,"&lt;&gt;")&lt;=15,24,16))</f>
        <v>32</v>
      </c>
      <c r="Q104" s="15">
        <f>IF(COUNTIF('Résultats des tournois'!$B104:'Résultats des tournois'!Q104,"&lt;&gt;")&lt;=5,32,IF(COUNTIF('Résultats des tournois'!$B104:'Résultats des tournois'!Q104,"&lt;&gt;")&lt;=15,24,16))</f>
        <v>32</v>
      </c>
      <c r="R104" s="15">
        <f>IF(COUNTIF('Résultats des tournois'!$B104:'Résultats des tournois'!R104,"&lt;&gt;")&lt;=5,32,IF(COUNTIF('Résultats des tournois'!$B104:'Résultats des tournois'!R104,"&lt;&gt;")&lt;=15,24,16))</f>
        <v>32</v>
      </c>
      <c r="S104" s="15">
        <f>IF(COUNTIF('Résultats des tournois'!$B104:'Résultats des tournois'!S104,"&lt;&gt;")&lt;=5,32,IF(COUNTIF('Résultats des tournois'!$B104:'Résultats des tournois'!S104,"&lt;&gt;")&lt;=15,24,16))</f>
        <v>32</v>
      </c>
      <c r="T104" s="15">
        <f>IF(COUNTIF('Résultats des tournois'!$B104:'Résultats des tournois'!T104,"&lt;&gt;")&lt;=5,32,IF(COUNTIF('Résultats des tournois'!$B104:'Résultats des tournois'!T104,"&lt;&gt;")&lt;=15,24,16))</f>
        <v>32</v>
      </c>
      <c r="U104" s="15">
        <f>IF(COUNTIF('Résultats des tournois'!$B104:'Résultats des tournois'!U104,"&lt;&gt;")&lt;=5,32,IF(COUNTIF('Résultats des tournois'!$B104:'Résultats des tournois'!U104,"&lt;&gt;")&lt;=15,24,16))</f>
        <v>32</v>
      </c>
      <c r="V104" s="15">
        <f>IF(COUNTIF('Résultats des tournois'!$B104:'Résultats des tournois'!V104,"&lt;&gt;")&lt;=5,32,IF(COUNTIF('Résultats des tournois'!$B104:'Résultats des tournois'!V104,"&lt;&gt;")&lt;=15,24,16))</f>
        <v>32</v>
      </c>
      <c r="W104" s="15">
        <f>IF(COUNTIF('Résultats des tournois'!$B104:'Résultats des tournois'!W104,"&lt;&gt;")&lt;=5,32,IF(COUNTIF('Résultats des tournois'!$B104:'Résultats des tournois'!W104,"&lt;&gt;")&lt;=15,24,16))</f>
        <v>32</v>
      </c>
      <c r="X104" s="15">
        <f>IF(COUNTIF('Résultats des tournois'!$B104:'Résultats des tournois'!X104,"&lt;&gt;")&lt;=5,32,IF(COUNTIF('Résultats des tournois'!$B104:'Résultats des tournois'!X104,"&lt;&gt;")&lt;=15,24,16))</f>
        <v>32</v>
      </c>
      <c r="Y104" s="15">
        <f>IF(COUNTIF('Résultats des tournois'!$B104:'Résultats des tournois'!Y104,"&lt;&gt;")&lt;=5,32,IF(COUNTIF('Résultats des tournois'!$B104:'Résultats des tournois'!Y104,"&lt;&gt;")&lt;=15,24,16))</f>
        <v>32</v>
      </c>
      <c r="Z104" s="15">
        <f>IF(COUNTIF('Résultats des tournois'!$B104:'Résultats des tournois'!Z104,"&lt;&gt;")&lt;=5,32,IF(COUNTIF('Résultats des tournois'!$B104:'Résultats des tournois'!Z104,"&lt;&gt;")&lt;=15,24,16))</f>
        <v>32</v>
      </c>
      <c r="AA104" s="15">
        <f>IF(COUNTIF('Résultats des tournois'!$B104:'Résultats des tournois'!AA104,"&lt;&gt;")&lt;=5,32,IF(COUNTIF('Résultats des tournois'!$B104:'Résultats des tournois'!AA104,"&lt;&gt;")&lt;=15,24,16))</f>
        <v>32</v>
      </c>
      <c r="AB104" s="15">
        <f>IF(COUNTIF('Résultats des tournois'!$B104:'Résultats des tournois'!AB104,"&lt;&gt;")&lt;=5,32,IF(COUNTIF('Résultats des tournois'!$B104:'Résultats des tournois'!AB104,"&lt;&gt;")&lt;=15,24,16))</f>
        <v>32</v>
      </c>
      <c r="AC104" s="15">
        <f>IF(COUNTIF('Résultats des tournois'!$B104:'Résultats des tournois'!AC104,"&lt;&gt;")&lt;=5,32,IF(COUNTIF('Résultats des tournois'!$B104:'Résultats des tournois'!AC104,"&lt;&gt;")&lt;=15,24,16))</f>
        <v>32</v>
      </c>
      <c r="AD104" s="15">
        <f>IF(COUNTIF('Résultats des tournois'!$B104:'Résultats des tournois'!AD104,"&lt;&gt;")&lt;=5,32,IF(COUNTIF('Résultats des tournois'!$B104:'Résultats des tournois'!AD104,"&lt;&gt;")&lt;=15,24,16))</f>
        <v>32</v>
      </c>
      <c r="AE104" s="15">
        <f>IF(COUNTIF('Résultats des tournois'!$B104:'Résultats des tournois'!AE104,"&lt;&gt;")&lt;=5,32,IF(COUNTIF('Résultats des tournois'!$B104:'Résultats des tournois'!AE104,"&lt;&gt;")&lt;=15,24,16))</f>
        <v>32</v>
      </c>
      <c r="AF104" s="15">
        <f>IF(COUNTIF('Résultats des tournois'!$B104:'Résultats des tournois'!AF104,"&lt;&gt;")&lt;=5,32,IF(COUNTIF('Résultats des tournois'!$B104:'Résultats des tournois'!AF104,"&lt;&gt;")&lt;=15,24,16))</f>
        <v>32</v>
      </c>
      <c r="AG104" s="15">
        <f>IF(COUNTIF('Résultats des tournois'!$B104:'Résultats des tournois'!AG104,"&lt;&gt;")&lt;=5,32,IF(COUNTIF('Résultats des tournois'!$B104:'Résultats des tournois'!AG104,"&lt;&gt;")&lt;=15,24,16))</f>
        <v>32</v>
      </c>
      <c r="AH104" s="15">
        <f>IF(COUNTIF('Résultats des tournois'!$B104:'Résultats des tournois'!AH104,"&lt;&gt;")&lt;=5,32,IF(COUNTIF('Résultats des tournois'!$B104:'Résultats des tournois'!AH104,"&lt;&gt;")&lt;=15,24,16))</f>
        <v>32</v>
      </c>
      <c r="AI104" s="15">
        <f>IF(COUNTIF('Résultats des tournois'!$B104:'Résultats des tournois'!AI104,"&lt;&gt;")&lt;=5,32,IF(COUNTIF('Résultats des tournois'!$B104:'Résultats des tournois'!AI104,"&lt;&gt;")&lt;=15,24,16))</f>
        <v>32</v>
      </c>
      <c r="AJ104" s="15">
        <f>IF(COUNTIF('Résultats des tournois'!$B104:'Résultats des tournois'!AJ104,"&lt;&gt;")&lt;=5,32,IF(COUNTIF('Résultats des tournois'!$B104:'Résultats des tournois'!AJ104,"&lt;&gt;")&lt;=15,24,16))</f>
        <v>32</v>
      </c>
      <c r="AK104" s="15">
        <f>IF(COUNTIF('Résultats des tournois'!$B104:'Résultats des tournois'!AK104,"&lt;&gt;")&lt;=5,32,IF(COUNTIF('Résultats des tournois'!$B104:'Résultats des tournois'!AK104,"&lt;&gt;")&lt;=15,24,16))</f>
        <v>32</v>
      </c>
      <c r="AL104" s="15">
        <f>IF(COUNTIF('Résultats des tournois'!$B104:'Résultats des tournois'!AL104,"&lt;&gt;")&lt;=5,32,IF(COUNTIF('Résultats des tournois'!$B104:'Résultats des tournois'!AL104,"&lt;&gt;")&lt;=15,24,16))</f>
        <v>32</v>
      </c>
      <c r="AM104" s="15">
        <f>IF(COUNTIF('Résultats des tournois'!$B104:'Résultats des tournois'!AM104,"&lt;&gt;")&lt;=5,32,IF(COUNTIF('Résultats des tournois'!$B104:'Résultats des tournois'!AM104,"&lt;&gt;")&lt;=15,24,16))</f>
        <v>32</v>
      </c>
      <c r="AN104" s="15">
        <f>IF(COUNTIF('Résultats des tournois'!$B104:'Résultats des tournois'!AN104,"&lt;&gt;")&lt;=5,32,IF(COUNTIF('Résultats des tournois'!$B104:'Résultats des tournois'!AN104,"&lt;&gt;")&lt;=15,24,16))</f>
        <v>32</v>
      </c>
      <c r="AO104" s="15">
        <f>IF(COUNTIF('Résultats des tournois'!$B104:'Résultats des tournois'!AO104,"&lt;&gt;")&lt;=5,32,IF(COUNTIF('Résultats des tournois'!$B104:'Résultats des tournois'!AO104,"&lt;&gt;")&lt;=15,24,16))</f>
        <v>32</v>
      </c>
      <c r="AP104" s="15">
        <f>IF(COUNTIF('Résultats des tournois'!$B104:'Résultats des tournois'!AP104,"&lt;&gt;")&lt;=5,32,IF(COUNTIF('Résultats des tournois'!$B104:'Résultats des tournois'!AP104,"&lt;&gt;")&lt;=15,24,16))</f>
        <v>32</v>
      </c>
      <c r="AQ104" s="15">
        <f>IF(COUNTIF('Résultats des tournois'!$B104:'Résultats des tournois'!AQ104,"&lt;&gt;")&lt;=5,32,IF(COUNTIF('Résultats des tournois'!$B104:'Résultats des tournois'!AQ104,"&lt;&gt;")&lt;=15,24,16))</f>
        <v>32</v>
      </c>
      <c r="AR104" s="15">
        <f>IF(COUNTIF('Résultats des tournois'!$B104:'Résultats des tournois'!AR104,"&lt;&gt;")&lt;=5,32,IF(COUNTIF('Résultats des tournois'!$B104:'Résultats des tournois'!AR104,"&lt;&gt;")&lt;=15,24,16))</f>
        <v>32</v>
      </c>
      <c r="AS104" s="15">
        <f>IF(COUNTIF('Résultats des tournois'!$B104:'Résultats des tournois'!AS104,"&lt;&gt;")&lt;=5,32,IF(COUNTIF('Résultats des tournois'!$B104:'Résultats des tournois'!AS104,"&lt;&gt;")&lt;=15,24,16))</f>
        <v>32</v>
      </c>
      <c r="AT104" s="15">
        <f>IF(COUNTIF('Résultats des tournois'!$B104:'Résultats des tournois'!AT104,"&lt;&gt;")&lt;=5,32,IF(COUNTIF('Résultats des tournois'!$B104:'Résultats des tournois'!AT104,"&lt;&gt;")&lt;=15,24,16))</f>
        <v>32</v>
      </c>
      <c r="AU104" s="15">
        <f>IF(COUNTIF('Résultats des tournois'!$B104:'Résultats des tournois'!AU104,"&lt;&gt;")&lt;=5,32,IF(COUNTIF('Résultats des tournois'!$B104:'Résultats des tournois'!AU104,"&lt;&gt;")&lt;=15,24,16))</f>
        <v>32</v>
      </c>
      <c r="AV104" s="15">
        <f>IF(COUNTIF('Résultats des tournois'!$B104:'Résultats des tournois'!AV104,"&lt;&gt;")&lt;=5,32,IF(COUNTIF('Résultats des tournois'!$B104:'Résultats des tournois'!AV104,"&lt;&gt;")&lt;=15,24,16))</f>
        <v>32</v>
      </c>
      <c r="AW104" s="15">
        <f>IF(COUNTIF('Résultats des tournois'!$B104:'Résultats des tournois'!AW104,"&lt;&gt;")&lt;=5,32,IF(COUNTIF('Résultats des tournois'!$B104:'Résultats des tournois'!AW104,"&lt;&gt;")&lt;=15,24,16))</f>
        <v>32</v>
      </c>
      <c r="AX104" s="15">
        <f>IF(COUNTIF('Résultats des tournois'!$B104:'Résultats des tournois'!AX104,"&lt;&gt;")&lt;=5,32,IF(COUNTIF('Résultats des tournois'!$B104:'Résultats des tournois'!AX104,"&lt;&gt;")&lt;=15,24,16))</f>
        <v>32</v>
      </c>
    </row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